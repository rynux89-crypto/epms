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이홍규\프로젝트\20250708-아산병원동관\04.설계\IO_Address\"/>
    </mc:Choice>
  </mc:AlternateContent>
  <xr:revisionPtr revIDLastSave="0" documentId="8_{00704BC3-7B85-4AD6-AF24-6FB4D79C0DBE}" xr6:coauthVersionLast="47" xr6:coauthVersionMax="47" xr10:uidLastSave="{00000000-0000-0000-0000-000000000000}"/>
  <bookViews>
    <workbookView xWindow="28680" yWindow="-120" windowWidth="29040" windowHeight="15720" xr2:uid="{729025E9-0105-4A14-8D3A-417F1219B137}"/>
  </bookViews>
  <sheets>
    <sheet name="PLC_IO_Address_DI" sheetId="5" r:id="rId1"/>
    <sheet name="PLC_IO_Address_AI" sheetId="1" r:id="rId2"/>
    <sheet name="DB_컬럼" sheetId="4" r:id="rId3"/>
    <sheet name="Register_Number" sheetId="6" r:id="rId4"/>
  </sheets>
  <definedNames>
    <definedName name="_xlnm._FilterDatabase" localSheetId="1" hidden="1">PLC_IO_Address_AI!$A$7:$BP$257</definedName>
    <definedName name="_xlnm._FilterDatabase" localSheetId="0" hidden="1">PLC_IO_Address_DI!$A$7:$R$240</definedName>
    <definedName name="_xlnm.Print_Titles" localSheetId="1">PLC_IO_Address_AI!$4:$7</definedName>
    <definedName name="_xlnm.Print_Titles" localSheetId="0">PLC_IO_Address_DI!$4:$7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5" i="5" l="1"/>
  <c r="P105" i="5"/>
  <c r="O105" i="5"/>
  <c r="Q103" i="5"/>
  <c r="P103" i="5"/>
  <c r="O103" i="5"/>
  <c r="E8" i="5"/>
  <c r="E13" i="1"/>
  <c r="E14" i="1" s="1"/>
  <c r="E15" i="1" s="1"/>
  <c r="E16" i="1" s="1"/>
  <c r="E17" i="1" s="1"/>
  <c r="E18" i="1" s="1"/>
  <c r="E19" i="1" s="1"/>
  <c r="E22" i="1" s="1"/>
  <c r="E23" i="1" s="1"/>
  <c r="E24" i="1" s="1"/>
  <c r="E25" i="1" s="1"/>
  <c r="E26" i="1" s="1"/>
  <c r="E27" i="1" s="1"/>
  <c r="E31" i="1" s="1"/>
  <c r="E32" i="1" s="1"/>
  <c r="E33" i="1" s="1"/>
  <c r="E34" i="1" s="1"/>
  <c r="E35" i="1" s="1"/>
  <c r="E37" i="1" s="1"/>
  <c r="E38" i="1" s="1"/>
  <c r="E39" i="1" s="1"/>
  <c r="E40" i="1" s="1"/>
  <c r="E41" i="1" s="1"/>
  <c r="E42" i="1" s="1"/>
  <c r="E43" i="1" s="1"/>
  <c r="E44" i="1" s="1"/>
  <c r="E45" i="1" s="1"/>
  <c r="Q8" i="5"/>
  <c r="BQ6" i="1"/>
  <c r="E105" i="1"/>
  <c r="E108" i="1" s="1"/>
  <c r="E109" i="1" s="1"/>
  <c r="E110" i="1" s="1"/>
  <c r="F8" i="5" l="1"/>
  <c r="H8" i="5"/>
  <c r="O8" i="5"/>
  <c r="P8" i="5"/>
  <c r="E47" i="1"/>
  <c r="E111" i="1"/>
  <c r="E9" i="5"/>
  <c r="E88" i="5"/>
  <c r="E204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l="1"/>
  <c r="Q9" i="5"/>
  <c r="F9" i="5"/>
  <c r="P9" i="5"/>
  <c r="O9" i="5"/>
  <c r="H9" i="5"/>
  <c r="O88" i="5"/>
  <c r="H88" i="5"/>
  <c r="Q88" i="5"/>
  <c r="P88" i="5"/>
  <c r="F88" i="5"/>
  <c r="F47" i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E48" i="1"/>
  <c r="F111" i="1"/>
  <c r="G111" i="1" s="1"/>
  <c r="H111" i="1" s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AA111" i="1" s="1"/>
  <c r="AB111" i="1" s="1"/>
  <c r="AC111" i="1" s="1"/>
  <c r="AD111" i="1" s="1"/>
  <c r="AE111" i="1" s="1"/>
  <c r="AF111" i="1" s="1"/>
  <c r="AG111" i="1" s="1"/>
  <c r="AH111" i="1" s="1"/>
  <c r="AI111" i="1" s="1"/>
  <c r="AJ111" i="1" s="1"/>
  <c r="AK111" i="1" s="1"/>
  <c r="AL111" i="1" s="1"/>
  <c r="AM111" i="1" s="1"/>
  <c r="AN111" i="1" s="1"/>
  <c r="AO111" i="1" s="1"/>
  <c r="AP111" i="1" s="1"/>
  <c r="AQ111" i="1" s="1"/>
  <c r="AR111" i="1" s="1"/>
  <c r="AS111" i="1" s="1"/>
  <c r="AT111" i="1" s="1"/>
  <c r="AU111" i="1" s="1"/>
  <c r="AV111" i="1" s="1"/>
  <c r="AW111" i="1" s="1"/>
  <c r="AX111" i="1" s="1"/>
  <c r="AY111" i="1" s="1"/>
  <c r="AZ111" i="1" s="1"/>
  <c r="BA111" i="1" s="1"/>
  <c r="BB111" i="1" s="1"/>
  <c r="BC111" i="1" s="1"/>
  <c r="BD111" i="1" s="1"/>
  <c r="BE111" i="1" s="1"/>
  <c r="BF111" i="1" s="1"/>
  <c r="BG111" i="1" s="1"/>
  <c r="BH111" i="1" s="1"/>
  <c r="BI111" i="1" s="1"/>
  <c r="BJ111" i="1" s="1"/>
  <c r="BK111" i="1" s="1"/>
  <c r="BL111" i="1" s="1"/>
  <c r="BM111" i="1" s="1"/>
  <c r="BN111" i="1" s="1"/>
  <c r="BO111" i="1" s="1"/>
  <c r="BP111" i="1" s="1"/>
  <c r="E115" i="1"/>
  <c r="E117" i="1" s="1"/>
  <c r="E118" i="1" s="1"/>
  <c r="E120" i="1" s="1"/>
  <c r="E122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0" i="5"/>
  <c r="I10" i="5" s="1"/>
  <c r="E187" i="5"/>
  <c r="E89" i="5"/>
  <c r="I89" i="5" s="1"/>
  <c r="F206" i="1"/>
  <c r="G206" i="1" s="1"/>
  <c r="F204" i="1"/>
  <c r="G204" i="1" s="1"/>
  <c r="E231" i="1" l="1"/>
  <c r="F230" i="1"/>
  <c r="G230" i="1" s="1"/>
  <c r="H230" i="1" s="1"/>
  <c r="I230" i="1" s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T230" i="1" s="1"/>
  <c r="U230" i="1" s="1"/>
  <c r="V230" i="1" s="1"/>
  <c r="W230" i="1" s="1"/>
  <c r="X230" i="1" s="1"/>
  <c r="Y230" i="1" s="1"/>
  <c r="Z230" i="1" s="1"/>
  <c r="E161" i="1"/>
  <c r="F187" i="5"/>
  <c r="N187" i="5"/>
  <c r="M187" i="5"/>
  <c r="L187" i="5"/>
  <c r="J187" i="5"/>
  <c r="K187" i="5"/>
  <c r="H187" i="5"/>
  <c r="E11" i="5"/>
  <c r="F48" i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E49" i="1"/>
  <c r="E188" i="5"/>
  <c r="E90" i="5"/>
  <c r="H206" i="1"/>
  <c r="I206" i="1" s="1"/>
  <c r="J206" i="1" s="1"/>
  <c r="K206" i="1" s="1"/>
  <c r="L206" i="1" s="1"/>
  <c r="M206" i="1" s="1"/>
  <c r="N206" i="1" s="1"/>
  <c r="O206" i="1" s="1"/>
  <c r="P206" i="1" s="1"/>
  <c r="H204" i="1"/>
  <c r="I204" i="1" s="1"/>
  <c r="J204" i="1" s="1"/>
  <c r="K204" i="1" s="1"/>
  <c r="L204" i="1" s="1"/>
  <c r="M204" i="1" s="1"/>
  <c r="N204" i="1" s="1"/>
  <c r="O204" i="1" s="1"/>
  <c r="P204" i="1" s="1"/>
  <c r="F231" i="1" l="1"/>
  <c r="G231" i="1" s="1"/>
  <c r="H231" i="1" s="1"/>
  <c r="I231" i="1" s="1"/>
  <c r="J231" i="1" s="1"/>
  <c r="K231" i="1" s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 s="1"/>
  <c r="E232" i="1"/>
  <c r="F161" i="1"/>
  <c r="G161" i="1" s="1"/>
  <c r="H161" i="1" s="1"/>
  <c r="I161" i="1" s="1"/>
  <c r="J161" i="1" s="1"/>
  <c r="K161" i="1" s="1"/>
  <c r="L161" i="1" s="1"/>
  <c r="M161" i="1" s="1"/>
  <c r="N161" i="1" s="1"/>
  <c r="O161" i="1" s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E162" i="1"/>
  <c r="G90" i="5"/>
  <c r="F90" i="5"/>
  <c r="F188" i="5"/>
  <c r="G188" i="5"/>
  <c r="F11" i="5"/>
  <c r="G11" i="5"/>
  <c r="E12" i="5"/>
  <c r="E50" i="1"/>
  <c r="F49" i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E189" i="5"/>
  <c r="E91" i="5"/>
  <c r="Q206" i="1"/>
  <c r="R206" i="1" s="1"/>
  <c r="S206" i="1" s="1"/>
  <c r="T206" i="1" s="1"/>
  <c r="U206" i="1" s="1"/>
  <c r="V206" i="1" s="1"/>
  <c r="W206" i="1" s="1"/>
  <c r="Q204" i="1"/>
  <c r="R204" i="1" s="1"/>
  <c r="S204" i="1" s="1"/>
  <c r="T204" i="1" s="1"/>
  <c r="U204" i="1" s="1"/>
  <c r="V204" i="1" s="1"/>
  <c r="W204" i="1" s="1"/>
  <c r="F207" i="1"/>
  <c r="G207" i="1" s="1"/>
  <c r="F232" i="1" l="1"/>
  <c r="G232" i="1" s="1"/>
  <c r="H232" i="1" s="1"/>
  <c r="I232" i="1" s="1"/>
  <c r="J232" i="1" s="1"/>
  <c r="K232" i="1" s="1"/>
  <c r="L232" i="1" s="1"/>
  <c r="M232" i="1" s="1"/>
  <c r="N232" i="1" s="1"/>
  <c r="O232" i="1" s="1"/>
  <c r="P232" i="1" s="1"/>
  <c r="Q232" i="1" s="1"/>
  <c r="R232" i="1" s="1"/>
  <c r="S232" i="1" s="1"/>
  <c r="T232" i="1" s="1"/>
  <c r="U232" i="1" s="1"/>
  <c r="V232" i="1" s="1"/>
  <c r="W232" i="1" s="1"/>
  <c r="X232" i="1" s="1"/>
  <c r="Y232" i="1" s="1"/>
  <c r="Z232" i="1" s="1"/>
  <c r="E233" i="1"/>
  <c r="E234" i="1" s="1"/>
  <c r="E235" i="1" s="1"/>
  <c r="E236" i="1" s="1"/>
  <c r="E237" i="1" s="1"/>
  <c r="E238" i="1" s="1"/>
  <c r="E239" i="1" s="1"/>
  <c r="E241" i="1" s="1"/>
  <c r="E242" i="1" s="1"/>
  <c r="E243" i="1" s="1"/>
  <c r="E244" i="1" s="1"/>
  <c r="E245" i="1" s="1"/>
  <c r="E246" i="1" s="1"/>
  <c r="F162" i="1"/>
  <c r="G162" i="1" s="1"/>
  <c r="H162" i="1" s="1"/>
  <c r="I162" i="1" s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E163" i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N189" i="5"/>
  <c r="M189" i="5"/>
  <c r="L189" i="5"/>
  <c r="K189" i="5"/>
  <c r="J189" i="5"/>
  <c r="H189" i="5"/>
  <c r="F189" i="5"/>
  <c r="F12" i="5"/>
  <c r="H12" i="5"/>
  <c r="N91" i="5"/>
  <c r="M91" i="5"/>
  <c r="L91" i="5"/>
  <c r="K91" i="5"/>
  <c r="F91" i="5"/>
  <c r="H91" i="5"/>
  <c r="J91" i="5"/>
  <c r="F50" i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E51" i="1"/>
  <c r="E92" i="5"/>
  <c r="X204" i="1"/>
  <c r="Y204" i="1" s="1"/>
  <c r="X206" i="1"/>
  <c r="Y206" i="1" s="1"/>
  <c r="E190" i="5"/>
  <c r="E13" i="5"/>
  <c r="H207" i="1"/>
  <c r="I207" i="1" s="1"/>
  <c r="J207" i="1" s="1"/>
  <c r="K207" i="1" s="1"/>
  <c r="L207" i="1" s="1"/>
  <c r="M207" i="1" s="1"/>
  <c r="N207" i="1" s="1"/>
  <c r="O207" i="1" s="1"/>
  <c r="P207" i="1" s="1"/>
  <c r="F208" i="1"/>
  <c r="G208" i="1" s="1"/>
  <c r="E247" i="1" l="1"/>
  <c r="F246" i="1"/>
  <c r="G246" i="1" s="1"/>
  <c r="H246" i="1" s="1"/>
  <c r="I246" i="1" s="1"/>
  <c r="J246" i="1" s="1"/>
  <c r="K246" i="1" s="1"/>
  <c r="L246" i="1" s="1"/>
  <c r="M246" i="1" s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 s="1"/>
  <c r="Z246" i="1" s="1"/>
  <c r="F187" i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E188" i="1"/>
  <c r="H190" i="5"/>
  <c r="N190" i="5"/>
  <c r="M190" i="5"/>
  <c r="L190" i="5"/>
  <c r="K190" i="5"/>
  <c r="J190" i="5"/>
  <c r="F190" i="5"/>
  <c r="Q92" i="5"/>
  <c r="P92" i="5"/>
  <c r="O92" i="5"/>
  <c r="F92" i="5"/>
  <c r="H92" i="5"/>
  <c r="H13" i="5"/>
  <c r="F13" i="5"/>
  <c r="E52" i="1"/>
  <c r="F51" i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E93" i="5"/>
  <c r="AA204" i="1"/>
  <c r="AB204" i="1" s="1"/>
  <c r="AC204" i="1" s="1"/>
  <c r="AD204" i="1" s="1"/>
  <c r="AE204" i="1" s="1"/>
  <c r="AF204" i="1" s="1"/>
  <c r="AG204" i="1" s="1"/>
  <c r="AH204" i="1" s="1"/>
  <c r="AI204" i="1" s="1"/>
  <c r="AJ204" i="1" s="1"/>
  <c r="AK204" i="1" s="1"/>
  <c r="AL204" i="1" s="1"/>
  <c r="AM204" i="1" s="1"/>
  <c r="AN204" i="1" s="1"/>
  <c r="AO204" i="1" s="1"/>
  <c r="AP204" i="1" s="1"/>
  <c r="AQ204" i="1" s="1"/>
  <c r="AR204" i="1" s="1"/>
  <c r="AS204" i="1" s="1"/>
  <c r="AT204" i="1" s="1"/>
  <c r="AU204" i="1" s="1"/>
  <c r="AV204" i="1" s="1"/>
  <c r="AW204" i="1" s="1"/>
  <c r="AX204" i="1" s="1"/>
  <c r="AY204" i="1" s="1"/>
  <c r="AZ204" i="1" s="1"/>
  <c r="BA204" i="1" s="1"/>
  <c r="BB204" i="1" s="1"/>
  <c r="BC204" i="1" s="1"/>
  <c r="BD204" i="1" s="1"/>
  <c r="BE204" i="1" s="1"/>
  <c r="BF204" i="1" s="1"/>
  <c r="BG204" i="1" s="1"/>
  <c r="BH204" i="1" s="1"/>
  <c r="BI204" i="1" s="1"/>
  <c r="BJ204" i="1" s="1"/>
  <c r="BK204" i="1" s="1"/>
  <c r="BL204" i="1" s="1"/>
  <c r="BM204" i="1" s="1"/>
  <c r="BN204" i="1" s="1"/>
  <c r="BO204" i="1" s="1"/>
  <c r="BP204" i="1" s="1"/>
  <c r="AA206" i="1"/>
  <c r="AB206" i="1" s="1"/>
  <c r="AC206" i="1" s="1"/>
  <c r="AD206" i="1" s="1"/>
  <c r="AE206" i="1" s="1"/>
  <c r="AF206" i="1" s="1"/>
  <c r="AG206" i="1" s="1"/>
  <c r="AH206" i="1" s="1"/>
  <c r="AI206" i="1" s="1"/>
  <c r="AJ206" i="1" s="1"/>
  <c r="AK206" i="1" s="1"/>
  <c r="AL206" i="1" s="1"/>
  <c r="AM206" i="1" s="1"/>
  <c r="AN206" i="1" s="1"/>
  <c r="AO206" i="1" s="1"/>
  <c r="AP206" i="1" s="1"/>
  <c r="AQ206" i="1" s="1"/>
  <c r="AR206" i="1" s="1"/>
  <c r="AS206" i="1" s="1"/>
  <c r="AT206" i="1" s="1"/>
  <c r="AU206" i="1" s="1"/>
  <c r="AV206" i="1" s="1"/>
  <c r="AW206" i="1" s="1"/>
  <c r="AX206" i="1" s="1"/>
  <c r="AY206" i="1" s="1"/>
  <c r="AZ206" i="1" s="1"/>
  <c r="BA206" i="1" s="1"/>
  <c r="BB206" i="1" s="1"/>
  <c r="BC206" i="1" s="1"/>
  <c r="BD206" i="1" s="1"/>
  <c r="BE206" i="1" s="1"/>
  <c r="BF206" i="1" s="1"/>
  <c r="BG206" i="1" s="1"/>
  <c r="BH206" i="1" s="1"/>
  <c r="BI206" i="1" s="1"/>
  <c r="BJ206" i="1" s="1"/>
  <c r="BK206" i="1" s="1"/>
  <c r="E191" i="5"/>
  <c r="E14" i="5"/>
  <c r="H208" i="1"/>
  <c r="I208" i="1" s="1"/>
  <c r="J208" i="1" s="1"/>
  <c r="K208" i="1" s="1"/>
  <c r="L208" i="1" s="1"/>
  <c r="M208" i="1" s="1"/>
  <c r="N208" i="1" s="1"/>
  <c r="O208" i="1" s="1"/>
  <c r="P208" i="1" s="1"/>
  <c r="Q207" i="1"/>
  <c r="R207" i="1" s="1"/>
  <c r="S207" i="1" s="1"/>
  <c r="T207" i="1" s="1"/>
  <c r="U207" i="1" s="1"/>
  <c r="V207" i="1" s="1"/>
  <c r="W207" i="1" s="1"/>
  <c r="F209" i="1"/>
  <c r="G209" i="1" s="1"/>
  <c r="E248" i="1" l="1"/>
  <c r="F247" i="1"/>
  <c r="G247" i="1" s="1"/>
  <c r="H247" i="1" s="1"/>
  <c r="I247" i="1" s="1"/>
  <c r="J247" i="1" s="1"/>
  <c r="K247" i="1" s="1"/>
  <c r="L247" i="1" s="1"/>
  <c r="M247" i="1" s="1"/>
  <c r="N247" i="1" s="1"/>
  <c r="O247" i="1" s="1"/>
  <c r="P247" i="1" s="1"/>
  <c r="Q247" i="1" s="1"/>
  <c r="R247" i="1" s="1"/>
  <c r="S247" i="1" s="1"/>
  <c r="T247" i="1" s="1"/>
  <c r="U247" i="1" s="1"/>
  <c r="V247" i="1" s="1"/>
  <c r="W247" i="1" s="1"/>
  <c r="X247" i="1" s="1"/>
  <c r="Y247" i="1" s="1"/>
  <c r="Z247" i="1" s="1"/>
  <c r="F188" i="1"/>
  <c r="G188" i="1" s="1"/>
  <c r="H188" i="1" s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E189" i="1"/>
  <c r="H14" i="5"/>
  <c r="F14" i="5"/>
  <c r="N191" i="5"/>
  <c r="M191" i="5"/>
  <c r="H191" i="5"/>
  <c r="L191" i="5"/>
  <c r="K191" i="5"/>
  <c r="F191" i="5"/>
  <c r="J191" i="5"/>
  <c r="P93" i="5"/>
  <c r="Q93" i="5"/>
  <c r="O93" i="5"/>
  <c r="H93" i="5"/>
  <c r="F93" i="5"/>
  <c r="E94" i="5"/>
  <c r="F52" i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E53" i="1"/>
  <c r="X207" i="1"/>
  <c r="Y207" i="1" s="1"/>
  <c r="E192" i="5"/>
  <c r="E15" i="5"/>
  <c r="H209" i="1"/>
  <c r="I209" i="1" s="1"/>
  <c r="J209" i="1" s="1"/>
  <c r="K209" i="1" s="1"/>
  <c r="L209" i="1" s="1"/>
  <c r="M209" i="1" s="1"/>
  <c r="N209" i="1" s="1"/>
  <c r="O209" i="1" s="1"/>
  <c r="P209" i="1" s="1"/>
  <c r="BL206" i="1"/>
  <c r="BM206" i="1" s="1"/>
  <c r="BN206" i="1" s="1"/>
  <c r="BO206" i="1" s="1"/>
  <c r="BP206" i="1" s="1"/>
  <c r="Q208" i="1"/>
  <c r="R208" i="1" s="1"/>
  <c r="S208" i="1" s="1"/>
  <c r="T208" i="1" s="1"/>
  <c r="U208" i="1" s="1"/>
  <c r="V208" i="1" s="1"/>
  <c r="W208" i="1" s="1"/>
  <c r="F210" i="1"/>
  <c r="G210" i="1" s="1"/>
  <c r="F248" i="1" l="1"/>
  <c r="G248" i="1" s="1"/>
  <c r="H248" i="1" s="1"/>
  <c r="I248" i="1" s="1"/>
  <c r="J248" i="1" s="1"/>
  <c r="K248" i="1" s="1"/>
  <c r="L248" i="1" s="1"/>
  <c r="M248" i="1" s="1"/>
  <c r="N248" i="1" s="1"/>
  <c r="O248" i="1" s="1"/>
  <c r="P248" i="1" s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E249" i="1"/>
  <c r="E190" i="1"/>
  <c r="F189" i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M192" i="5"/>
  <c r="L192" i="5"/>
  <c r="K192" i="5"/>
  <c r="J192" i="5"/>
  <c r="H192" i="5"/>
  <c r="F192" i="5"/>
  <c r="N192" i="5"/>
  <c r="H15" i="5"/>
  <c r="F15" i="5"/>
  <c r="Q94" i="5"/>
  <c r="P94" i="5"/>
  <c r="O94" i="5"/>
  <c r="F94" i="5"/>
  <c r="H94" i="5"/>
  <c r="E95" i="5"/>
  <c r="I95" i="5" s="1"/>
  <c r="E54" i="1"/>
  <c r="F53" i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E193" i="5"/>
  <c r="AA207" i="1"/>
  <c r="AB207" i="1" s="1"/>
  <c r="AC207" i="1" s="1"/>
  <c r="AD207" i="1" s="1"/>
  <c r="AE207" i="1" s="1"/>
  <c r="AF207" i="1" s="1"/>
  <c r="AG207" i="1" s="1"/>
  <c r="AH207" i="1" s="1"/>
  <c r="AI207" i="1" s="1"/>
  <c r="AJ207" i="1" s="1"/>
  <c r="AK207" i="1" s="1"/>
  <c r="AL207" i="1" s="1"/>
  <c r="AM207" i="1" s="1"/>
  <c r="AN207" i="1" s="1"/>
  <c r="AO207" i="1" s="1"/>
  <c r="AP207" i="1" s="1"/>
  <c r="AQ207" i="1" s="1"/>
  <c r="AR207" i="1" s="1"/>
  <c r="AS207" i="1" s="1"/>
  <c r="AT207" i="1" s="1"/>
  <c r="AU207" i="1" s="1"/>
  <c r="AV207" i="1" s="1"/>
  <c r="AW207" i="1" s="1"/>
  <c r="AX207" i="1" s="1"/>
  <c r="AY207" i="1" s="1"/>
  <c r="AZ207" i="1" s="1"/>
  <c r="BA207" i="1" s="1"/>
  <c r="BB207" i="1" s="1"/>
  <c r="BC207" i="1" s="1"/>
  <c r="BD207" i="1" s="1"/>
  <c r="BE207" i="1" s="1"/>
  <c r="BF207" i="1" s="1"/>
  <c r="BG207" i="1" s="1"/>
  <c r="BH207" i="1" s="1"/>
  <c r="BI207" i="1" s="1"/>
  <c r="BJ207" i="1" s="1"/>
  <c r="BK207" i="1" s="1"/>
  <c r="X208" i="1"/>
  <c r="Y208" i="1" s="1"/>
  <c r="E16" i="5"/>
  <c r="H210" i="1"/>
  <c r="I210" i="1" s="1"/>
  <c r="J210" i="1" s="1"/>
  <c r="K210" i="1" s="1"/>
  <c r="L210" i="1" s="1"/>
  <c r="M210" i="1" s="1"/>
  <c r="N210" i="1" s="1"/>
  <c r="O210" i="1" s="1"/>
  <c r="P210" i="1" s="1"/>
  <c r="Q209" i="1"/>
  <c r="R209" i="1" s="1"/>
  <c r="S209" i="1" s="1"/>
  <c r="T209" i="1" s="1"/>
  <c r="U209" i="1" s="1"/>
  <c r="V209" i="1" s="1"/>
  <c r="W209" i="1" s="1"/>
  <c r="F211" i="1"/>
  <c r="G211" i="1" s="1"/>
  <c r="F249" i="1" l="1"/>
  <c r="G249" i="1" s="1"/>
  <c r="H249" i="1" s="1"/>
  <c r="I249" i="1" s="1"/>
  <c r="J249" i="1" s="1"/>
  <c r="K249" i="1" s="1"/>
  <c r="L249" i="1" s="1"/>
  <c r="M249" i="1" s="1"/>
  <c r="N249" i="1" s="1"/>
  <c r="O249" i="1" s="1"/>
  <c r="P249" i="1" s="1"/>
  <c r="Q249" i="1" s="1"/>
  <c r="R249" i="1" s="1"/>
  <c r="S249" i="1" s="1"/>
  <c r="T249" i="1" s="1"/>
  <c r="U249" i="1" s="1"/>
  <c r="V249" i="1" s="1"/>
  <c r="W249" i="1" s="1"/>
  <c r="X249" i="1" s="1"/>
  <c r="Y249" i="1" s="1"/>
  <c r="Z249" i="1" s="1"/>
  <c r="E250" i="1"/>
  <c r="E251" i="1" s="1"/>
  <c r="E252" i="1" s="1"/>
  <c r="E253" i="1" s="1"/>
  <c r="E254" i="1" s="1"/>
  <c r="E255" i="1" s="1"/>
  <c r="E256" i="1" s="1"/>
  <c r="F190" i="1"/>
  <c r="G190" i="1" s="1"/>
  <c r="H190" i="1" s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E191" i="1"/>
  <c r="H16" i="5"/>
  <c r="F16" i="5"/>
  <c r="H193" i="5"/>
  <c r="M193" i="5"/>
  <c r="L193" i="5"/>
  <c r="K193" i="5"/>
  <c r="F193" i="5"/>
  <c r="N193" i="5"/>
  <c r="J193" i="5"/>
  <c r="E96" i="5"/>
  <c r="E97" i="5" s="1"/>
  <c r="F97" i="5" s="1"/>
  <c r="F54" i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E55" i="1"/>
  <c r="E194" i="5"/>
  <c r="AA208" i="1"/>
  <c r="AB208" i="1" s="1"/>
  <c r="AC208" i="1" s="1"/>
  <c r="AD208" i="1" s="1"/>
  <c r="AE208" i="1" s="1"/>
  <c r="AF208" i="1" s="1"/>
  <c r="AG208" i="1" s="1"/>
  <c r="AH208" i="1" s="1"/>
  <c r="AI208" i="1" s="1"/>
  <c r="AJ208" i="1" s="1"/>
  <c r="AK208" i="1" s="1"/>
  <c r="AL208" i="1" s="1"/>
  <c r="AM208" i="1" s="1"/>
  <c r="AN208" i="1" s="1"/>
  <c r="AO208" i="1" s="1"/>
  <c r="AP208" i="1" s="1"/>
  <c r="AQ208" i="1" s="1"/>
  <c r="AR208" i="1" s="1"/>
  <c r="AS208" i="1" s="1"/>
  <c r="AT208" i="1" s="1"/>
  <c r="AU208" i="1" s="1"/>
  <c r="AV208" i="1" s="1"/>
  <c r="AW208" i="1" s="1"/>
  <c r="AX208" i="1" s="1"/>
  <c r="AY208" i="1" s="1"/>
  <c r="AZ208" i="1" s="1"/>
  <c r="BA208" i="1" s="1"/>
  <c r="BB208" i="1" s="1"/>
  <c r="BC208" i="1" s="1"/>
  <c r="BD208" i="1" s="1"/>
  <c r="BE208" i="1" s="1"/>
  <c r="BF208" i="1" s="1"/>
  <c r="BG208" i="1" s="1"/>
  <c r="BH208" i="1" s="1"/>
  <c r="BI208" i="1" s="1"/>
  <c r="BJ208" i="1" s="1"/>
  <c r="BK208" i="1" s="1"/>
  <c r="X209" i="1"/>
  <c r="Y209" i="1" s="1"/>
  <c r="E17" i="5"/>
  <c r="H211" i="1"/>
  <c r="I211" i="1" s="1"/>
  <c r="J211" i="1" s="1"/>
  <c r="K211" i="1" s="1"/>
  <c r="L211" i="1" s="1"/>
  <c r="M211" i="1" s="1"/>
  <c r="N211" i="1" s="1"/>
  <c r="O211" i="1" s="1"/>
  <c r="P211" i="1" s="1"/>
  <c r="BL207" i="1"/>
  <c r="BM207" i="1" s="1"/>
  <c r="BN207" i="1" s="1"/>
  <c r="BO207" i="1" s="1"/>
  <c r="BP207" i="1" s="1"/>
  <c r="Q210" i="1"/>
  <c r="R210" i="1" s="1"/>
  <c r="S210" i="1" s="1"/>
  <c r="T210" i="1" s="1"/>
  <c r="U210" i="1" s="1"/>
  <c r="V210" i="1" s="1"/>
  <c r="W210" i="1" s="1"/>
  <c r="F212" i="1"/>
  <c r="G212" i="1" s="1"/>
  <c r="F191" i="1" l="1"/>
  <c r="G191" i="1" s="1"/>
  <c r="H191" i="1" s="1"/>
  <c r="I191" i="1" s="1"/>
  <c r="J191" i="1" s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E192" i="1"/>
  <c r="F96" i="5"/>
  <c r="G96" i="5"/>
  <c r="H17" i="5"/>
  <c r="F17" i="5"/>
  <c r="L194" i="5"/>
  <c r="H194" i="5"/>
  <c r="N194" i="5"/>
  <c r="M194" i="5"/>
  <c r="K194" i="5"/>
  <c r="J194" i="5"/>
  <c r="F194" i="5"/>
  <c r="E98" i="5"/>
  <c r="E99" i="5" s="1"/>
  <c r="F99" i="5" s="1"/>
  <c r="F55" i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E57" i="1"/>
  <c r="E58" i="1" s="1"/>
  <c r="E59" i="1" s="1"/>
  <c r="E60" i="1" s="1"/>
  <c r="E61" i="1" s="1"/>
  <c r="E62" i="1" s="1"/>
  <c r="E63" i="1" s="1"/>
  <c r="E195" i="5"/>
  <c r="AA209" i="1"/>
  <c r="AB209" i="1" s="1"/>
  <c r="AC209" i="1" s="1"/>
  <c r="AD209" i="1" s="1"/>
  <c r="AE209" i="1" s="1"/>
  <c r="AF209" i="1" s="1"/>
  <c r="AG209" i="1" s="1"/>
  <c r="AH209" i="1" s="1"/>
  <c r="AI209" i="1" s="1"/>
  <c r="AJ209" i="1" s="1"/>
  <c r="AK209" i="1" s="1"/>
  <c r="AL209" i="1" s="1"/>
  <c r="AM209" i="1" s="1"/>
  <c r="AN209" i="1" s="1"/>
  <c r="AO209" i="1" s="1"/>
  <c r="AP209" i="1" s="1"/>
  <c r="AQ209" i="1" s="1"/>
  <c r="AR209" i="1" s="1"/>
  <c r="AS209" i="1" s="1"/>
  <c r="AT209" i="1" s="1"/>
  <c r="AU209" i="1" s="1"/>
  <c r="AV209" i="1" s="1"/>
  <c r="AW209" i="1" s="1"/>
  <c r="AX209" i="1" s="1"/>
  <c r="AY209" i="1" s="1"/>
  <c r="AZ209" i="1" s="1"/>
  <c r="BA209" i="1" s="1"/>
  <c r="BB209" i="1" s="1"/>
  <c r="BC209" i="1" s="1"/>
  <c r="BD209" i="1" s="1"/>
  <c r="BE209" i="1" s="1"/>
  <c r="BF209" i="1" s="1"/>
  <c r="BG209" i="1" s="1"/>
  <c r="BH209" i="1" s="1"/>
  <c r="BI209" i="1" s="1"/>
  <c r="BJ209" i="1" s="1"/>
  <c r="BK209" i="1" s="1"/>
  <c r="X210" i="1"/>
  <c r="Y210" i="1" s="1"/>
  <c r="AA210" i="1" s="1"/>
  <c r="AB210" i="1" s="1"/>
  <c r="AC210" i="1" s="1"/>
  <c r="AD210" i="1" s="1"/>
  <c r="AE210" i="1" s="1"/>
  <c r="AF210" i="1" s="1"/>
  <c r="AG210" i="1" s="1"/>
  <c r="AH210" i="1" s="1"/>
  <c r="AI210" i="1" s="1"/>
  <c r="AJ210" i="1" s="1"/>
  <c r="AK210" i="1" s="1"/>
  <c r="AL210" i="1" s="1"/>
  <c r="AM210" i="1" s="1"/>
  <c r="AN210" i="1" s="1"/>
  <c r="AO210" i="1" s="1"/>
  <c r="AP210" i="1" s="1"/>
  <c r="AQ210" i="1" s="1"/>
  <c r="AR210" i="1" s="1"/>
  <c r="AS210" i="1" s="1"/>
  <c r="AT210" i="1" s="1"/>
  <c r="AU210" i="1" s="1"/>
  <c r="AV210" i="1" s="1"/>
  <c r="AW210" i="1" s="1"/>
  <c r="AX210" i="1" s="1"/>
  <c r="AY210" i="1" s="1"/>
  <c r="AZ210" i="1" s="1"/>
  <c r="BA210" i="1" s="1"/>
  <c r="BB210" i="1" s="1"/>
  <c r="BC210" i="1" s="1"/>
  <c r="BD210" i="1" s="1"/>
  <c r="BE210" i="1" s="1"/>
  <c r="BF210" i="1" s="1"/>
  <c r="BG210" i="1" s="1"/>
  <c r="BH210" i="1" s="1"/>
  <c r="BI210" i="1" s="1"/>
  <c r="BJ210" i="1" s="1"/>
  <c r="BK210" i="1" s="1"/>
  <c r="E18" i="5"/>
  <c r="H212" i="1"/>
  <c r="I212" i="1" s="1"/>
  <c r="J212" i="1" s="1"/>
  <c r="K212" i="1" s="1"/>
  <c r="L212" i="1" s="1"/>
  <c r="M212" i="1" s="1"/>
  <c r="N212" i="1" s="1"/>
  <c r="O212" i="1" s="1"/>
  <c r="P212" i="1" s="1"/>
  <c r="BL208" i="1"/>
  <c r="BM208" i="1" s="1"/>
  <c r="BN208" i="1" s="1"/>
  <c r="BO208" i="1" s="1"/>
  <c r="BP208" i="1" s="1"/>
  <c r="Q211" i="1"/>
  <c r="R211" i="1" s="1"/>
  <c r="S211" i="1" s="1"/>
  <c r="T211" i="1" s="1"/>
  <c r="U211" i="1" s="1"/>
  <c r="V211" i="1" s="1"/>
  <c r="W211" i="1" s="1"/>
  <c r="F213" i="1"/>
  <c r="G213" i="1" s="1"/>
  <c r="F192" i="1" l="1"/>
  <c r="G192" i="1" s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E193" i="1"/>
  <c r="H18" i="5"/>
  <c r="F18" i="5"/>
  <c r="M98" i="5"/>
  <c r="L98" i="5"/>
  <c r="F98" i="5"/>
  <c r="K98" i="5"/>
  <c r="J98" i="5"/>
  <c r="H98" i="5"/>
  <c r="N98" i="5"/>
  <c r="L195" i="5"/>
  <c r="K195" i="5"/>
  <c r="H195" i="5"/>
  <c r="J195" i="5"/>
  <c r="F195" i="5"/>
  <c r="M195" i="5"/>
  <c r="N195" i="5"/>
  <c r="E19" i="5"/>
  <c r="F19" i="5" s="1"/>
  <c r="E64" i="1"/>
  <c r="E196" i="5"/>
  <c r="X211" i="1"/>
  <c r="Y211" i="1" s="1"/>
  <c r="H213" i="1"/>
  <c r="I213" i="1" s="1"/>
  <c r="J213" i="1" s="1"/>
  <c r="K213" i="1" s="1"/>
  <c r="L213" i="1" s="1"/>
  <c r="M213" i="1" s="1"/>
  <c r="N213" i="1" s="1"/>
  <c r="O213" i="1" s="1"/>
  <c r="P213" i="1" s="1"/>
  <c r="BL209" i="1"/>
  <c r="BM209" i="1" s="1"/>
  <c r="BN209" i="1" s="1"/>
  <c r="BO209" i="1" s="1"/>
  <c r="BP209" i="1" s="1"/>
  <c r="Q212" i="1"/>
  <c r="R212" i="1" s="1"/>
  <c r="S212" i="1" s="1"/>
  <c r="T212" i="1" s="1"/>
  <c r="U212" i="1" s="1"/>
  <c r="V212" i="1" s="1"/>
  <c r="W212" i="1" s="1"/>
  <c r="E100" i="5"/>
  <c r="F214" i="1"/>
  <c r="G214" i="1" s="1"/>
  <c r="E194" i="1" l="1"/>
  <c r="F193" i="1"/>
  <c r="G193" i="1" s="1"/>
  <c r="H193" i="1" s="1"/>
  <c r="I193" i="1" s="1"/>
  <c r="J193" i="1" s="1"/>
  <c r="K193" i="1" s="1"/>
  <c r="L193" i="1" s="1"/>
  <c r="M193" i="1" s="1"/>
  <c r="N193" i="1" s="1"/>
  <c r="O193" i="1" s="1"/>
  <c r="P193" i="1" s="1"/>
  <c r="Q193" i="1" s="1"/>
  <c r="R193" i="1" s="1"/>
  <c r="S193" i="1" s="1"/>
  <c r="T193" i="1" s="1"/>
  <c r="U193" i="1" s="1"/>
  <c r="V193" i="1" s="1"/>
  <c r="W193" i="1" s="1"/>
  <c r="X193" i="1" s="1"/>
  <c r="Y193" i="1" s="1"/>
  <c r="Z193" i="1" s="1"/>
  <c r="F100" i="5"/>
  <c r="M100" i="5"/>
  <c r="N100" i="5"/>
  <c r="L100" i="5"/>
  <c r="J100" i="5"/>
  <c r="H100" i="5"/>
  <c r="K100" i="5"/>
  <c r="H196" i="5"/>
  <c r="F196" i="5"/>
  <c r="N196" i="5"/>
  <c r="L196" i="5"/>
  <c r="K196" i="5"/>
  <c r="J196" i="5"/>
  <c r="M196" i="5"/>
  <c r="F64" i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E65" i="1"/>
  <c r="E66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2" i="1" s="1"/>
  <c r="E83" i="1" s="1"/>
  <c r="E84" i="1" s="1"/>
  <c r="E85" i="1" s="1"/>
  <c r="E86" i="1" s="1"/>
  <c r="E87" i="1" s="1"/>
  <c r="E93" i="1" s="1"/>
  <c r="E99" i="1" s="1"/>
  <c r="E197" i="5"/>
  <c r="E198" i="5" s="1"/>
  <c r="AA211" i="1"/>
  <c r="AB211" i="1" s="1"/>
  <c r="AC211" i="1" s="1"/>
  <c r="AD211" i="1" s="1"/>
  <c r="AE211" i="1" s="1"/>
  <c r="AF211" i="1" s="1"/>
  <c r="AG211" i="1" s="1"/>
  <c r="AH211" i="1" s="1"/>
  <c r="AI211" i="1" s="1"/>
  <c r="AJ211" i="1" s="1"/>
  <c r="AK211" i="1" s="1"/>
  <c r="AL211" i="1" s="1"/>
  <c r="AM211" i="1" s="1"/>
  <c r="AN211" i="1" s="1"/>
  <c r="AO211" i="1" s="1"/>
  <c r="AP211" i="1" s="1"/>
  <c r="AQ211" i="1" s="1"/>
  <c r="AR211" i="1" s="1"/>
  <c r="AS211" i="1" s="1"/>
  <c r="AT211" i="1" s="1"/>
  <c r="AU211" i="1" s="1"/>
  <c r="AV211" i="1" s="1"/>
  <c r="AW211" i="1" s="1"/>
  <c r="AX211" i="1" s="1"/>
  <c r="AY211" i="1" s="1"/>
  <c r="AZ211" i="1" s="1"/>
  <c r="BA211" i="1" s="1"/>
  <c r="BB211" i="1" s="1"/>
  <c r="BC211" i="1" s="1"/>
  <c r="BD211" i="1" s="1"/>
  <c r="BE211" i="1" s="1"/>
  <c r="BF211" i="1" s="1"/>
  <c r="BG211" i="1" s="1"/>
  <c r="BH211" i="1" s="1"/>
  <c r="BI211" i="1" s="1"/>
  <c r="BJ211" i="1" s="1"/>
  <c r="BK211" i="1" s="1"/>
  <c r="X212" i="1"/>
  <c r="Y212" i="1" s="1"/>
  <c r="H214" i="1"/>
  <c r="I214" i="1" s="1"/>
  <c r="J214" i="1" s="1"/>
  <c r="K214" i="1" s="1"/>
  <c r="L214" i="1" s="1"/>
  <c r="M214" i="1" s="1"/>
  <c r="N214" i="1" s="1"/>
  <c r="O214" i="1" s="1"/>
  <c r="P214" i="1" s="1"/>
  <c r="BL210" i="1"/>
  <c r="BM210" i="1" s="1"/>
  <c r="BN210" i="1" s="1"/>
  <c r="BO210" i="1" s="1"/>
  <c r="BP210" i="1" s="1"/>
  <c r="Q213" i="1"/>
  <c r="R213" i="1" s="1"/>
  <c r="S213" i="1" s="1"/>
  <c r="T213" i="1" s="1"/>
  <c r="U213" i="1" s="1"/>
  <c r="V213" i="1" s="1"/>
  <c r="W213" i="1" s="1"/>
  <c r="E20" i="5"/>
  <c r="E101" i="5"/>
  <c r="F215" i="1"/>
  <c r="G215" i="1" s="1"/>
  <c r="E195" i="1" l="1"/>
  <c r="F194" i="1"/>
  <c r="G194" i="1" s="1"/>
  <c r="H194" i="1" s="1"/>
  <c r="I194" i="1" s="1"/>
  <c r="J194" i="1" s="1"/>
  <c r="K194" i="1" s="1"/>
  <c r="L194" i="1" s="1"/>
  <c r="M194" i="1" s="1"/>
  <c r="N194" i="1" s="1"/>
  <c r="O194" i="1" s="1"/>
  <c r="P194" i="1" s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F101" i="5"/>
  <c r="H101" i="5"/>
  <c r="F197" i="5"/>
  <c r="N197" i="5"/>
  <c r="L197" i="5"/>
  <c r="K197" i="5"/>
  <c r="M197" i="5"/>
  <c r="J197" i="5"/>
  <c r="H197" i="5"/>
  <c r="H20" i="5"/>
  <c r="F20" i="5"/>
  <c r="K198" i="5"/>
  <c r="J198" i="5"/>
  <c r="F198" i="5"/>
  <c r="N198" i="5"/>
  <c r="H198" i="5"/>
  <c r="M198" i="5"/>
  <c r="L198" i="5"/>
  <c r="AA212" i="1"/>
  <c r="AB212" i="1" s="1"/>
  <c r="AC212" i="1" s="1"/>
  <c r="AD212" i="1" s="1"/>
  <c r="AE212" i="1" s="1"/>
  <c r="AF212" i="1" s="1"/>
  <c r="AG212" i="1" s="1"/>
  <c r="AH212" i="1" s="1"/>
  <c r="AI212" i="1" s="1"/>
  <c r="AJ212" i="1" s="1"/>
  <c r="AK212" i="1" s="1"/>
  <c r="AL212" i="1" s="1"/>
  <c r="AM212" i="1" s="1"/>
  <c r="AN212" i="1" s="1"/>
  <c r="AO212" i="1" s="1"/>
  <c r="AP212" i="1" s="1"/>
  <c r="AQ212" i="1" s="1"/>
  <c r="AR212" i="1" s="1"/>
  <c r="AS212" i="1" s="1"/>
  <c r="AT212" i="1" s="1"/>
  <c r="AU212" i="1" s="1"/>
  <c r="AV212" i="1" s="1"/>
  <c r="AW212" i="1" s="1"/>
  <c r="AX212" i="1" s="1"/>
  <c r="AY212" i="1" s="1"/>
  <c r="AZ212" i="1" s="1"/>
  <c r="BA212" i="1" s="1"/>
  <c r="BB212" i="1" s="1"/>
  <c r="BC212" i="1" s="1"/>
  <c r="BD212" i="1" s="1"/>
  <c r="BE212" i="1" s="1"/>
  <c r="BF212" i="1" s="1"/>
  <c r="BG212" i="1" s="1"/>
  <c r="BH212" i="1" s="1"/>
  <c r="BI212" i="1" s="1"/>
  <c r="BJ212" i="1" s="1"/>
  <c r="BK212" i="1" s="1"/>
  <c r="X213" i="1"/>
  <c r="Y213" i="1" s="1"/>
  <c r="H215" i="1"/>
  <c r="I215" i="1" s="1"/>
  <c r="J215" i="1" s="1"/>
  <c r="K215" i="1" s="1"/>
  <c r="L215" i="1" s="1"/>
  <c r="M215" i="1" s="1"/>
  <c r="N215" i="1" s="1"/>
  <c r="O215" i="1" s="1"/>
  <c r="P215" i="1" s="1"/>
  <c r="BL211" i="1"/>
  <c r="BM211" i="1" s="1"/>
  <c r="BN211" i="1" s="1"/>
  <c r="BO211" i="1" s="1"/>
  <c r="BP211" i="1" s="1"/>
  <c r="Q214" i="1"/>
  <c r="R214" i="1" s="1"/>
  <c r="S214" i="1" s="1"/>
  <c r="T214" i="1" s="1"/>
  <c r="U214" i="1" s="1"/>
  <c r="V214" i="1" s="1"/>
  <c r="W214" i="1" s="1"/>
  <c r="E21" i="5"/>
  <c r="E102" i="5"/>
  <c r="E199" i="5"/>
  <c r="E196" i="1" l="1"/>
  <c r="F195" i="1"/>
  <c r="G195" i="1" s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F102" i="5"/>
  <c r="G102" i="5"/>
  <c r="F199" i="5"/>
  <c r="H199" i="5"/>
  <c r="H21" i="5"/>
  <c r="F21" i="5"/>
  <c r="AA213" i="1"/>
  <c r="AB213" i="1" s="1"/>
  <c r="AC213" i="1" s="1"/>
  <c r="AD213" i="1" s="1"/>
  <c r="AE213" i="1" s="1"/>
  <c r="AF213" i="1" s="1"/>
  <c r="AG213" i="1" s="1"/>
  <c r="AH213" i="1" s="1"/>
  <c r="AI213" i="1" s="1"/>
  <c r="AJ213" i="1" s="1"/>
  <c r="AK213" i="1" s="1"/>
  <c r="AL213" i="1" s="1"/>
  <c r="AM213" i="1" s="1"/>
  <c r="AN213" i="1" s="1"/>
  <c r="AO213" i="1" s="1"/>
  <c r="AP213" i="1" s="1"/>
  <c r="AQ213" i="1" s="1"/>
  <c r="AR213" i="1" s="1"/>
  <c r="AS213" i="1" s="1"/>
  <c r="AT213" i="1" s="1"/>
  <c r="AU213" i="1" s="1"/>
  <c r="AV213" i="1" s="1"/>
  <c r="AW213" i="1" s="1"/>
  <c r="AX213" i="1" s="1"/>
  <c r="AY213" i="1" s="1"/>
  <c r="AZ213" i="1" s="1"/>
  <c r="BA213" i="1" s="1"/>
  <c r="BB213" i="1" s="1"/>
  <c r="BC213" i="1" s="1"/>
  <c r="BD213" i="1" s="1"/>
  <c r="BE213" i="1" s="1"/>
  <c r="BF213" i="1" s="1"/>
  <c r="BG213" i="1" s="1"/>
  <c r="BH213" i="1" s="1"/>
  <c r="BI213" i="1" s="1"/>
  <c r="BJ213" i="1" s="1"/>
  <c r="BK213" i="1" s="1"/>
  <c r="X214" i="1"/>
  <c r="Y214" i="1" s="1"/>
  <c r="BL212" i="1"/>
  <c r="BM212" i="1" s="1"/>
  <c r="BN212" i="1" s="1"/>
  <c r="BO212" i="1" s="1"/>
  <c r="BP212" i="1" s="1"/>
  <c r="Q215" i="1"/>
  <c r="R215" i="1" s="1"/>
  <c r="S215" i="1" s="1"/>
  <c r="T215" i="1" s="1"/>
  <c r="U215" i="1" s="1"/>
  <c r="V215" i="1" s="1"/>
  <c r="W215" i="1" s="1"/>
  <c r="E200" i="5"/>
  <c r="E103" i="5"/>
  <c r="E22" i="5"/>
  <c r="E197" i="1" l="1"/>
  <c r="F196" i="1"/>
  <c r="G196" i="1" s="1"/>
  <c r="H196" i="1" s="1"/>
  <c r="I196" i="1" s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H103" i="5"/>
  <c r="F103" i="5"/>
  <c r="F200" i="5"/>
  <c r="H200" i="5"/>
  <c r="F22" i="5"/>
  <c r="H22" i="5"/>
  <c r="AA214" i="1"/>
  <c r="AB214" i="1" s="1"/>
  <c r="AC214" i="1" s="1"/>
  <c r="AD214" i="1" s="1"/>
  <c r="AE214" i="1" s="1"/>
  <c r="AF214" i="1" s="1"/>
  <c r="AG214" i="1" s="1"/>
  <c r="AH214" i="1" s="1"/>
  <c r="AI214" i="1" s="1"/>
  <c r="AJ214" i="1" s="1"/>
  <c r="AK214" i="1" s="1"/>
  <c r="AL214" i="1" s="1"/>
  <c r="AM214" i="1" s="1"/>
  <c r="AN214" i="1" s="1"/>
  <c r="AO214" i="1" s="1"/>
  <c r="AP214" i="1" s="1"/>
  <c r="AQ214" i="1" s="1"/>
  <c r="AR214" i="1" s="1"/>
  <c r="AS214" i="1" s="1"/>
  <c r="AT214" i="1" s="1"/>
  <c r="AU214" i="1" s="1"/>
  <c r="AV214" i="1" s="1"/>
  <c r="AW214" i="1" s="1"/>
  <c r="AX214" i="1" s="1"/>
  <c r="AY214" i="1" s="1"/>
  <c r="AZ214" i="1" s="1"/>
  <c r="BA214" i="1" s="1"/>
  <c r="BB214" i="1" s="1"/>
  <c r="BC214" i="1" s="1"/>
  <c r="BD214" i="1" s="1"/>
  <c r="BE214" i="1" s="1"/>
  <c r="BF214" i="1" s="1"/>
  <c r="BG214" i="1" s="1"/>
  <c r="BH214" i="1" s="1"/>
  <c r="BI214" i="1" s="1"/>
  <c r="BJ214" i="1" s="1"/>
  <c r="BK214" i="1" s="1"/>
  <c r="X215" i="1"/>
  <c r="Y215" i="1" s="1"/>
  <c r="BL213" i="1"/>
  <c r="BM213" i="1" s="1"/>
  <c r="BN213" i="1" s="1"/>
  <c r="BO213" i="1" s="1"/>
  <c r="BP213" i="1" s="1"/>
  <c r="E23" i="5"/>
  <c r="E104" i="5"/>
  <c r="E201" i="5"/>
  <c r="E199" i="1" l="1"/>
  <c r="E200" i="1" s="1"/>
  <c r="E201" i="1" s="1"/>
  <c r="E202" i="1" s="1"/>
  <c r="E203" i="1" s="1"/>
  <c r="F197" i="1"/>
  <c r="G197" i="1" s="1"/>
  <c r="H197" i="1" s="1"/>
  <c r="I197" i="1" s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F201" i="5"/>
  <c r="H201" i="5"/>
  <c r="H104" i="5"/>
  <c r="F104" i="5"/>
  <c r="F23" i="5"/>
  <c r="H23" i="5"/>
  <c r="AA215" i="1"/>
  <c r="AB215" i="1" s="1"/>
  <c r="AC215" i="1" s="1"/>
  <c r="AD215" i="1" s="1"/>
  <c r="AE215" i="1" s="1"/>
  <c r="AF215" i="1" s="1"/>
  <c r="AG215" i="1" s="1"/>
  <c r="AH215" i="1" s="1"/>
  <c r="AI215" i="1" s="1"/>
  <c r="AJ215" i="1" s="1"/>
  <c r="AK215" i="1" s="1"/>
  <c r="AL215" i="1" s="1"/>
  <c r="AM215" i="1" s="1"/>
  <c r="AN215" i="1" s="1"/>
  <c r="AO215" i="1" s="1"/>
  <c r="AP215" i="1" s="1"/>
  <c r="AQ215" i="1" s="1"/>
  <c r="AR215" i="1" s="1"/>
  <c r="AS215" i="1" s="1"/>
  <c r="AT215" i="1" s="1"/>
  <c r="AU215" i="1" s="1"/>
  <c r="AV215" i="1" s="1"/>
  <c r="AW215" i="1" s="1"/>
  <c r="AX215" i="1" s="1"/>
  <c r="AY215" i="1" s="1"/>
  <c r="AZ215" i="1" s="1"/>
  <c r="BA215" i="1" s="1"/>
  <c r="BB215" i="1" s="1"/>
  <c r="BC215" i="1" s="1"/>
  <c r="BD215" i="1" s="1"/>
  <c r="BE215" i="1" s="1"/>
  <c r="BF215" i="1" s="1"/>
  <c r="BG215" i="1" s="1"/>
  <c r="BH215" i="1" s="1"/>
  <c r="BI215" i="1" s="1"/>
  <c r="BJ215" i="1" s="1"/>
  <c r="BK215" i="1" s="1"/>
  <c r="BL214" i="1"/>
  <c r="BM214" i="1" s="1"/>
  <c r="BN214" i="1" s="1"/>
  <c r="BO214" i="1" s="1"/>
  <c r="BP214" i="1" s="1"/>
  <c r="E105" i="5"/>
  <c r="E24" i="5"/>
  <c r="E202" i="5"/>
  <c r="F24" i="5" l="1"/>
  <c r="H24" i="5"/>
  <c r="H202" i="5"/>
  <c r="F202" i="5"/>
  <c r="H105" i="5"/>
  <c r="F105" i="5"/>
  <c r="BL215" i="1"/>
  <c r="BM215" i="1" s="1"/>
  <c r="BN215" i="1" s="1"/>
  <c r="BO215" i="1" s="1"/>
  <c r="BP215" i="1" s="1"/>
  <c r="E203" i="5"/>
  <c r="E25" i="5"/>
  <c r="E106" i="5"/>
  <c r="H203" i="5" l="1"/>
  <c r="F203" i="5"/>
  <c r="H106" i="5"/>
  <c r="F106" i="5"/>
  <c r="F25" i="5"/>
  <c r="O25" i="5"/>
  <c r="Q25" i="5"/>
  <c r="P25" i="5"/>
  <c r="H25" i="5"/>
  <c r="E26" i="5"/>
  <c r="I26" i="5" s="1"/>
  <c r="E107" i="5"/>
  <c r="E204" i="5"/>
  <c r="H204" i="5" l="1"/>
  <c r="F204" i="5"/>
  <c r="H107" i="5"/>
  <c r="F107" i="5"/>
  <c r="E205" i="5"/>
  <c r="E108" i="5"/>
  <c r="H108" i="5" l="1"/>
  <c r="F108" i="5"/>
  <c r="H205" i="5"/>
  <c r="F205" i="5"/>
  <c r="E109" i="5"/>
  <c r="E27" i="5"/>
  <c r="E206" i="5"/>
  <c r="H206" i="5" l="1"/>
  <c r="F206" i="5"/>
  <c r="G27" i="5"/>
  <c r="F27" i="5"/>
  <c r="H109" i="5"/>
  <c r="F109" i="5"/>
  <c r="E207" i="5"/>
  <c r="E28" i="5"/>
  <c r="E110" i="5"/>
  <c r="F108" i="1"/>
  <c r="G108" i="1" s="1"/>
  <c r="H207" i="5" l="1"/>
  <c r="F207" i="5"/>
  <c r="H28" i="5"/>
  <c r="F28" i="5"/>
  <c r="F110" i="5"/>
  <c r="H110" i="5"/>
  <c r="H108" i="1"/>
  <c r="I108" i="1" s="1"/>
  <c r="J108" i="1" s="1"/>
  <c r="K108" i="1" s="1"/>
  <c r="L108" i="1" s="1"/>
  <c r="M108" i="1" s="1"/>
  <c r="N108" i="1" s="1"/>
  <c r="O108" i="1" s="1"/>
  <c r="P108" i="1" s="1"/>
  <c r="E111" i="5"/>
  <c r="E29" i="5"/>
  <c r="E208" i="5"/>
  <c r="H208" i="5" l="1"/>
  <c r="F208" i="5"/>
  <c r="F29" i="5"/>
  <c r="H29" i="5"/>
  <c r="F111" i="5"/>
  <c r="H111" i="5"/>
  <c r="Q108" i="1"/>
  <c r="R108" i="1" s="1"/>
  <c r="S108" i="1" s="1"/>
  <c r="T108" i="1" s="1"/>
  <c r="U108" i="1" s="1"/>
  <c r="V108" i="1" s="1"/>
  <c r="W108" i="1" s="1"/>
  <c r="E209" i="5"/>
  <c r="E30" i="5"/>
  <c r="E112" i="5"/>
  <c r="F112" i="5" l="1"/>
  <c r="H112" i="5"/>
  <c r="H30" i="5"/>
  <c r="F30" i="5"/>
  <c r="H209" i="5"/>
  <c r="F209" i="5"/>
  <c r="X108" i="1"/>
  <c r="Y108" i="1" s="1"/>
  <c r="E113" i="5"/>
  <c r="E31" i="5"/>
  <c r="E210" i="5"/>
  <c r="H210" i="5" l="1"/>
  <c r="F210" i="5"/>
  <c r="H31" i="5"/>
  <c r="F31" i="5"/>
  <c r="F113" i="5"/>
  <c r="H113" i="5"/>
  <c r="E211" i="5"/>
  <c r="E32" i="5"/>
  <c r="E114" i="5"/>
  <c r="F8" i="1"/>
  <c r="H32" i="5" l="1"/>
  <c r="F32" i="5"/>
  <c r="F114" i="5"/>
  <c r="H114" i="5"/>
  <c r="F211" i="5"/>
  <c r="H211" i="5"/>
  <c r="E33" i="5"/>
  <c r="E115" i="5"/>
  <c r="E212" i="5"/>
  <c r="E213" i="5" s="1"/>
  <c r="G8" i="1"/>
  <c r="F9" i="1"/>
  <c r="H213" i="5" l="1"/>
  <c r="E214" i="5"/>
  <c r="F213" i="5"/>
  <c r="F115" i="5"/>
  <c r="H115" i="5"/>
  <c r="F212" i="5"/>
  <c r="H212" i="5"/>
  <c r="H33" i="5"/>
  <c r="F33" i="5"/>
  <c r="E116" i="5"/>
  <c r="H8" i="1"/>
  <c r="G9" i="1"/>
  <c r="F27" i="1"/>
  <c r="G27" i="1" s="1"/>
  <c r="F13" i="1"/>
  <c r="G13" i="1" s="1"/>
  <c r="E215" i="5" l="1"/>
  <c r="H214" i="5"/>
  <c r="F214" i="5"/>
  <c r="F116" i="5"/>
  <c r="H116" i="5"/>
  <c r="H13" i="1"/>
  <c r="H27" i="1"/>
  <c r="I8" i="1"/>
  <c r="J8" i="1" s="1"/>
  <c r="K8" i="1" s="1"/>
  <c r="L8" i="1" s="1"/>
  <c r="M8" i="1" s="1"/>
  <c r="N8" i="1" s="1"/>
  <c r="O8" i="1" s="1"/>
  <c r="P8" i="1" s="1"/>
  <c r="I13" i="1"/>
  <c r="J13" i="1" s="1"/>
  <c r="K13" i="1" s="1"/>
  <c r="L13" i="1" s="1"/>
  <c r="M13" i="1" s="1"/>
  <c r="N13" i="1" s="1"/>
  <c r="O13" i="1" s="1"/>
  <c r="P13" i="1" s="1"/>
  <c r="I27" i="1"/>
  <c r="J27" i="1" s="1"/>
  <c r="K27" i="1" s="1"/>
  <c r="L27" i="1" s="1"/>
  <c r="M27" i="1" s="1"/>
  <c r="N27" i="1" s="1"/>
  <c r="O27" i="1" s="1"/>
  <c r="P27" i="1" s="1"/>
  <c r="E117" i="5"/>
  <c r="E34" i="5"/>
  <c r="H9" i="1"/>
  <c r="F14" i="1"/>
  <c r="G14" i="1" s="1"/>
  <c r="E216" i="5" l="1"/>
  <c r="E217" i="5" s="1"/>
  <c r="H215" i="5"/>
  <c r="F215" i="5"/>
  <c r="H34" i="5"/>
  <c r="F34" i="5"/>
  <c r="H117" i="5"/>
  <c r="F117" i="5"/>
  <c r="Q27" i="1"/>
  <c r="R27" i="1" s="1"/>
  <c r="S27" i="1" s="1"/>
  <c r="T27" i="1" s="1"/>
  <c r="U27" i="1" s="1"/>
  <c r="V27" i="1" s="1"/>
  <c r="W27" i="1" s="1"/>
  <c r="H14" i="1"/>
  <c r="I14" i="1" s="1"/>
  <c r="J14" i="1" s="1"/>
  <c r="K14" i="1" s="1"/>
  <c r="L14" i="1" s="1"/>
  <c r="M14" i="1" s="1"/>
  <c r="N14" i="1" s="1"/>
  <c r="O14" i="1" s="1"/>
  <c r="P14" i="1" s="1"/>
  <c r="Q13" i="1"/>
  <c r="R13" i="1" s="1"/>
  <c r="S13" i="1" s="1"/>
  <c r="T13" i="1" s="1"/>
  <c r="U13" i="1" s="1"/>
  <c r="V13" i="1" s="1"/>
  <c r="W13" i="1" s="1"/>
  <c r="Q8" i="1"/>
  <c r="R8" i="1" s="1"/>
  <c r="S8" i="1" s="1"/>
  <c r="T8" i="1" s="1"/>
  <c r="U8" i="1" s="1"/>
  <c r="V8" i="1" s="1"/>
  <c r="W8" i="1" s="1"/>
  <c r="I9" i="1"/>
  <c r="J9" i="1" s="1"/>
  <c r="K9" i="1" s="1"/>
  <c r="L9" i="1" s="1"/>
  <c r="M9" i="1" s="1"/>
  <c r="N9" i="1" s="1"/>
  <c r="O9" i="1" s="1"/>
  <c r="P9" i="1" s="1"/>
  <c r="E35" i="5"/>
  <c r="E118" i="5"/>
  <c r="F15" i="1"/>
  <c r="G15" i="1" s="1"/>
  <c r="H216" i="5" l="1"/>
  <c r="F216" i="5"/>
  <c r="F35" i="5"/>
  <c r="H35" i="5"/>
  <c r="H118" i="5"/>
  <c r="F118" i="5"/>
  <c r="F217" i="5"/>
  <c r="H217" i="5"/>
  <c r="X8" i="1"/>
  <c r="Y8" i="1" s="1"/>
  <c r="AA8" i="1" s="1"/>
  <c r="X13" i="1"/>
  <c r="X27" i="1"/>
  <c r="Y27" i="1" s="1"/>
  <c r="AA27" i="1" s="1"/>
  <c r="H15" i="1"/>
  <c r="I15" i="1" s="1"/>
  <c r="J15" i="1" s="1"/>
  <c r="K15" i="1" s="1"/>
  <c r="L15" i="1" s="1"/>
  <c r="M15" i="1" s="1"/>
  <c r="N15" i="1" s="1"/>
  <c r="O15" i="1" s="1"/>
  <c r="P15" i="1" s="1"/>
  <c r="Q9" i="1"/>
  <c r="R9" i="1" s="1"/>
  <c r="S9" i="1" s="1"/>
  <c r="T9" i="1" s="1"/>
  <c r="U9" i="1" s="1"/>
  <c r="V9" i="1" s="1"/>
  <c r="W9" i="1" s="1"/>
  <c r="Q14" i="1"/>
  <c r="R14" i="1" s="1"/>
  <c r="S14" i="1" s="1"/>
  <c r="T14" i="1" s="1"/>
  <c r="U14" i="1" s="1"/>
  <c r="V14" i="1" s="1"/>
  <c r="W14" i="1" s="1"/>
  <c r="E119" i="5"/>
  <c r="E36" i="5"/>
  <c r="E218" i="5"/>
  <c r="F16" i="1"/>
  <c r="G16" i="1" s="1"/>
  <c r="H36" i="5" l="1"/>
  <c r="F36" i="5"/>
  <c r="H119" i="5"/>
  <c r="F119" i="5"/>
  <c r="F218" i="5"/>
  <c r="H218" i="5"/>
  <c r="Y13" i="1"/>
  <c r="Z13" i="1" s="1"/>
  <c r="AB27" i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AB8" i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X9" i="1"/>
  <c r="Y9" i="1" s="1"/>
  <c r="AA9" i="1" s="1"/>
  <c r="X14" i="1"/>
  <c r="H16" i="1"/>
  <c r="I16" i="1" s="1"/>
  <c r="J16" i="1" s="1"/>
  <c r="K16" i="1" s="1"/>
  <c r="L16" i="1" s="1"/>
  <c r="M16" i="1" s="1"/>
  <c r="N16" i="1" s="1"/>
  <c r="O16" i="1" s="1"/>
  <c r="P16" i="1" s="1"/>
  <c r="Q15" i="1"/>
  <c r="R15" i="1" s="1"/>
  <c r="S15" i="1" s="1"/>
  <c r="T15" i="1" s="1"/>
  <c r="U15" i="1" s="1"/>
  <c r="V15" i="1" s="1"/>
  <c r="W15" i="1" s="1"/>
  <c r="E219" i="5"/>
  <c r="E37" i="5"/>
  <c r="E120" i="5"/>
  <c r="F17" i="1"/>
  <c r="G17" i="1" s="1"/>
  <c r="H219" i="5" l="1"/>
  <c r="F219" i="5"/>
  <c r="H120" i="5"/>
  <c r="F120" i="5"/>
  <c r="H37" i="5"/>
  <c r="F37" i="5"/>
  <c r="Y14" i="1"/>
  <c r="Z14" i="1" s="1"/>
  <c r="AB9" i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X15" i="1"/>
  <c r="BA8" i="1"/>
  <c r="BB8" i="1" s="1"/>
  <c r="BC8" i="1" s="1"/>
  <c r="BD8" i="1" s="1"/>
  <c r="BE8" i="1" s="1"/>
  <c r="BF8" i="1" s="1"/>
  <c r="H17" i="1"/>
  <c r="I17" i="1" s="1"/>
  <c r="J17" i="1" s="1"/>
  <c r="K17" i="1" s="1"/>
  <c r="L17" i="1" s="1"/>
  <c r="M17" i="1" s="1"/>
  <c r="N17" i="1" s="1"/>
  <c r="O17" i="1" s="1"/>
  <c r="P17" i="1" s="1"/>
  <c r="Q16" i="1"/>
  <c r="R16" i="1" s="1"/>
  <c r="S16" i="1" s="1"/>
  <c r="T16" i="1" s="1"/>
  <c r="U16" i="1" s="1"/>
  <c r="V16" i="1" s="1"/>
  <c r="W16" i="1" s="1"/>
  <c r="E121" i="5"/>
  <c r="E220" i="5"/>
  <c r="E38" i="5"/>
  <c r="F18" i="1"/>
  <c r="G18" i="1" s="1"/>
  <c r="H220" i="5" l="1"/>
  <c r="F220" i="5"/>
  <c r="H121" i="5"/>
  <c r="F121" i="5"/>
  <c r="F38" i="5"/>
  <c r="H38" i="5"/>
  <c r="Y15" i="1"/>
  <c r="Z15" i="1" s="1"/>
  <c r="X16" i="1"/>
  <c r="BG8" i="1"/>
  <c r="BH8" i="1" s="1"/>
  <c r="BI8" i="1" s="1"/>
  <c r="BJ8" i="1" s="1"/>
  <c r="BK8" i="1" s="1"/>
  <c r="BL8" i="1" s="1"/>
  <c r="BM8" i="1" s="1"/>
  <c r="BN8" i="1" s="1"/>
  <c r="BO8" i="1" s="1"/>
  <c r="BP8" i="1" s="1"/>
  <c r="H18" i="1"/>
  <c r="I18" i="1" s="1"/>
  <c r="J18" i="1" s="1"/>
  <c r="K18" i="1" s="1"/>
  <c r="L18" i="1" s="1"/>
  <c r="M18" i="1" s="1"/>
  <c r="N18" i="1" s="1"/>
  <c r="O18" i="1" s="1"/>
  <c r="P18" i="1" s="1"/>
  <c r="BK9" i="1"/>
  <c r="BL9" i="1" s="1"/>
  <c r="BM9" i="1" s="1"/>
  <c r="BN9" i="1" s="1"/>
  <c r="BO9" i="1" s="1"/>
  <c r="BP9" i="1" s="1"/>
  <c r="Q17" i="1"/>
  <c r="R17" i="1" s="1"/>
  <c r="S17" i="1" s="1"/>
  <c r="T17" i="1" s="1"/>
  <c r="U17" i="1" s="1"/>
  <c r="V17" i="1" s="1"/>
  <c r="W17" i="1" s="1"/>
  <c r="E39" i="5"/>
  <c r="E221" i="5"/>
  <c r="E122" i="5"/>
  <c r="F105" i="1"/>
  <c r="G105" i="1" s="1"/>
  <c r="F19" i="1"/>
  <c r="G19" i="1" s="1"/>
  <c r="H221" i="5" l="1"/>
  <c r="F221" i="5"/>
  <c r="F39" i="5"/>
  <c r="H39" i="5"/>
  <c r="H122" i="5"/>
  <c r="F122" i="5"/>
  <c r="Y16" i="1"/>
  <c r="Z16" i="1" s="1"/>
  <c r="X17" i="1"/>
  <c r="H19" i="1"/>
  <c r="I19" i="1" s="1"/>
  <c r="J19" i="1" s="1"/>
  <c r="K19" i="1" s="1"/>
  <c r="L19" i="1" s="1"/>
  <c r="M19" i="1" s="1"/>
  <c r="N19" i="1" s="1"/>
  <c r="O19" i="1" s="1"/>
  <c r="P19" i="1" s="1"/>
  <c r="H105" i="1"/>
  <c r="I105" i="1" s="1"/>
  <c r="J105" i="1" s="1"/>
  <c r="K105" i="1" s="1"/>
  <c r="L105" i="1" s="1"/>
  <c r="M105" i="1" s="1"/>
  <c r="N105" i="1" s="1"/>
  <c r="O105" i="1" s="1"/>
  <c r="P105" i="1" s="1"/>
  <c r="Q18" i="1"/>
  <c r="R18" i="1" s="1"/>
  <c r="S18" i="1" s="1"/>
  <c r="T18" i="1" s="1"/>
  <c r="U18" i="1" s="1"/>
  <c r="V18" i="1" s="1"/>
  <c r="W18" i="1" s="1"/>
  <c r="E123" i="5"/>
  <c r="E222" i="5"/>
  <c r="E40" i="5"/>
  <c r="F109" i="1"/>
  <c r="G109" i="1" s="1"/>
  <c r="F22" i="1"/>
  <c r="G22" i="1" s="1"/>
  <c r="F40" i="5" l="1"/>
  <c r="H40" i="5"/>
  <c r="H222" i="5"/>
  <c r="F222" i="5"/>
  <c r="H123" i="5"/>
  <c r="F123" i="5"/>
  <c r="Y17" i="1"/>
  <c r="Z17" i="1" s="1"/>
  <c r="X18" i="1"/>
  <c r="H22" i="1"/>
  <c r="I22" i="1" s="1"/>
  <c r="J22" i="1" s="1"/>
  <c r="K22" i="1" s="1"/>
  <c r="L22" i="1" s="1"/>
  <c r="M22" i="1" s="1"/>
  <c r="N22" i="1" s="1"/>
  <c r="O22" i="1" s="1"/>
  <c r="P22" i="1" s="1"/>
  <c r="H109" i="1"/>
  <c r="Q105" i="1"/>
  <c r="R105" i="1" s="1"/>
  <c r="S105" i="1" s="1"/>
  <c r="T105" i="1" s="1"/>
  <c r="U105" i="1" s="1"/>
  <c r="V105" i="1" s="1"/>
  <c r="W105" i="1" s="1"/>
  <c r="Q19" i="1"/>
  <c r="R19" i="1" s="1"/>
  <c r="S19" i="1" s="1"/>
  <c r="T19" i="1" s="1"/>
  <c r="U19" i="1" s="1"/>
  <c r="V19" i="1" s="1"/>
  <c r="W19" i="1" s="1"/>
  <c r="I109" i="1"/>
  <c r="J109" i="1" s="1"/>
  <c r="K109" i="1" s="1"/>
  <c r="L109" i="1" s="1"/>
  <c r="M109" i="1" s="1"/>
  <c r="N109" i="1" s="1"/>
  <c r="O109" i="1" s="1"/>
  <c r="P109" i="1" s="1"/>
  <c r="E223" i="5"/>
  <c r="F223" i="5" s="1"/>
  <c r="E41" i="5"/>
  <c r="E124" i="5"/>
  <c r="F115" i="1"/>
  <c r="G115" i="1" s="1"/>
  <c r="F110" i="1"/>
  <c r="G110" i="1" s="1"/>
  <c r="F23" i="1"/>
  <c r="G23" i="1" s="1"/>
  <c r="F124" i="5" l="1"/>
  <c r="H124" i="5"/>
  <c r="H41" i="5"/>
  <c r="F41" i="5"/>
  <c r="E42" i="5"/>
  <c r="Y18" i="1"/>
  <c r="Z18" i="1" s="1"/>
  <c r="X19" i="1"/>
  <c r="X105" i="1"/>
  <c r="Y105" i="1" s="1"/>
  <c r="H23" i="1"/>
  <c r="I23" i="1" s="1"/>
  <c r="J23" i="1" s="1"/>
  <c r="K23" i="1" s="1"/>
  <c r="L23" i="1" s="1"/>
  <c r="M23" i="1" s="1"/>
  <c r="N23" i="1" s="1"/>
  <c r="O23" i="1" s="1"/>
  <c r="P23" i="1" s="1"/>
  <c r="H110" i="1"/>
  <c r="I110" i="1" s="1"/>
  <c r="J110" i="1" s="1"/>
  <c r="K110" i="1" s="1"/>
  <c r="L110" i="1" s="1"/>
  <c r="M110" i="1" s="1"/>
  <c r="N110" i="1" s="1"/>
  <c r="O110" i="1" s="1"/>
  <c r="P110" i="1" s="1"/>
  <c r="H115" i="1"/>
  <c r="I115" i="1" s="1"/>
  <c r="J115" i="1" s="1"/>
  <c r="K115" i="1" s="1"/>
  <c r="L115" i="1" s="1"/>
  <c r="M115" i="1" s="1"/>
  <c r="N115" i="1" s="1"/>
  <c r="O115" i="1" s="1"/>
  <c r="P115" i="1" s="1"/>
  <c r="Q22" i="1"/>
  <c r="R22" i="1" s="1"/>
  <c r="S22" i="1" s="1"/>
  <c r="T22" i="1" s="1"/>
  <c r="U22" i="1" s="1"/>
  <c r="V22" i="1" s="1"/>
  <c r="W22" i="1" s="1"/>
  <c r="Q109" i="1"/>
  <c r="R109" i="1" s="1"/>
  <c r="S109" i="1" s="1"/>
  <c r="T109" i="1" s="1"/>
  <c r="U109" i="1" s="1"/>
  <c r="V109" i="1" s="1"/>
  <c r="W109" i="1" s="1"/>
  <c r="E224" i="5"/>
  <c r="E125" i="5"/>
  <c r="F117" i="1"/>
  <c r="G117" i="1" s="1"/>
  <c r="F24" i="1"/>
  <c r="G24" i="1" s="1"/>
  <c r="H224" i="5" l="1"/>
  <c r="F224" i="5"/>
  <c r="H42" i="5"/>
  <c r="F42" i="5"/>
  <c r="F125" i="5"/>
  <c r="H125" i="5"/>
  <c r="AA105" i="1"/>
  <c r="AB105" i="1" s="1"/>
  <c r="AC105" i="1" s="1"/>
  <c r="AD105" i="1" s="1"/>
  <c r="AE105" i="1" s="1"/>
  <c r="AF105" i="1" s="1"/>
  <c r="AG105" i="1" s="1"/>
  <c r="AH105" i="1" s="1"/>
  <c r="AI105" i="1" s="1"/>
  <c r="AJ105" i="1" s="1"/>
  <c r="AK105" i="1" s="1"/>
  <c r="AL105" i="1" s="1"/>
  <c r="AM105" i="1" s="1"/>
  <c r="AN105" i="1" s="1"/>
  <c r="AO105" i="1" s="1"/>
  <c r="AP105" i="1" s="1"/>
  <c r="AQ105" i="1" s="1"/>
  <c r="AR105" i="1" s="1"/>
  <c r="AS105" i="1" s="1"/>
  <c r="AT105" i="1" s="1"/>
  <c r="AU105" i="1" s="1"/>
  <c r="AV105" i="1" s="1"/>
  <c r="AW105" i="1" s="1"/>
  <c r="AX105" i="1" s="1"/>
  <c r="AY105" i="1" s="1"/>
  <c r="AZ105" i="1" s="1"/>
  <c r="BA105" i="1" s="1"/>
  <c r="BB105" i="1" s="1"/>
  <c r="BC105" i="1" s="1"/>
  <c r="BD105" i="1" s="1"/>
  <c r="BE105" i="1" s="1"/>
  <c r="BF105" i="1" s="1"/>
  <c r="BG105" i="1" s="1"/>
  <c r="BH105" i="1" s="1"/>
  <c r="BI105" i="1" s="1"/>
  <c r="BJ105" i="1" s="1"/>
  <c r="Y19" i="1"/>
  <c r="Z19" i="1" s="1"/>
  <c r="X22" i="1"/>
  <c r="X109" i="1"/>
  <c r="Y109" i="1" s="1"/>
  <c r="AA109" i="1" s="1"/>
  <c r="AB109" i="1" s="1"/>
  <c r="AC109" i="1" s="1"/>
  <c r="AD109" i="1" s="1"/>
  <c r="AE109" i="1" s="1"/>
  <c r="AF109" i="1" s="1"/>
  <c r="AG109" i="1" s="1"/>
  <c r="AH109" i="1" s="1"/>
  <c r="AI109" i="1" s="1"/>
  <c r="AJ109" i="1" s="1"/>
  <c r="AK109" i="1" s="1"/>
  <c r="AL109" i="1" s="1"/>
  <c r="AM109" i="1" s="1"/>
  <c r="AN109" i="1" s="1"/>
  <c r="AO109" i="1" s="1"/>
  <c r="AP109" i="1" s="1"/>
  <c r="AQ109" i="1" s="1"/>
  <c r="AR109" i="1" s="1"/>
  <c r="AS109" i="1" s="1"/>
  <c r="AT109" i="1" s="1"/>
  <c r="AU109" i="1" s="1"/>
  <c r="AV109" i="1" s="1"/>
  <c r="AW109" i="1" s="1"/>
  <c r="AX109" i="1" s="1"/>
  <c r="AY109" i="1" s="1"/>
  <c r="AZ109" i="1" s="1"/>
  <c r="BA109" i="1" s="1"/>
  <c r="BB109" i="1" s="1"/>
  <c r="BC109" i="1" s="1"/>
  <c r="BD109" i="1" s="1"/>
  <c r="BE109" i="1" s="1"/>
  <c r="BF109" i="1" s="1"/>
  <c r="BG109" i="1" s="1"/>
  <c r="BH109" i="1" s="1"/>
  <c r="BI109" i="1" s="1"/>
  <c r="BJ109" i="1" s="1"/>
  <c r="H24" i="1"/>
  <c r="I24" i="1" s="1"/>
  <c r="J24" i="1" s="1"/>
  <c r="K24" i="1" s="1"/>
  <c r="L24" i="1" s="1"/>
  <c r="M24" i="1" s="1"/>
  <c r="N24" i="1" s="1"/>
  <c r="O24" i="1" s="1"/>
  <c r="P24" i="1" s="1"/>
  <c r="H117" i="1"/>
  <c r="I117" i="1" s="1"/>
  <c r="J117" i="1" s="1"/>
  <c r="K117" i="1" s="1"/>
  <c r="L117" i="1" s="1"/>
  <c r="M117" i="1" s="1"/>
  <c r="N117" i="1" s="1"/>
  <c r="O117" i="1" s="1"/>
  <c r="P117" i="1" s="1"/>
  <c r="Q110" i="1"/>
  <c r="R110" i="1" s="1"/>
  <c r="S110" i="1" s="1"/>
  <c r="T110" i="1" s="1"/>
  <c r="U110" i="1" s="1"/>
  <c r="V110" i="1" s="1"/>
  <c r="W110" i="1" s="1"/>
  <c r="Q23" i="1"/>
  <c r="R23" i="1" s="1"/>
  <c r="S23" i="1" s="1"/>
  <c r="T23" i="1" s="1"/>
  <c r="U23" i="1" s="1"/>
  <c r="V23" i="1" s="1"/>
  <c r="W23" i="1" s="1"/>
  <c r="Q115" i="1"/>
  <c r="R115" i="1" s="1"/>
  <c r="S115" i="1" s="1"/>
  <c r="T115" i="1" s="1"/>
  <c r="U115" i="1" s="1"/>
  <c r="V115" i="1" s="1"/>
  <c r="W115" i="1" s="1"/>
  <c r="E126" i="5"/>
  <c r="E225" i="5"/>
  <c r="F118" i="1"/>
  <c r="G118" i="1" s="1"/>
  <c r="F25" i="1"/>
  <c r="G25" i="1" s="1"/>
  <c r="H225" i="5" l="1"/>
  <c r="F225" i="5"/>
  <c r="F126" i="5"/>
  <c r="H126" i="5"/>
  <c r="Y22" i="1"/>
  <c r="Z22" i="1" s="1"/>
  <c r="X115" i="1"/>
  <c r="Y115" i="1" s="1"/>
  <c r="X23" i="1"/>
  <c r="X110" i="1"/>
  <c r="Y110" i="1" s="1"/>
  <c r="AA110" i="1" s="1"/>
  <c r="AB110" i="1" s="1"/>
  <c r="AC110" i="1" s="1"/>
  <c r="AD110" i="1" s="1"/>
  <c r="AE110" i="1" s="1"/>
  <c r="AF110" i="1" s="1"/>
  <c r="AG110" i="1" s="1"/>
  <c r="AH110" i="1" s="1"/>
  <c r="AI110" i="1" s="1"/>
  <c r="AJ110" i="1" s="1"/>
  <c r="AK110" i="1" s="1"/>
  <c r="AL110" i="1" s="1"/>
  <c r="AM110" i="1" s="1"/>
  <c r="AN110" i="1" s="1"/>
  <c r="AO110" i="1" s="1"/>
  <c r="AP110" i="1" s="1"/>
  <c r="AQ110" i="1" s="1"/>
  <c r="AR110" i="1" s="1"/>
  <c r="AS110" i="1" s="1"/>
  <c r="AT110" i="1" s="1"/>
  <c r="AU110" i="1" s="1"/>
  <c r="AV110" i="1" s="1"/>
  <c r="AW110" i="1" s="1"/>
  <c r="AX110" i="1" s="1"/>
  <c r="AY110" i="1" s="1"/>
  <c r="AZ110" i="1" s="1"/>
  <c r="BA110" i="1" s="1"/>
  <c r="BB110" i="1" s="1"/>
  <c r="BC110" i="1" s="1"/>
  <c r="BD110" i="1" s="1"/>
  <c r="BE110" i="1" s="1"/>
  <c r="BF110" i="1" s="1"/>
  <c r="BG110" i="1" s="1"/>
  <c r="BH110" i="1" s="1"/>
  <c r="BI110" i="1" s="1"/>
  <c r="BJ110" i="1" s="1"/>
  <c r="H25" i="1"/>
  <c r="I25" i="1" s="1"/>
  <c r="J25" i="1" s="1"/>
  <c r="K25" i="1" s="1"/>
  <c r="L25" i="1" s="1"/>
  <c r="M25" i="1" s="1"/>
  <c r="N25" i="1" s="1"/>
  <c r="O25" i="1" s="1"/>
  <c r="P25" i="1" s="1"/>
  <c r="H118" i="1"/>
  <c r="I118" i="1" s="1"/>
  <c r="J118" i="1" s="1"/>
  <c r="K118" i="1" s="1"/>
  <c r="L118" i="1" s="1"/>
  <c r="M118" i="1" s="1"/>
  <c r="N118" i="1" s="1"/>
  <c r="O118" i="1" s="1"/>
  <c r="P118" i="1" s="1"/>
  <c r="BK105" i="1"/>
  <c r="BL105" i="1" s="1"/>
  <c r="BM105" i="1" s="1"/>
  <c r="BN105" i="1" s="1"/>
  <c r="BO105" i="1" s="1"/>
  <c r="BP105" i="1" s="1"/>
  <c r="Q117" i="1"/>
  <c r="R117" i="1" s="1"/>
  <c r="S117" i="1" s="1"/>
  <c r="T117" i="1" s="1"/>
  <c r="U117" i="1" s="1"/>
  <c r="V117" i="1" s="1"/>
  <c r="W117" i="1" s="1"/>
  <c r="Q24" i="1"/>
  <c r="R24" i="1" s="1"/>
  <c r="S24" i="1" s="1"/>
  <c r="T24" i="1" s="1"/>
  <c r="U24" i="1" s="1"/>
  <c r="V24" i="1" s="1"/>
  <c r="W24" i="1" s="1"/>
  <c r="E226" i="5"/>
  <c r="E127" i="5"/>
  <c r="F120" i="1"/>
  <c r="G120" i="1" s="1"/>
  <c r="F26" i="1"/>
  <c r="G26" i="1" s="1"/>
  <c r="H226" i="5" l="1"/>
  <c r="F226" i="5"/>
  <c r="F127" i="5"/>
  <c r="H127" i="5"/>
  <c r="Y23" i="1"/>
  <c r="Z23" i="1" s="1"/>
  <c r="X24" i="1"/>
  <c r="X117" i="1"/>
  <c r="Y117" i="1" s="1"/>
  <c r="H120" i="1"/>
  <c r="I120" i="1" s="1"/>
  <c r="J120" i="1" s="1"/>
  <c r="K120" i="1" s="1"/>
  <c r="L120" i="1" s="1"/>
  <c r="M120" i="1" s="1"/>
  <c r="N120" i="1" s="1"/>
  <c r="O120" i="1" s="1"/>
  <c r="P120" i="1" s="1"/>
  <c r="H26" i="1"/>
  <c r="I26" i="1" s="1"/>
  <c r="J26" i="1" s="1"/>
  <c r="K26" i="1" s="1"/>
  <c r="L26" i="1" s="1"/>
  <c r="M26" i="1" s="1"/>
  <c r="N26" i="1" s="1"/>
  <c r="O26" i="1" s="1"/>
  <c r="P26" i="1" s="1"/>
  <c r="BK109" i="1"/>
  <c r="BL109" i="1" s="1"/>
  <c r="BM109" i="1" s="1"/>
  <c r="BN109" i="1" s="1"/>
  <c r="BO109" i="1" s="1"/>
  <c r="BP109" i="1" s="1"/>
  <c r="Q118" i="1"/>
  <c r="R118" i="1" s="1"/>
  <c r="S118" i="1" s="1"/>
  <c r="T118" i="1" s="1"/>
  <c r="U118" i="1" s="1"/>
  <c r="V118" i="1" s="1"/>
  <c r="W118" i="1" s="1"/>
  <c r="Q25" i="1"/>
  <c r="R25" i="1" s="1"/>
  <c r="S25" i="1" s="1"/>
  <c r="T25" i="1" s="1"/>
  <c r="U25" i="1" s="1"/>
  <c r="V25" i="1" s="1"/>
  <c r="W25" i="1" s="1"/>
  <c r="E227" i="5"/>
  <c r="E43" i="5"/>
  <c r="E128" i="5"/>
  <c r="F122" i="1"/>
  <c r="G122" i="1" s="1"/>
  <c r="F31" i="1"/>
  <c r="G31" i="1" s="1"/>
  <c r="H43" i="5" l="1"/>
  <c r="F43" i="5"/>
  <c r="H227" i="5"/>
  <c r="F227" i="5"/>
  <c r="F128" i="5"/>
  <c r="H128" i="5"/>
  <c r="Y24" i="1"/>
  <c r="Z24" i="1" s="1"/>
  <c r="X25" i="1"/>
  <c r="X118" i="1"/>
  <c r="Y118" i="1" s="1"/>
  <c r="H31" i="1"/>
  <c r="I31" i="1" s="1"/>
  <c r="J31" i="1" s="1"/>
  <c r="K31" i="1" s="1"/>
  <c r="L31" i="1" s="1"/>
  <c r="M31" i="1" s="1"/>
  <c r="N31" i="1" s="1"/>
  <c r="O31" i="1" s="1"/>
  <c r="P31" i="1" s="1"/>
  <c r="H122" i="1"/>
  <c r="I122" i="1" s="1"/>
  <c r="J122" i="1" s="1"/>
  <c r="K122" i="1" s="1"/>
  <c r="L122" i="1" s="1"/>
  <c r="M122" i="1" s="1"/>
  <c r="N122" i="1" s="1"/>
  <c r="O122" i="1" s="1"/>
  <c r="P122" i="1" s="1"/>
  <c r="BK110" i="1"/>
  <c r="BL110" i="1" s="1"/>
  <c r="BM110" i="1" s="1"/>
  <c r="BN110" i="1" s="1"/>
  <c r="BO110" i="1" s="1"/>
  <c r="BP110" i="1" s="1"/>
  <c r="Q120" i="1"/>
  <c r="R120" i="1" s="1"/>
  <c r="S120" i="1" s="1"/>
  <c r="T120" i="1" s="1"/>
  <c r="U120" i="1" s="1"/>
  <c r="V120" i="1" s="1"/>
  <c r="W120" i="1" s="1"/>
  <c r="Q26" i="1"/>
  <c r="R26" i="1" s="1"/>
  <c r="S26" i="1" s="1"/>
  <c r="T26" i="1" s="1"/>
  <c r="U26" i="1" s="1"/>
  <c r="V26" i="1" s="1"/>
  <c r="W26" i="1" s="1"/>
  <c r="E129" i="5"/>
  <c r="E44" i="5"/>
  <c r="E228" i="5"/>
  <c r="E229" i="5" s="1"/>
  <c r="E230" i="5" s="1"/>
  <c r="E231" i="5" s="1"/>
  <c r="E232" i="5" s="1"/>
  <c r="E233" i="5" s="1"/>
  <c r="E234" i="5" s="1"/>
  <c r="F32" i="1"/>
  <c r="G32" i="1" s="1"/>
  <c r="F228" i="5" l="1"/>
  <c r="H228" i="5"/>
  <c r="H44" i="5"/>
  <c r="F44" i="5"/>
  <c r="F129" i="5"/>
  <c r="H129" i="5"/>
  <c r="Y25" i="1"/>
  <c r="Z25" i="1" s="1"/>
  <c r="X26" i="1"/>
  <c r="X120" i="1"/>
  <c r="Y120" i="1" s="1"/>
  <c r="H32" i="1"/>
  <c r="I32" i="1" s="1"/>
  <c r="J32" i="1" s="1"/>
  <c r="K32" i="1" s="1"/>
  <c r="L32" i="1" s="1"/>
  <c r="M32" i="1" s="1"/>
  <c r="N32" i="1" s="1"/>
  <c r="O32" i="1" s="1"/>
  <c r="P32" i="1" s="1"/>
  <c r="Q122" i="1"/>
  <c r="R122" i="1" s="1"/>
  <c r="S122" i="1" s="1"/>
  <c r="T122" i="1" s="1"/>
  <c r="U122" i="1" s="1"/>
  <c r="V122" i="1" s="1"/>
  <c r="W122" i="1" s="1"/>
  <c r="Q31" i="1"/>
  <c r="R31" i="1" s="1"/>
  <c r="S31" i="1" s="1"/>
  <c r="T31" i="1" s="1"/>
  <c r="U31" i="1" s="1"/>
  <c r="V31" i="1" s="1"/>
  <c r="W31" i="1" s="1"/>
  <c r="E130" i="5"/>
  <c r="E45" i="5"/>
  <c r="F33" i="1"/>
  <c r="G33" i="1" s="1"/>
  <c r="F231" i="5" l="1"/>
  <c r="H231" i="5"/>
  <c r="F130" i="5"/>
  <c r="H130" i="5"/>
  <c r="F229" i="5"/>
  <c r="H229" i="5"/>
  <c r="H45" i="5"/>
  <c r="F45" i="5"/>
  <c r="Y26" i="1"/>
  <c r="Z26" i="1" s="1"/>
  <c r="X31" i="1"/>
  <c r="X122" i="1"/>
  <c r="Y122" i="1" s="1"/>
  <c r="H33" i="1"/>
  <c r="Q32" i="1"/>
  <c r="R32" i="1" s="1"/>
  <c r="S32" i="1" s="1"/>
  <c r="T32" i="1" s="1"/>
  <c r="U32" i="1" s="1"/>
  <c r="V32" i="1" s="1"/>
  <c r="W32" i="1" s="1"/>
  <c r="I33" i="1"/>
  <c r="J33" i="1" s="1"/>
  <c r="K33" i="1" s="1"/>
  <c r="L33" i="1" s="1"/>
  <c r="M33" i="1" s="1"/>
  <c r="N33" i="1" s="1"/>
  <c r="O33" i="1" s="1"/>
  <c r="P33" i="1" s="1"/>
  <c r="E131" i="5"/>
  <c r="E46" i="5"/>
  <c r="F34" i="1"/>
  <c r="G34" i="1" s="1"/>
  <c r="H46" i="5" l="1"/>
  <c r="F46" i="5"/>
  <c r="H131" i="5"/>
  <c r="F131" i="5"/>
  <c r="F230" i="5"/>
  <c r="H230" i="5"/>
  <c r="Y31" i="1"/>
  <c r="X32" i="1"/>
  <c r="H34" i="1"/>
  <c r="I34" i="1" s="1"/>
  <c r="J34" i="1" s="1"/>
  <c r="K34" i="1" s="1"/>
  <c r="L34" i="1" s="1"/>
  <c r="M34" i="1" s="1"/>
  <c r="N34" i="1" s="1"/>
  <c r="O34" i="1" s="1"/>
  <c r="P34" i="1" s="1"/>
  <c r="Q33" i="1"/>
  <c r="R33" i="1" s="1"/>
  <c r="S33" i="1" s="1"/>
  <c r="T33" i="1" s="1"/>
  <c r="U33" i="1" s="1"/>
  <c r="V33" i="1" s="1"/>
  <c r="W33" i="1" s="1"/>
  <c r="E47" i="5"/>
  <c r="E132" i="5"/>
  <c r="F35" i="1"/>
  <c r="G35" i="1" s="1"/>
  <c r="F232" i="5" l="1"/>
  <c r="H232" i="5"/>
  <c r="H132" i="5"/>
  <c r="F132" i="5"/>
  <c r="H47" i="5"/>
  <c r="F47" i="5"/>
  <c r="Z31" i="1"/>
  <c r="Y32" i="1"/>
  <c r="X33" i="1"/>
  <c r="H35" i="1"/>
  <c r="I35" i="1" s="1"/>
  <c r="J35" i="1" s="1"/>
  <c r="K35" i="1" s="1"/>
  <c r="L35" i="1" s="1"/>
  <c r="M35" i="1" s="1"/>
  <c r="N35" i="1" s="1"/>
  <c r="O35" i="1" s="1"/>
  <c r="P35" i="1" s="1"/>
  <c r="Q34" i="1"/>
  <c r="R34" i="1" s="1"/>
  <c r="S34" i="1" s="1"/>
  <c r="T34" i="1" s="1"/>
  <c r="U34" i="1" s="1"/>
  <c r="V34" i="1" s="1"/>
  <c r="W34" i="1" s="1"/>
  <c r="E133" i="5"/>
  <c r="E48" i="5"/>
  <c r="F37" i="1"/>
  <c r="G37" i="1" s="1"/>
  <c r="H48" i="5" l="1"/>
  <c r="F48" i="5"/>
  <c r="H133" i="5"/>
  <c r="F133" i="5"/>
  <c r="H233" i="5"/>
  <c r="F233" i="5"/>
  <c r="E49" i="5"/>
  <c r="Z32" i="1"/>
  <c r="Y33" i="1"/>
  <c r="X34" i="1"/>
  <c r="H37" i="1"/>
  <c r="I37" i="1" s="1"/>
  <c r="J37" i="1" s="1"/>
  <c r="K37" i="1" s="1"/>
  <c r="L37" i="1" s="1"/>
  <c r="M37" i="1" s="1"/>
  <c r="N37" i="1" s="1"/>
  <c r="O37" i="1" s="1"/>
  <c r="P37" i="1" s="1"/>
  <c r="Q35" i="1"/>
  <c r="R35" i="1" s="1"/>
  <c r="S35" i="1" s="1"/>
  <c r="T35" i="1" s="1"/>
  <c r="U35" i="1" s="1"/>
  <c r="V35" i="1" s="1"/>
  <c r="W35" i="1" s="1"/>
  <c r="E134" i="5"/>
  <c r="F38" i="1"/>
  <c r="G38" i="1" s="1"/>
  <c r="F234" i="5" l="1"/>
  <c r="H234" i="5"/>
  <c r="H134" i="5"/>
  <c r="F134" i="5"/>
  <c r="H49" i="5"/>
  <c r="F49" i="5"/>
  <c r="E50" i="5"/>
  <c r="E235" i="5"/>
  <c r="Z33" i="1"/>
  <c r="Y34" i="1"/>
  <c r="X35" i="1"/>
  <c r="H38" i="1"/>
  <c r="I38" i="1" s="1"/>
  <c r="J38" i="1" s="1"/>
  <c r="K38" i="1" s="1"/>
  <c r="L38" i="1" s="1"/>
  <c r="M38" i="1" s="1"/>
  <c r="N38" i="1" s="1"/>
  <c r="O38" i="1" s="1"/>
  <c r="P38" i="1" s="1"/>
  <c r="Q37" i="1"/>
  <c r="R37" i="1" s="1"/>
  <c r="S37" i="1" s="1"/>
  <c r="T37" i="1" s="1"/>
  <c r="U37" i="1" s="1"/>
  <c r="V37" i="1" s="1"/>
  <c r="W37" i="1" s="1"/>
  <c r="E135" i="5"/>
  <c r="F39" i="1"/>
  <c r="G39" i="1" s="1"/>
  <c r="H50" i="5" l="1"/>
  <c r="F50" i="5"/>
  <c r="H235" i="5"/>
  <c r="F235" i="5"/>
  <c r="H135" i="5"/>
  <c r="F135" i="5"/>
  <c r="E51" i="5"/>
  <c r="E236" i="5"/>
  <c r="Z34" i="1"/>
  <c r="Y35" i="1"/>
  <c r="X37" i="1"/>
  <c r="H39" i="1"/>
  <c r="I39" i="1" s="1"/>
  <c r="J39" i="1" s="1"/>
  <c r="K39" i="1" s="1"/>
  <c r="L39" i="1" s="1"/>
  <c r="M39" i="1" s="1"/>
  <c r="N39" i="1" s="1"/>
  <c r="O39" i="1" s="1"/>
  <c r="P39" i="1" s="1"/>
  <c r="Q38" i="1"/>
  <c r="R38" i="1" s="1"/>
  <c r="S38" i="1" s="1"/>
  <c r="T38" i="1" s="1"/>
  <c r="U38" i="1" s="1"/>
  <c r="V38" i="1" s="1"/>
  <c r="W38" i="1" s="1"/>
  <c r="E136" i="5"/>
  <c r="F40" i="1"/>
  <c r="G40" i="1" s="1"/>
  <c r="H136" i="5" l="1"/>
  <c r="F136" i="5"/>
  <c r="H236" i="5"/>
  <c r="F236" i="5"/>
  <c r="H51" i="5"/>
  <c r="F51" i="5"/>
  <c r="E52" i="5"/>
  <c r="E237" i="5"/>
  <c r="Z35" i="1"/>
  <c r="Y37" i="1"/>
  <c r="X38" i="1"/>
  <c r="H40" i="1"/>
  <c r="I40" i="1" s="1"/>
  <c r="J40" i="1" s="1"/>
  <c r="K40" i="1" s="1"/>
  <c r="L40" i="1" s="1"/>
  <c r="M40" i="1" s="1"/>
  <c r="N40" i="1" s="1"/>
  <c r="O40" i="1" s="1"/>
  <c r="P40" i="1" s="1"/>
  <c r="Q39" i="1"/>
  <c r="R39" i="1" s="1"/>
  <c r="S39" i="1" s="1"/>
  <c r="T39" i="1" s="1"/>
  <c r="U39" i="1" s="1"/>
  <c r="V39" i="1" s="1"/>
  <c r="W39" i="1" s="1"/>
  <c r="E137" i="5"/>
  <c r="F41" i="1"/>
  <c r="G41" i="1" s="1"/>
  <c r="H137" i="5" l="1"/>
  <c r="F137" i="5"/>
  <c r="H237" i="5"/>
  <c r="F237" i="5"/>
  <c r="F52" i="5"/>
  <c r="H52" i="5"/>
  <c r="E53" i="5"/>
  <c r="E238" i="5"/>
  <c r="Z37" i="1"/>
  <c r="Y38" i="1"/>
  <c r="X39" i="1"/>
  <c r="H41" i="1"/>
  <c r="I41" i="1" s="1"/>
  <c r="J41" i="1" s="1"/>
  <c r="K41" i="1" s="1"/>
  <c r="L41" i="1" s="1"/>
  <c r="M41" i="1" s="1"/>
  <c r="N41" i="1" s="1"/>
  <c r="O41" i="1" s="1"/>
  <c r="P41" i="1" s="1"/>
  <c r="Q40" i="1"/>
  <c r="R40" i="1" s="1"/>
  <c r="S40" i="1" s="1"/>
  <c r="T40" i="1" s="1"/>
  <c r="U40" i="1" s="1"/>
  <c r="V40" i="1" s="1"/>
  <c r="W40" i="1" s="1"/>
  <c r="E138" i="5"/>
  <c r="F42" i="1"/>
  <c r="G42" i="1" s="1"/>
  <c r="F138" i="5" l="1"/>
  <c r="H138" i="5"/>
  <c r="H238" i="5"/>
  <c r="F238" i="5"/>
  <c r="F53" i="5"/>
  <c r="H53" i="5"/>
  <c r="E54" i="5"/>
  <c r="E239" i="5"/>
  <c r="Z38" i="1"/>
  <c r="Y39" i="1"/>
  <c r="X40" i="1"/>
  <c r="H42" i="1"/>
  <c r="I42" i="1" s="1"/>
  <c r="J42" i="1" s="1"/>
  <c r="K42" i="1" s="1"/>
  <c r="L42" i="1" s="1"/>
  <c r="M42" i="1" s="1"/>
  <c r="N42" i="1" s="1"/>
  <c r="O42" i="1" s="1"/>
  <c r="P42" i="1" s="1"/>
  <c r="Q41" i="1"/>
  <c r="R41" i="1" s="1"/>
  <c r="S41" i="1" s="1"/>
  <c r="T41" i="1" s="1"/>
  <c r="U41" i="1" s="1"/>
  <c r="V41" i="1" s="1"/>
  <c r="W41" i="1" s="1"/>
  <c r="E139" i="5"/>
  <c r="F43" i="1"/>
  <c r="G43" i="1" s="1"/>
  <c r="F139" i="5" l="1"/>
  <c r="H139" i="5"/>
  <c r="H239" i="5"/>
  <c r="F239" i="5"/>
  <c r="F54" i="5"/>
  <c r="H54" i="5"/>
  <c r="E55" i="5"/>
  <c r="E240" i="5"/>
  <c r="R240" i="5" s="1"/>
  <c r="Z39" i="1"/>
  <c r="Y40" i="1"/>
  <c r="X41" i="1"/>
  <c r="H43" i="1"/>
  <c r="I43" i="1" s="1"/>
  <c r="J43" i="1" s="1"/>
  <c r="K43" i="1" s="1"/>
  <c r="L43" i="1" s="1"/>
  <c r="M43" i="1" s="1"/>
  <c r="N43" i="1" s="1"/>
  <c r="O43" i="1" s="1"/>
  <c r="P43" i="1" s="1"/>
  <c r="Q42" i="1"/>
  <c r="R42" i="1" s="1"/>
  <c r="S42" i="1" s="1"/>
  <c r="T42" i="1" s="1"/>
  <c r="U42" i="1" s="1"/>
  <c r="V42" i="1" s="1"/>
  <c r="W42" i="1" s="1"/>
  <c r="E140" i="5"/>
  <c r="F44" i="1"/>
  <c r="G44" i="1" s="1"/>
  <c r="F140" i="5" l="1"/>
  <c r="H140" i="5"/>
  <c r="H55" i="5"/>
  <c r="F55" i="5"/>
  <c r="E56" i="5"/>
  <c r="Z40" i="1"/>
  <c r="Y41" i="1"/>
  <c r="X42" i="1"/>
  <c r="H44" i="1"/>
  <c r="I44" i="1" s="1"/>
  <c r="J44" i="1" s="1"/>
  <c r="K44" i="1" s="1"/>
  <c r="L44" i="1" s="1"/>
  <c r="M44" i="1" s="1"/>
  <c r="N44" i="1" s="1"/>
  <c r="O44" i="1" s="1"/>
  <c r="P44" i="1" s="1"/>
  <c r="Q43" i="1"/>
  <c r="R43" i="1" s="1"/>
  <c r="S43" i="1" s="1"/>
  <c r="T43" i="1" s="1"/>
  <c r="U43" i="1" s="1"/>
  <c r="V43" i="1" s="1"/>
  <c r="W43" i="1" s="1"/>
  <c r="E141" i="5"/>
  <c r="F45" i="1"/>
  <c r="G45" i="1" s="1"/>
  <c r="F141" i="5" l="1"/>
  <c r="H141" i="5"/>
  <c r="H56" i="5"/>
  <c r="F56" i="5"/>
  <c r="E57" i="5"/>
  <c r="Z41" i="1"/>
  <c r="Y42" i="1"/>
  <c r="X43" i="1"/>
  <c r="H45" i="1"/>
  <c r="I45" i="1" s="1"/>
  <c r="J45" i="1" s="1"/>
  <c r="K45" i="1" s="1"/>
  <c r="L45" i="1" s="1"/>
  <c r="M45" i="1" s="1"/>
  <c r="N45" i="1" s="1"/>
  <c r="O45" i="1" s="1"/>
  <c r="P45" i="1" s="1"/>
  <c r="Q44" i="1"/>
  <c r="R44" i="1" s="1"/>
  <c r="S44" i="1" s="1"/>
  <c r="T44" i="1" s="1"/>
  <c r="U44" i="1" s="1"/>
  <c r="V44" i="1" s="1"/>
  <c r="W44" i="1" s="1"/>
  <c r="E142" i="5"/>
  <c r="E143" i="5" s="1"/>
  <c r="E144" i="5" l="1"/>
  <c r="F143" i="5"/>
  <c r="H143" i="5"/>
  <c r="F142" i="5"/>
  <c r="H142" i="5"/>
  <c r="F57" i="5"/>
  <c r="H57" i="5"/>
  <c r="E58" i="5"/>
  <c r="Z42" i="1"/>
  <c r="Y43" i="1"/>
  <c r="X44" i="1"/>
  <c r="Q45" i="1"/>
  <c r="R45" i="1" s="1"/>
  <c r="S45" i="1" s="1"/>
  <c r="T45" i="1" s="1"/>
  <c r="U45" i="1" s="1"/>
  <c r="V45" i="1" s="1"/>
  <c r="W45" i="1" s="1"/>
  <c r="F57" i="1"/>
  <c r="G57" i="1" s="1"/>
  <c r="E145" i="5" l="1"/>
  <c r="H144" i="5"/>
  <c r="F144" i="5"/>
  <c r="H58" i="5"/>
  <c r="F58" i="5"/>
  <c r="E59" i="5"/>
  <c r="Z43" i="1"/>
  <c r="Y44" i="1"/>
  <c r="X45" i="1"/>
  <c r="H57" i="1"/>
  <c r="I57" i="1" s="1"/>
  <c r="J57" i="1" s="1"/>
  <c r="K57" i="1" s="1"/>
  <c r="L57" i="1" s="1"/>
  <c r="M57" i="1" s="1"/>
  <c r="N57" i="1" s="1"/>
  <c r="O57" i="1" s="1"/>
  <c r="P57" i="1" s="1"/>
  <c r="F65" i="1"/>
  <c r="G65" i="1" s="1"/>
  <c r="F58" i="1"/>
  <c r="G58" i="1" s="1"/>
  <c r="H145" i="5" l="1"/>
  <c r="F145" i="5"/>
  <c r="E146" i="5"/>
  <c r="P59" i="5"/>
  <c r="O59" i="5"/>
  <c r="H59" i="5"/>
  <c r="F59" i="5"/>
  <c r="Q59" i="5"/>
  <c r="E60" i="5"/>
  <c r="Z44" i="1"/>
  <c r="Y45" i="1"/>
  <c r="H58" i="1"/>
  <c r="I58" i="1" s="1"/>
  <c r="J58" i="1" s="1"/>
  <c r="K58" i="1" s="1"/>
  <c r="L58" i="1" s="1"/>
  <c r="M58" i="1" s="1"/>
  <c r="N58" i="1" s="1"/>
  <c r="O58" i="1" s="1"/>
  <c r="P58" i="1" s="1"/>
  <c r="H65" i="1"/>
  <c r="I65" i="1" s="1"/>
  <c r="J65" i="1" s="1"/>
  <c r="K65" i="1" s="1"/>
  <c r="L65" i="1" s="1"/>
  <c r="M65" i="1" s="1"/>
  <c r="N65" i="1" s="1"/>
  <c r="O65" i="1" s="1"/>
  <c r="P65" i="1" s="1"/>
  <c r="Q57" i="1"/>
  <c r="R57" i="1" s="1"/>
  <c r="S57" i="1" s="1"/>
  <c r="T57" i="1" s="1"/>
  <c r="U57" i="1" s="1"/>
  <c r="V57" i="1" s="1"/>
  <c r="W57" i="1" s="1"/>
  <c r="F66" i="1"/>
  <c r="G66" i="1" s="1"/>
  <c r="F59" i="1"/>
  <c r="G59" i="1" s="1"/>
  <c r="H146" i="5" l="1"/>
  <c r="F146" i="5"/>
  <c r="H60" i="5"/>
  <c r="Q60" i="5"/>
  <c r="P60" i="5"/>
  <c r="F60" i="5"/>
  <c r="O60" i="5"/>
  <c r="E61" i="5"/>
  <c r="I61" i="5" s="1"/>
  <c r="Z45" i="1"/>
  <c r="X57" i="1"/>
  <c r="H66" i="1"/>
  <c r="I66" i="1" s="1"/>
  <c r="J66" i="1" s="1"/>
  <c r="K66" i="1" s="1"/>
  <c r="L66" i="1" s="1"/>
  <c r="M66" i="1" s="1"/>
  <c r="N66" i="1" s="1"/>
  <c r="O66" i="1" s="1"/>
  <c r="P66" i="1" s="1"/>
  <c r="H59" i="1"/>
  <c r="I59" i="1" s="1"/>
  <c r="J59" i="1" s="1"/>
  <c r="K59" i="1" s="1"/>
  <c r="L59" i="1" s="1"/>
  <c r="M59" i="1" s="1"/>
  <c r="N59" i="1" s="1"/>
  <c r="O59" i="1" s="1"/>
  <c r="P59" i="1" s="1"/>
  <c r="Q65" i="1"/>
  <c r="R65" i="1" s="1"/>
  <c r="S65" i="1" s="1"/>
  <c r="T65" i="1" s="1"/>
  <c r="U65" i="1" s="1"/>
  <c r="V65" i="1" s="1"/>
  <c r="W65" i="1" s="1"/>
  <c r="Q58" i="1"/>
  <c r="R58" i="1" s="1"/>
  <c r="S58" i="1" s="1"/>
  <c r="T58" i="1" s="1"/>
  <c r="U58" i="1" s="1"/>
  <c r="V58" i="1" s="1"/>
  <c r="W58" i="1" s="1"/>
  <c r="E147" i="5"/>
  <c r="F60" i="1"/>
  <c r="G60" i="1" s="1"/>
  <c r="H147" i="5" l="1"/>
  <c r="F147" i="5"/>
  <c r="E62" i="5"/>
  <c r="Y57" i="1"/>
  <c r="X58" i="1"/>
  <c r="X65" i="1"/>
  <c r="Y65" i="1" s="1"/>
  <c r="H60" i="1"/>
  <c r="I60" i="1" s="1"/>
  <c r="J60" i="1" s="1"/>
  <c r="K60" i="1" s="1"/>
  <c r="L60" i="1" s="1"/>
  <c r="M60" i="1" s="1"/>
  <c r="N60" i="1" s="1"/>
  <c r="O60" i="1" s="1"/>
  <c r="P60" i="1" s="1"/>
  <c r="Q66" i="1"/>
  <c r="R66" i="1" s="1"/>
  <c r="S66" i="1" s="1"/>
  <c r="T66" i="1" s="1"/>
  <c r="U66" i="1" s="1"/>
  <c r="V66" i="1" s="1"/>
  <c r="W66" i="1" s="1"/>
  <c r="Q59" i="1"/>
  <c r="R59" i="1" s="1"/>
  <c r="S59" i="1" s="1"/>
  <c r="T59" i="1" s="1"/>
  <c r="U59" i="1" s="1"/>
  <c r="V59" i="1" s="1"/>
  <c r="W59" i="1" s="1"/>
  <c r="E148" i="5"/>
  <c r="F61" i="1"/>
  <c r="G61" i="1" s="1"/>
  <c r="H148" i="5" l="1"/>
  <c r="F148" i="5"/>
  <c r="G62" i="5"/>
  <c r="F62" i="5"/>
  <c r="E63" i="5"/>
  <c r="Z57" i="1"/>
  <c r="AA65" i="1"/>
  <c r="AB65" i="1" s="1"/>
  <c r="AC65" i="1" s="1"/>
  <c r="AD65" i="1" s="1"/>
  <c r="AE65" i="1" s="1"/>
  <c r="AF65" i="1" s="1"/>
  <c r="AG65" i="1" s="1"/>
  <c r="AH65" i="1" s="1"/>
  <c r="AI65" i="1" s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AU65" i="1" s="1"/>
  <c r="AV65" i="1" s="1"/>
  <c r="AW65" i="1" s="1"/>
  <c r="AX65" i="1" s="1"/>
  <c r="AY65" i="1" s="1"/>
  <c r="AZ65" i="1" s="1"/>
  <c r="BA65" i="1" s="1"/>
  <c r="BB65" i="1" s="1"/>
  <c r="BC65" i="1" s="1"/>
  <c r="BD65" i="1" s="1"/>
  <c r="BE65" i="1" s="1"/>
  <c r="BF65" i="1" s="1"/>
  <c r="BG65" i="1" s="1"/>
  <c r="BH65" i="1" s="1"/>
  <c r="BI65" i="1" s="1"/>
  <c r="BJ65" i="1" s="1"/>
  <c r="Y58" i="1"/>
  <c r="X59" i="1"/>
  <c r="X66" i="1"/>
  <c r="Y66" i="1" s="1"/>
  <c r="AA66" i="1" s="1"/>
  <c r="AB66" i="1" s="1"/>
  <c r="AC66" i="1" s="1"/>
  <c r="AD66" i="1" s="1"/>
  <c r="AE66" i="1" s="1"/>
  <c r="AF66" i="1" s="1"/>
  <c r="AG66" i="1" s="1"/>
  <c r="AH66" i="1" s="1"/>
  <c r="AI66" i="1" s="1"/>
  <c r="AJ66" i="1" s="1"/>
  <c r="AK66" i="1" s="1"/>
  <c r="AL66" i="1" s="1"/>
  <c r="AM66" i="1" s="1"/>
  <c r="AN66" i="1" s="1"/>
  <c r="AO66" i="1" s="1"/>
  <c r="AP66" i="1" s="1"/>
  <c r="AQ66" i="1" s="1"/>
  <c r="AR66" i="1" s="1"/>
  <c r="AS66" i="1" s="1"/>
  <c r="AT66" i="1" s="1"/>
  <c r="AU66" i="1" s="1"/>
  <c r="AV66" i="1" s="1"/>
  <c r="AW66" i="1" s="1"/>
  <c r="AX66" i="1" s="1"/>
  <c r="AY66" i="1" s="1"/>
  <c r="AZ66" i="1" s="1"/>
  <c r="BA66" i="1" s="1"/>
  <c r="BB66" i="1" s="1"/>
  <c r="BC66" i="1" s="1"/>
  <c r="BD66" i="1" s="1"/>
  <c r="BE66" i="1" s="1"/>
  <c r="BF66" i="1" s="1"/>
  <c r="BG66" i="1" s="1"/>
  <c r="BH66" i="1" s="1"/>
  <c r="BI66" i="1" s="1"/>
  <c r="BJ66" i="1" s="1"/>
  <c r="H61" i="1"/>
  <c r="I61" i="1" s="1"/>
  <c r="J61" i="1" s="1"/>
  <c r="K61" i="1" s="1"/>
  <c r="L61" i="1" s="1"/>
  <c r="M61" i="1" s="1"/>
  <c r="N61" i="1" s="1"/>
  <c r="O61" i="1" s="1"/>
  <c r="P61" i="1" s="1"/>
  <c r="Q60" i="1"/>
  <c r="R60" i="1" s="1"/>
  <c r="S60" i="1" s="1"/>
  <c r="T60" i="1" s="1"/>
  <c r="U60" i="1" s="1"/>
  <c r="V60" i="1" s="1"/>
  <c r="W60" i="1" s="1"/>
  <c r="E149" i="5"/>
  <c r="F62" i="1"/>
  <c r="G62" i="1" s="1"/>
  <c r="H149" i="5" l="1"/>
  <c r="F149" i="5"/>
  <c r="H63" i="5"/>
  <c r="F63" i="5"/>
  <c r="E64" i="5"/>
  <c r="Z58" i="1"/>
  <c r="Y59" i="1"/>
  <c r="X60" i="1"/>
  <c r="H62" i="1"/>
  <c r="I62" i="1" s="1"/>
  <c r="J62" i="1" s="1"/>
  <c r="K62" i="1" s="1"/>
  <c r="L62" i="1" s="1"/>
  <c r="M62" i="1" s="1"/>
  <c r="N62" i="1" s="1"/>
  <c r="O62" i="1" s="1"/>
  <c r="P62" i="1" s="1"/>
  <c r="BK65" i="1"/>
  <c r="BL65" i="1" s="1"/>
  <c r="BM65" i="1" s="1"/>
  <c r="BN65" i="1" s="1"/>
  <c r="BO65" i="1" s="1"/>
  <c r="BP65" i="1" s="1"/>
  <c r="Q61" i="1"/>
  <c r="R61" i="1" s="1"/>
  <c r="S61" i="1" s="1"/>
  <c r="T61" i="1" s="1"/>
  <c r="U61" i="1" s="1"/>
  <c r="V61" i="1" s="1"/>
  <c r="W61" i="1" s="1"/>
  <c r="E150" i="5"/>
  <c r="F63" i="1"/>
  <c r="G63" i="1" s="1"/>
  <c r="H150" i="5" l="1"/>
  <c r="F150" i="5"/>
  <c r="F64" i="5"/>
  <c r="H64" i="5"/>
  <c r="E65" i="5"/>
  <c r="Z59" i="1"/>
  <c r="Y60" i="1"/>
  <c r="X61" i="1"/>
  <c r="H63" i="1"/>
  <c r="BK66" i="1"/>
  <c r="BL66" i="1" s="1"/>
  <c r="BM66" i="1" s="1"/>
  <c r="BN66" i="1" s="1"/>
  <c r="BO66" i="1" s="1"/>
  <c r="BP66" i="1" s="1"/>
  <c r="Q62" i="1"/>
  <c r="R62" i="1" s="1"/>
  <c r="S62" i="1" s="1"/>
  <c r="T62" i="1" s="1"/>
  <c r="U62" i="1" s="1"/>
  <c r="V62" i="1" s="1"/>
  <c r="W62" i="1" s="1"/>
  <c r="I63" i="1"/>
  <c r="J63" i="1" s="1"/>
  <c r="K63" i="1" s="1"/>
  <c r="L63" i="1" s="1"/>
  <c r="M63" i="1" s="1"/>
  <c r="N63" i="1" s="1"/>
  <c r="O63" i="1" s="1"/>
  <c r="P63" i="1" s="1"/>
  <c r="E151" i="5"/>
  <c r="F70" i="1"/>
  <c r="G70" i="1" s="1"/>
  <c r="H151" i="5" l="1"/>
  <c r="F151" i="5"/>
  <c r="F65" i="5"/>
  <c r="H65" i="5"/>
  <c r="E66" i="5"/>
  <c r="Z60" i="1"/>
  <c r="Y61" i="1"/>
  <c r="X62" i="1"/>
  <c r="H70" i="1"/>
  <c r="I70" i="1" s="1"/>
  <c r="J70" i="1" s="1"/>
  <c r="K70" i="1" s="1"/>
  <c r="L70" i="1" s="1"/>
  <c r="M70" i="1" s="1"/>
  <c r="N70" i="1" s="1"/>
  <c r="O70" i="1" s="1"/>
  <c r="P70" i="1" s="1"/>
  <c r="Q63" i="1"/>
  <c r="R63" i="1" s="1"/>
  <c r="S63" i="1" s="1"/>
  <c r="T63" i="1" s="1"/>
  <c r="U63" i="1" s="1"/>
  <c r="V63" i="1" s="1"/>
  <c r="W63" i="1" s="1"/>
  <c r="E152" i="5"/>
  <c r="F71" i="1"/>
  <c r="G71" i="1" s="1"/>
  <c r="H152" i="5" l="1"/>
  <c r="F152" i="5"/>
  <c r="H66" i="5"/>
  <c r="F66" i="5"/>
  <c r="E67" i="5"/>
  <c r="Z61" i="1"/>
  <c r="Y62" i="1"/>
  <c r="X63" i="1"/>
  <c r="H71" i="1"/>
  <c r="I71" i="1" s="1"/>
  <c r="J71" i="1" s="1"/>
  <c r="K71" i="1" s="1"/>
  <c r="L71" i="1" s="1"/>
  <c r="M71" i="1" s="1"/>
  <c r="N71" i="1" s="1"/>
  <c r="O71" i="1" s="1"/>
  <c r="P71" i="1" s="1"/>
  <c r="Q70" i="1"/>
  <c r="R70" i="1" s="1"/>
  <c r="S70" i="1" s="1"/>
  <c r="T70" i="1" s="1"/>
  <c r="U70" i="1" s="1"/>
  <c r="V70" i="1" s="1"/>
  <c r="W70" i="1" s="1"/>
  <c r="E153" i="5"/>
  <c r="F72" i="1"/>
  <c r="G72" i="1" s="1"/>
  <c r="F153" i="5" l="1"/>
  <c r="H153" i="5"/>
  <c r="H67" i="5"/>
  <c r="F67" i="5"/>
  <c r="E68" i="5"/>
  <c r="Z62" i="1"/>
  <c r="Y63" i="1"/>
  <c r="X70" i="1"/>
  <c r="H72" i="1"/>
  <c r="I72" i="1" s="1"/>
  <c r="J72" i="1" s="1"/>
  <c r="K72" i="1" s="1"/>
  <c r="L72" i="1" s="1"/>
  <c r="M72" i="1" s="1"/>
  <c r="N72" i="1" s="1"/>
  <c r="O72" i="1" s="1"/>
  <c r="P72" i="1" s="1"/>
  <c r="Q71" i="1"/>
  <c r="R71" i="1" s="1"/>
  <c r="S71" i="1" s="1"/>
  <c r="T71" i="1" s="1"/>
  <c r="U71" i="1" s="1"/>
  <c r="V71" i="1" s="1"/>
  <c r="W71" i="1" s="1"/>
  <c r="E154" i="5"/>
  <c r="F73" i="1"/>
  <c r="G73" i="1" s="1"/>
  <c r="F68" i="5" l="1"/>
  <c r="H68" i="5"/>
  <c r="F154" i="5"/>
  <c r="H154" i="5"/>
  <c r="E69" i="5"/>
  <c r="Z63" i="1"/>
  <c r="Y70" i="1"/>
  <c r="X71" i="1"/>
  <c r="H73" i="1"/>
  <c r="I73" i="1" s="1"/>
  <c r="J73" i="1" s="1"/>
  <c r="K73" i="1" s="1"/>
  <c r="L73" i="1" s="1"/>
  <c r="M73" i="1" s="1"/>
  <c r="N73" i="1" s="1"/>
  <c r="O73" i="1" s="1"/>
  <c r="P73" i="1" s="1"/>
  <c r="Q72" i="1"/>
  <c r="R72" i="1" s="1"/>
  <c r="S72" i="1" s="1"/>
  <c r="T72" i="1" s="1"/>
  <c r="U72" i="1" s="1"/>
  <c r="V72" i="1" s="1"/>
  <c r="W72" i="1" s="1"/>
  <c r="E155" i="5"/>
  <c r="F74" i="1"/>
  <c r="G74" i="1" s="1"/>
  <c r="F155" i="5" l="1"/>
  <c r="H155" i="5"/>
  <c r="F69" i="5"/>
  <c r="H69" i="5"/>
  <c r="E70" i="5"/>
  <c r="Z70" i="1"/>
  <c r="Y71" i="1"/>
  <c r="X72" i="1"/>
  <c r="H74" i="1"/>
  <c r="I74" i="1" s="1"/>
  <c r="J74" i="1" s="1"/>
  <c r="K74" i="1" s="1"/>
  <c r="L74" i="1" s="1"/>
  <c r="M74" i="1" s="1"/>
  <c r="N74" i="1" s="1"/>
  <c r="O74" i="1" s="1"/>
  <c r="P74" i="1" s="1"/>
  <c r="Q73" i="1"/>
  <c r="R73" i="1" s="1"/>
  <c r="S73" i="1" s="1"/>
  <c r="T73" i="1" s="1"/>
  <c r="U73" i="1" s="1"/>
  <c r="V73" i="1" s="1"/>
  <c r="W73" i="1" s="1"/>
  <c r="E156" i="5"/>
  <c r="F75" i="1"/>
  <c r="G75" i="1" s="1"/>
  <c r="F156" i="5" l="1"/>
  <c r="H156" i="5"/>
  <c r="F70" i="5"/>
  <c r="H70" i="5"/>
  <c r="E71" i="5"/>
  <c r="Z71" i="1"/>
  <c r="Y72" i="1"/>
  <c r="X73" i="1"/>
  <c r="H75" i="1"/>
  <c r="I75" i="1" s="1"/>
  <c r="J75" i="1" s="1"/>
  <c r="K75" i="1" s="1"/>
  <c r="L75" i="1" s="1"/>
  <c r="M75" i="1" s="1"/>
  <c r="N75" i="1" s="1"/>
  <c r="O75" i="1" s="1"/>
  <c r="P75" i="1" s="1"/>
  <c r="Q74" i="1"/>
  <c r="R74" i="1" s="1"/>
  <c r="S74" i="1" s="1"/>
  <c r="T74" i="1" s="1"/>
  <c r="U74" i="1" s="1"/>
  <c r="V74" i="1" s="1"/>
  <c r="W74" i="1" s="1"/>
  <c r="E157" i="5"/>
  <c r="F76" i="1"/>
  <c r="G76" i="1" s="1"/>
  <c r="F157" i="5" l="1"/>
  <c r="H157" i="5"/>
  <c r="H71" i="5"/>
  <c r="F71" i="5"/>
  <c r="E72" i="5"/>
  <c r="Z72" i="1"/>
  <c r="Y73" i="1"/>
  <c r="X74" i="1"/>
  <c r="H76" i="1"/>
  <c r="I76" i="1" s="1"/>
  <c r="J76" i="1" s="1"/>
  <c r="K76" i="1" s="1"/>
  <c r="L76" i="1" s="1"/>
  <c r="M76" i="1" s="1"/>
  <c r="N76" i="1" s="1"/>
  <c r="O76" i="1" s="1"/>
  <c r="P76" i="1" s="1"/>
  <c r="Q75" i="1"/>
  <c r="R75" i="1" s="1"/>
  <c r="S75" i="1" s="1"/>
  <c r="T75" i="1" s="1"/>
  <c r="U75" i="1" s="1"/>
  <c r="V75" i="1" s="1"/>
  <c r="W75" i="1" s="1"/>
  <c r="E158" i="5"/>
  <c r="F77" i="1"/>
  <c r="G77" i="1" s="1"/>
  <c r="F158" i="5" l="1"/>
  <c r="H158" i="5"/>
  <c r="H72" i="5"/>
  <c r="F72" i="5"/>
  <c r="E73" i="5"/>
  <c r="F73" i="5" s="1"/>
  <c r="Z73" i="1"/>
  <c r="Y74" i="1"/>
  <c r="X75" i="1"/>
  <c r="H77" i="1"/>
  <c r="I77" i="1" s="1"/>
  <c r="J77" i="1" s="1"/>
  <c r="K77" i="1" s="1"/>
  <c r="L77" i="1" s="1"/>
  <c r="M77" i="1" s="1"/>
  <c r="N77" i="1" s="1"/>
  <c r="O77" i="1" s="1"/>
  <c r="P77" i="1" s="1"/>
  <c r="Q76" i="1"/>
  <c r="R76" i="1" s="1"/>
  <c r="S76" i="1" s="1"/>
  <c r="T76" i="1" s="1"/>
  <c r="U76" i="1" s="1"/>
  <c r="V76" i="1" s="1"/>
  <c r="W76" i="1" s="1"/>
  <c r="E159" i="5"/>
  <c r="F78" i="1"/>
  <c r="G78" i="1" s="1"/>
  <c r="F159" i="5" l="1"/>
  <c r="H159" i="5"/>
  <c r="E74" i="5"/>
  <c r="Z74" i="1"/>
  <c r="Y75" i="1"/>
  <c r="X76" i="1"/>
  <c r="H78" i="1"/>
  <c r="I78" i="1" s="1"/>
  <c r="J78" i="1" s="1"/>
  <c r="K78" i="1" s="1"/>
  <c r="L78" i="1" s="1"/>
  <c r="M78" i="1" s="1"/>
  <c r="N78" i="1" s="1"/>
  <c r="O78" i="1" s="1"/>
  <c r="P78" i="1" s="1"/>
  <c r="Q77" i="1"/>
  <c r="R77" i="1" s="1"/>
  <c r="S77" i="1" s="1"/>
  <c r="T77" i="1" s="1"/>
  <c r="U77" i="1" s="1"/>
  <c r="V77" i="1" s="1"/>
  <c r="W77" i="1" s="1"/>
  <c r="E160" i="5"/>
  <c r="F79" i="1"/>
  <c r="G79" i="1" s="1"/>
  <c r="H160" i="5" l="1"/>
  <c r="F160" i="5"/>
  <c r="F74" i="5"/>
  <c r="H74" i="5"/>
  <c r="E75" i="5"/>
  <c r="Z75" i="1"/>
  <c r="Y76" i="1"/>
  <c r="X77" i="1"/>
  <c r="H79" i="1"/>
  <c r="I79" i="1" s="1"/>
  <c r="J79" i="1" s="1"/>
  <c r="K79" i="1" s="1"/>
  <c r="L79" i="1" s="1"/>
  <c r="M79" i="1" s="1"/>
  <c r="N79" i="1" s="1"/>
  <c r="O79" i="1" s="1"/>
  <c r="P79" i="1" s="1"/>
  <c r="Q78" i="1"/>
  <c r="R78" i="1" s="1"/>
  <c r="S78" i="1" s="1"/>
  <c r="T78" i="1" s="1"/>
  <c r="U78" i="1" s="1"/>
  <c r="V78" i="1" s="1"/>
  <c r="W78" i="1" s="1"/>
  <c r="E161" i="5"/>
  <c r="F82" i="1"/>
  <c r="G82" i="1" s="1"/>
  <c r="H75" i="5" l="1"/>
  <c r="F75" i="5"/>
  <c r="H161" i="5"/>
  <c r="F161" i="5"/>
  <c r="E76" i="5"/>
  <c r="Z76" i="1"/>
  <c r="Y77" i="1"/>
  <c r="X78" i="1"/>
  <c r="H82" i="1"/>
  <c r="I82" i="1" s="1"/>
  <c r="J82" i="1" s="1"/>
  <c r="K82" i="1" s="1"/>
  <c r="L82" i="1" s="1"/>
  <c r="M82" i="1" s="1"/>
  <c r="N82" i="1" s="1"/>
  <c r="O82" i="1" s="1"/>
  <c r="P82" i="1" s="1"/>
  <c r="Q79" i="1"/>
  <c r="R79" i="1" s="1"/>
  <c r="S79" i="1" s="1"/>
  <c r="T79" i="1" s="1"/>
  <c r="U79" i="1" s="1"/>
  <c r="V79" i="1" s="1"/>
  <c r="W79" i="1" s="1"/>
  <c r="E162" i="5"/>
  <c r="F87" i="1"/>
  <c r="G87" i="1" s="1"/>
  <c r="F83" i="1"/>
  <c r="G83" i="1" s="1"/>
  <c r="H76" i="5" l="1"/>
  <c r="F76" i="5"/>
  <c r="H162" i="5"/>
  <c r="F162" i="5"/>
  <c r="E77" i="5"/>
  <c r="Z77" i="1"/>
  <c r="Y78" i="1"/>
  <c r="X79" i="1"/>
  <c r="H83" i="1"/>
  <c r="I83" i="1" s="1"/>
  <c r="J83" i="1" s="1"/>
  <c r="K83" i="1" s="1"/>
  <c r="L83" i="1" s="1"/>
  <c r="M83" i="1" s="1"/>
  <c r="N83" i="1" s="1"/>
  <c r="O83" i="1" s="1"/>
  <c r="P83" i="1" s="1"/>
  <c r="H87" i="1"/>
  <c r="I87" i="1" s="1"/>
  <c r="J87" i="1" s="1"/>
  <c r="K87" i="1" s="1"/>
  <c r="L87" i="1" s="1"/>
  <c r="M87" i="1" s="1"/>
  <c r="N87" i="1" s="1"/>
  <c r="O87" i="1" s="1"/>
  <c r="P87" i="1" s="1"/>
  <c r="Q82" i="1"/>
  <c r="R82" i="1" s="1"/>
  <c r="S82" i="1" s="1"/>
  <c r="T82" i="1" s="1"/>
  <c r="U82" i="1" s="1"/>
  <c r="V82" i="1" s="1"/>
  <c r="W82" i="1" s="1"/>
  <c r="E163" i="5"/>
  <c r="F99" i="1"/>
  <c r="G99" i="1" s="1"/>
  <c r="F93" i="1"/>
  <c r="G93" i="1" s="1"/>
  <c r="F84" i="1"/>
  <c r="G84" i="1" s="1"/>
  <c r="H163" i="5" l="1"/>
  <c r="F163" i="5"/>
  <c r="H77" i="5"/>
  <c r="F77" i="5"/>
  <c r="E78" i="5"/>
  <c r="Z78" i="1"/>
  <c r="Y79" i="1"/>
  <c r="X82" i="1"/>
  <c r="H93" i="1"/>
  <c r="I93" i="1" s="1"/>
  <c r="J93" i="1" s="1"/>
  <c r="K93" i="1" s="1"/>
  <c r="L93" i="1" s="1"/>
  <c r="M93" i="1" s="1"/>
  <c r="N93" i="1" s="1"/>
  <c r="O93" i="1" s="1"/>
  <c r="P93" i="1" s="1"/>
  <c r="H84" i="1"/>
  <c r="I84" i="1" s="1"/>
  <c r="J84" i="1" s="1"/>
  <c r="K84" i="1" s="1"/>
  <c r="L84" i="1" s="1"/>
  <c r="M84" i="1" s="1"/>
  <c r="N84" i="1" s="1"/>
  <c r="O84" i="1" s="1"/>
  <c r="P84" i="1" s="1"/>
  <c r="H99" i="1"/>
  <c r="I99" i="1" s="1"/>
  <c r="J99" i="1" s="1"/>
  <c r="K99" i="1" s="1"/>
  <c r="L99" i="1" s="1"/>
  <c r="M99" i="1" s="1"/>
  <c r="N99" i="1" s="1"/>
  <c r="O99" i="1" s="1"/>
  <c r="P99" i="1" s="1"/>
  <c r="Q83" i="1"/>
  <c r="R83" i="1" s="1"/>
  <c r="S83" i="1" s="1"/>
  <c r="T83" i="1" s="1"/>
  <c r="U83" i="1" s="1"/>
  <c r="V83" i="1" s="1"/>
  <c r="W83" i="1" s="1"/>
  <c r="Q87" i="1"/>
  <c r="R87" i="1" s="1"/>
  <c r="S87" i="1" s="1"/>
  <c r="T87" i="1" s="1"/>
  <c r="U87" i="1" s="1"/>
  <c r="V87" i="1" s="1"/>
  <c r="W87" i="1" s="1"/>
  <c r="E164" i="5"/>
  <c r="F85" i="1"/>
  <c r="G85" i="1" s="1"/>
  <c r="H164" i="5" l="1"/>
  <c r="F164" i="5"/>
  <c r="H78" i="5"/>
  <c r="F78" i="5"/>
  <c r="E79" i="5"/>
  <c r="Z79" i="1"/>
  <c r="Y82" i="1"/>
  <c r="X87" i="1"/>
  <c r="Y87" i="1" s="1"/>
  <c r="AA87" i="1" s="1"/>
  <c r="AB87" i="1" s="1"/>
  <c r="AC87" i="1" s="1"/>
  <c r="AD87" i="1" s="1"/>
  <c r="AE87" i="1" s="1"/>
  <c r="AF87" i="1" s="1"/>
  <c r="AG87" i="1" s="1"/>
  <c r="AH87" i="1" s="1"/>
  <c r="AI87" i="1" s="1"/>
  <c r="AJ87" i="1" s="1"/>
  <c r="AK87" i="1" s="1"/>
  <c r="AL87" i="1" s="1"/>
  <c r="AM87" i="1" s="1"/>
  <c r="AN87" i="1" s="1"/>
  <c r="AO87" i="1" s="1"/>
  <c r="AP87" i="1" s="1"/>
  <c r="AQ87" i="1" s="1"/>
  <c r="AR87" i="1" s="1"/>
  <c r="AS87" i="1" s="1"/>
  <c r="AT87" i="1" s="1"/>
  <c r="AU87" i="1" s="1"/>
  <c r="AV87" i="1" s="1"/>
  <c r="AW87" i="1" s="1"/>
  <c r="AX87" i="1" s="1"/>
  <c r="AY87" i="1" s="1"/>
  <c r="AZ87" i="1" s="1"/>
  <c r="BA87" i="1" s="1"/>
  <c r="BB87" i="1" s="1"/>
  <c r="BC87" i="1" s="1"/>
  <c r="BD87" i="1" s="1"/>
  <c r="BE87" i="1" s="1"/>
  <c r="BF87" i="1" s="1"/>
  <c r="BG87" i="1" s="1"/>
  <c r="BH87" i="1" s="1"/>
  <c r="BI87" i="1" s="1"/>
  <c r="BJ87" i="1" s="1"/>
  <c r="X83" i="1"/>
  <c r="H85" i="1"/>
  <c r="I85" i="1" s="1"/>
  <c r="J85" i="1" s="1"/>
  <c r="K85" i="1" s="1"/>
  <c r="L85" i="1" s="1"/>
  <c r="M85" i="1" s="1"/>
  <c r="N85" i="1" s="1"/>
  <c r="O85" i="1" s="1"/>
  <c r="P85" i="1" s="1"/>
  <c r="Q99" i="1"/>
  <c r="R99" i="1" s="1"/>
  <c r="S99" i="1" s="1"/>
  <c r="T99" i="1" s="1"/>
  <c r="U99" i="1" s="1"/>
  <c r="V99" i="1" s="1"/>
  <c r="W99" i="1" s="1"/>
  <c r="Q84" i="1"/>
  <c r="R84" i="1" s="1"/>
  <c r="S84" i="1" s="1"/>
  <c r="T84" i="1" s="1"/>
  <c r="U84" i="1" s="1"/>
  <c r="V84" i="1" s="1"/>
  <c r="W84" i="1" s="1"/>
  <c r="Q93" i="1"/>
  <c r="R93" i="1" s="1"/>
  <c r="S93" i="1" s="1"/>
  <c r="T93" i="1" s="1"/>
  <c r="U93" i="1" s="1"/>
  <c r="V93" i="1" s="1"/>
  <c r="W93" i="1" s="1"/>
  <c r="E165" i="5"/>
  <c r="F86" i="1"/>
  <c r="G86" i="1" s="1"/>
  <c r="H165" i="5" l="1"/>
  <c r="F165" i="5"/>
  <c r="F79" i="5"/>
  <c r="H79" i="5"/>
  <c r="Q79" i="5"/>
  <c r="P79" i="5"/>
  <c r="O79" i="5"/>
  <c r="E80" i="5"/>
  <c r="I80" i="5" s="1"/>
  <c r="Z82" i="1"/>
  <c r="Y83" i="1"/>
  <c r="X84" i="1"/>
  <c r="X93" i="1"/>
  <c r="Y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AK93" i="1" s="1"/>
  <c r="AL93" i="1" s="1"/>
  <c r="AM93" i="1" s="1"/>
  <c r="AN93" i="1" s="1"/>
  <c r="AO93" i="1" s="1"/>
  <c r="AP93" i="1" s="1"/>
  <c r="AQ93" i="1" s="1"/>
  <c r="AR93" i="1" s="1"/>
  <c r="AS93" i="1" s="1"/>
  <c r="AT93" i="1" s="1"/>
  <c r="AU93" i="1" s="1"/>
  <c r="AV93" i="1" s="1"/>
  <c r="AW93" i="1" s="1"/>
  <c r="AX93" i="1" s="1"/>
  <c r="AY93" i="1" s="1"/>
  <c r="AZ93" i="1" s="1"/>
  <c r="BA93" i="1" s="1"/>
  <c r="BB93" i="1" s="1"/>
  <c r="BC93" i="1" s="1"/>
  <c r="BD93" i="1" s="1"/>
  <c r="BE93" i="1" s="1"/>
  <c r="BF93" i="1" s="1"/>
  <c r="BG93" i="1" s="1"/>
  <c r="BH93" i="1" s="1"/>
  <c r="BI93" i="1" s="1"/>
  <c r="BJ93" i="1" s="1"/>
  <c r="X99" i="1"/>
  <c r="Y99" i="1" s="1"/>
  <c r="AA99" i="1" s="1"/>
  <c r="AB99" i="1" s="1"/>
  <c r="AC99" i="1" s="1"/>
  <c r="AD99" i="1" s="1"/>
  <c r="AE99" i="1" s="1"/>
  <c r="AF99" i="1" s="1"/>
  <c r="AG99" i="1" s="1"/>
  <c r="AH99" i="1" s="1"/>
  <c r="AI99" i="1" s="1"/>
  <c r="AJ99" i="1" s="1"/>
  <c r="AK99" i="1" s="1"/>
  <c r="AL99" i="1" s="1"/>
  <c r="AM99" i="1" s="1"/>
  <c r="AN99" i="1" s="1"/>
  <c r="AO99" i="1" s="1"/>
  <c r="AP99" i="1" s="1"/>
  <c r="AQ99" i="1" s="1"/>
  <c r="AR99" i="1" s="1"/>
  <c r="AS99" i="1" s="1"/>
  <c r="AT99" i="1" s="1"/>
  <c r="AU99" i="1" s="1"/>
  <c r="AV99" i="1" s="1"/>
  <c r="AW99" i="1" s="1"/>
  <c r="AX99" i="1" s="1"/>
  <c r="AY99" i="1" s="1"/>
  <c r="AZ99" i="1" s="1"/>
  <c r="BA99" i="1" s="1"/>
  <c r="BB99" i="1" s="1"/>
  <c r="BC99" i="1" s="1"/>
  <c r="BD99" i="1" s="1"/>
  <c r="BE99" i="1" s="1"/>
  <c r="BF99" i="1" s="1"/>
  <c r="BG99" i="1" s="1"/>
  <c r="BH99" i="1" s="1"/>
  <c r="BI99" i="1" s="1"/>
  <c r="BJ99" i="1" s="1"/>
  <c r="H86" i="1"/>
  <c r="I86" i="1" s="1"/>
  <c r="J86" i="1" s="1"/>
  <c r="K86" i="1" s="1"/>
  <c r="L86" i="1" s="1"/>
  <c r="M86" i="1" s="1"/>
  <c r="N86" i="1" s="1"/>
  <c r="O86" i="1" s="1"/>
  <c r="P86" i="1" s="1"/>
  <c r="Q85" i="1"/>
  <c r="R85" i="1" s="1"/>
  <c r="S85" i="1" s="1"/>
  <c r="T85" i="1" s="1"/>
  <c r="U85" i="1" s="1"/>
  <c r="V85" i="1" s="1"/>
  <c r="W85" i="1" s="1"/>
  <c r="E166" i="5"/>
  <c r="F124" i="1"/>
  <c r="G124" i="1" s="1"/>
  <c r="H166" i="5" l="1"/>
  <c r="F166" i="5"/>
  <c r="E81" i="5"/>
  <c r="Z83" i="1"/>
  <c r="Y84" i="1"/>
  <c r="X85" i="1"/>
  <c r="H124" i="1"/>
  <c r="BK87" i="1"/>
  <c r="BL87" i="1" s="1"/>
  <c r="BM87" i="1" s="1"/>
  <c r="BN87" i="1" s="1"/>
  <c r="BO87" i="1" s="1"/>
  <c r="BP87" i="1" s="1"/>
  <c r="Q86" i="1"/>
  <c r="R86" i="1" s="1"/>
  <c r="S86" i="1" s="1"/>
  <c r="T86" i="1" s="1"/>
  <c r="U86" i="1" s="1"/>
  <c r="V86" i="1" s="1"/>
  <c r="W86" i="1" s="1"/>
  <c r="I124" i="1"/>
  <c r="J124" i="1" s="1"/>
  <c r="K124" i="1" s="1"/>
  <c r="L124" i="1" s="1"/>
  <c r="M124" i="1" s="1"/>
  <c r="N124" i="1" s="1"/>
  <c r="O124" i="1" s="1"/>
  <c r="P124" i="1" s="1"/>
  <c r="E167" i="5"/>
  <c r="F125" i="1"/>
  <c r="G125" i="1" s="1"/>
  <c r="F167" i="5" l="1"/>
  <c r="H167" i="5"/>
  <c r="G81" i="5"/>
  <c r="F81" i="5"/>
  <c r="E82" i="5"/>
  <c r="Z84" i="1"/>
  <c r="Y85" i="1"/>
  <c r="X86" i="1"/>
  <c r="H125" i="1"/>
  <c r="BK93" i="1"/>
  <c r="BL93" i="1" s="1"/>
  <c r="BM93" i="1" s="1"/>
  <c r="BN93" i="1" s="1"/>
  <c r="BO93" i="1" s="1"/>
  <c r="BP93" i="1" s="1"/>
  <c r="BK99" i="1"/>
  <c r="BL99" i="1" s="1"/>
  <c r="BM99" i="1" s="1"/>
  <c r="BN99" i="1" s="1"/>
  <c r="BO99" i="1" s="1"/>
  <c r="BP99" i="1" s="1"/>
  <c r="Q124" i="1"/>
  <c r="R124" i="1" s="1"/>
  <c r="S124" i="1" s="1"/>
  <c r="T124" i="1" s="1"/>
  <c r="U124" i="1" s="1"/>
  <c r="V124" i="1" s="1"/>
  <c r="W124" i="1" s="1"/>
  <c r="I125" i="1"/>
  <c r="J125" i="1" s="1"/>
  <c r="K125" i="1" s="1"/>
  <c r="L125" i="1" s="1"/>
  <c r="M125" i="1" s="1"/>
  <c r="N125" i="1" s="1"/>
  <c r="O125" i="1" s="1"/>
  <c r="P125" i="1" s="1"/>
  <c r="E168" i="5"/>
  <c r="F126" i="1"/>
  <c r="G126" i="1" s="1"/>
  <c r="F168" i="5" l="1"/>
  <c r="H168" i="5"/>
  <c r="Q82" i="5"/>
  <c r="H82" i="5"/>
  <c r="F82" i="5"/>
  <c r="P82" i="5"/>
  <c r="O82" i="5"/>
  <c r="E83" i="5"/>
  <c r="I83" i="5" s="1"/>
  <c r="Z85" i="1"/>
  <c r="Y86" i="1"/>
  <c r="X124" i="1"/>
  <c r="H126" i="1"/>
  <c r="I126" i="1" s="1"/>
  <c r="J126" i="1" s="1"/>
  <c r="K126" i="1" s="1"/>
  <c r="L126" i="1" s="1"/>
  <c r="M126" i="1" s="1"/>
  <c r="N126" i="1" s="1"/>
  <c r="O126" i="1" s="1"/>
  <c r="P126" i="1" s="1"/>
  <c r="Q125" i="1"/>
  <c r="R125" i="1" s="1"/>
  <c r="S125" i="1" s="1"/>
  <c r="T125" i="1" s="1"/>
  <c r="U125" i="1" s="1"/>
  <c r="V125" i="1" s="1"/>
  <c r="W125" i="1" s="1"/>
  <c r="E169" i="5"/>
  <c r="F127" i="1"/>
  <c r="G127" i="1" s="1"/>
  <c r="F169" i="5" l="1"/>
  <c r="H169" i="5"/>
  <c r="E170" i="5"/>
  <c r="E171" i="5" s="1"/>
  <c r="E84" i="5"/>
  <c r="Z86" i="1"/>
  <c r="Y124" i="1"/>
  <c r="X125" i="1"/>
  <c r="H127" i="1"/>
  <c r="I127" i="1" s="1"/>
  <c r="J127" i="1" s="1"/>
  <c r="K127" i="1" s="1"/>
  <c r="L127" i="1" s="1"/>
  <c r="M127" i="1" s="1"/>
  <c r="N127" i="1" s="1"/>
  <c r="O127" i="1" s="1"/>
  <c r="P127" i="1" s="1"/>
  <c r="Q126" i="1"/>
  <c r="R126" i="1" s="1"/>
  <c r="S126" i="1" s="1"/>
  <c r="T126" i="1" s="1"/>
  <c r="U126" i="1" s="1"/>
  <c r="V126" i="1" s="1"/>
  <c r="W126" i="1" s="1"/>
  <c r="F128" i="1"/>
  <c r="G128" i="1" s="1"/>
  <c r="F171" i="5" l="1"/>
  <c r="H171" i="5"/>
  <c r="F84" i="5"/>
  <c r="G84" i="5"/>
  <c r="F170" i="5"/>
  <c r="H170" i="5"/>
  <c r="E85" i="5"/>
  <c r="E172" i="5"/>
  <c r="Z124" i="1"/>
  <c r="Y125" i="1"/>
  <c r="X126" i="1"/>
  <c r="H128" i="1"/>
  <c r="I128" i="1" s="1"/>
  <c r="J128" i="1" s="1"/>
  <c r="K128" i="1" s="1"/>
  <c r="L128" i="1" s="1"/>
  <c r="M128" i="1" s="1"/>
  <c r="N128" i="1" s="1"/>
  <c r="O128" i="1" s="1"/>
  <c r="P128" i="1" s="1"/>
  <c r="Q127" i="1"/>
  <c r="R127" i="1" s="1"/>
  <c r="S127" i="1" s="1"/>
  <c r="T127" i="1" s="1"/>
  <c r="U127" i="1" s="1"/>
  <c r="V127" i="1" s="1"/>
  <c r="W127" i="1" s="1"/>
  <c r="F129" i="1"/>
  <c r="G129" i="1" s="1"/>
  <c r="F172" i="5" l="1"/>
  <c r="H172" i="5"/>
  <c r="F85" i="5"/>
  <c r="Q85" i="5"/>
  <c r="H85" i="5"/>
  <c r="P85" i="5"/>
  <c r="O85" i="5"/>
  <c r="E86" i="5"/>
  <c r="I86" i="5" s="1"/>
  <c r="E173" i="5"/>
  <c r="Z125" i="1"/>
  <c r="Y126" i="1"/>
  <c r="X127" i="1"/>
  <c r="H129" i="1"/>
  <c r="I129" i="1" s="1"/>
  <c r="J129" i="1" s="1"/>
  <c r="K129" i="1" s="1"/>
  <c r="L129" i="1" s="1"/>
  <c r="M129" i="1" s="1"/>
  <c r="N129" i="1" s="1"/>
  <c r="O129" i="1" s="1"/>
  <c r="P129" i="1" s="1"/>
  <c r="Q128" i="1"/>
  <c r="R128" i="1" s="1"/>
  <c r="S128" i="1" s="1"/>
  <c r="T128" i="1" s="1"/>
  <c r="U128" i="1" s="1"/>
  <c r="V128" i="1" s="1"/>
  <c r="W128" i="1" s="1"/>
  <c r="F130" i="1"/>
  <c r="G130" i="1" s="1"/>
  <c r="F173" i="5" l="1"/>
  <c r="H173" i="5"/>
  <c r="E174" i="5"/>
  <c r="Z126" i="1"/>
  <c r="Y127" i="1"/>
  <c r="X128" i="1"/>
  <c r="H130" i="1"/>
  <c r="I130" i="1" s="1"/>
  <c r="J130" i="1" s="1"/>
  <c r="K130" i="1" s="1"/>
  <c r="L130" i="1" s="1"/>
  <c r="M130" i="1" s="1"/>
  <c r="N130" i="1" s="1"/>
  <c r="O130" i="1" s="1"/>
  <c r="P130" i="1" s="1"/>
  <c r="Q129" i="1"/>
  <c r="R129" i="1" s="1"/>
  <c r="S129" i="1" s="1"/>
  <c r="T129" i="1" s="1"/>
  <c r="U129" i="1" s="1"/>
  <c r="V129" i="1" s="1"/>
  <c r="W129" i="1" s="1"/>
  <c r="F131" i="1"/>
  <c r="G131" i="1" s="1"/>
  <c r="H174" i="5" l="1"/>
  <c r="F174" i="5"/>
  <c r="E175" i="5"/>
  <c r="Z127" i="1"/>
  <c r="Y128" i="1"/>
  <c r="X129" i="1"/>
  <c r="H131" i="1"/>
  <c r="I131" i="1" s="1"/>
  <c r="J131" i="1" s="1"/>
  <c r="K131" i="1" s="1"/>
  <c r="L131" i="1" s="1"/>
  <c r="M131" i="1" s="1"/>
  <c r="N131" i="1" s="1"/>
  <c r="O131" i="1" s="1"/>
  <c r="P131" i="1" s="1"/>
  <c r="Q130" i="1"/>
  <c r="R130" i="1" s="1"/>
  <c r="S130" i="1" s="1"/>
  <c r="T130" i="1" s="1"/>
  <c r="U130" i="1" s="1"/>
  <c r="V130" i="1" s="1"/>
  <c r="W130" i="1" s="1"/>
  <c r="E87" i="5"/>
  <c r="F132" i="1"/>
  <c r="G132" i="1" s="1"/>
  <c r="G87" i="5" l="1"/>
  <c r="F87" i="5"/>
  <c r="H175" i="5"/>
  <c r="F175" i="5"/>
  <c r="E176" i="5"/>
  <c r="Z128" i="1"/>
  <c r="Y129" i="1"/>
  <c r="X130" i="1"/>
  <c r="H132" i="1"/>
  <c r="I132" i="1" s="1"/>
  <c r="J132" i="1" s="1"/>
  <c r="K132" i="1" s="1"/>
  <c r="L132" i="1" s="1"/>
  <c r="M132" i="1" s="1"/>
  <c r="N132" i="1" s="1"/>
  <c r="O132" i="1" s="1"/>
  <c r="P132" i="1" s="1"/>
  <c r="Q131" i="1"/>
  <c r="R131" i="1" s="1"/>
  <c r="S131" i="1" s="1"/>
  <c r="T131" i="1" s="1"/>
  <c r="U131" i="1" s="1"/>
  <c r="V131" i="1" s="1"/>
  <c r="W131" i="1" s="1"/>
  <c r="F133" i="1"/>
  <c r="G133" i="1" s="1"/>
  <c r="H176" i="5" l="1"/>
  <c r="F176" i="5"/>
  <c r="E177" i="5"/>
  <c r="Z129" i="1"/>
  <c r="Y130" i="1"/>
  <c r="X131" i="1"/>
  <c r="H133" i="1"/>
  <c r="I133" i="1" s="1"/>
  <c r="J133" i="1" s="1"/>
  <c r="K133" i="1" s="1"/>
  <c r="L133" i="1" s="1"/>
  <c r="M133" i="1" s="1"/>
  <c r="N133" i="1" s="1"/>
  <c r="O133" i="1" s="1"/>
  <c r="P133" i="1" s="1"/>
  <c r="Q132" i="1"/>
  <c r="R132" i="1" s="1"/>
  <c r="S132" i="1" s="1"/>
  <c r="T132" i="1" s="1"/>
  <c r="U132" i="1" s="1"/>
  <c r="V132" i="1" s="1"/>
  <c r="W132" i="1" s="1"/>
  <c r="F134" i="1"/>
  <c r="G134" i="1" s="1"/>
  <c r="H177" i="5" l="1"/>
  <c r="F177" i="5"/>
  <c r="E178" i="5"/>
  <c r="Z130" i="1"/>
  <c r="Y131" i="1"/>
  <c r="X132" i="1"/>
  <c r="H134" i="1"/>
  <c r="I134" i="1" s="1"/>
  <c r="J134" i="1" s="1"/>
  <c r="K134" i="1" s="1"/>
  <c r="L134" i="1" s="1"/>
  <c r="M134" i="1" s="1"/>
  <c r="N134" i="1" s="1"/>
  <c r="O134" i="1" s="1"/>
  <c r="P134" i="1" s="1"/>
  <c r="Q133" i="1"/>
  <c r="R133" i="1" s="1"/>
  <c r="S133" i="1" s="1"/>
  <c r="T133" i="1" s="1"/>
  <c r="U133" i="1" s="1"/>
  <c r="V133" i="1" s="1"/>
  <c r="W133" i="1" s="1"/>
  <c r="F135" i="1"/>
  <c r="G135" i="1" s="1"/>
  <c r="H178" i="5" l="1"/>
  <c r="F178" i="5"/>
  <c r="E179" i="5"/>
  <c r="Z131" i="1"/>
  <c r="Y132" i="1"/>
  <c r="X133" i="1"/>
  <c r="H135" i="1"/>
  <c r="I135" i="1" s="1"/>
  <c r="J135" i="1" s="1"/>
  <c r="K135" i="1" s="1"/>
  <c r="L135" i="1" s="1"/>
  <c r="M135" i="1" s="1"/>
  <c r="N135" i="1" s="1"/>
  <c r="O135" i="1" s="1"/>
  <c r="P135" i="1" s="1"/>
  <c r="Q134" i="1"/>
  <c r="R134" i="1" s="1"/>
  <c r="S134" i="1" s="1"/>
  <c r="T134" i="1" s="1"/>
  <c r="U134" i="1" s="1"/>
  <c r="V134" i="1" s="1"/>
  <c r="W134" i="1" s="1"/>
  <c r="F136" i="1"/>
  <c r="G136" i="1" s="1"/>
  <c r="H179" i="5" l="1"/>
  <c r="F179" i="5"/>
  <c r="E180" i="5"/>
  <c r="Z132" i="1"/>
  <c r="Y133" i="1"/>
  <c r="X134" i="1"/>
  <c r="H136" i="1"/>
  <c r="I136" i="1" s="1"/>
  <c r="J136" i="1" s="1"/>
  <c r="K136" i="1" s="1"/>
  <c r="L136" i="1" s="1"/>
  <c r="M136" i="1" s="1"/>
  <c r="N136" i="1" s="1"/>
  <c r="O136" i="1" s="1"/>
  <c r="P136" i="1" s="1"/>
  <c r="Q135" i="1"/>
  <c r="R135" i="1" s="1"/>
  <c r="S135" i="1" s="1"/>
  <c r="T135" i="1" s="1"/>
  <c r="U135" i="1" s="1"/>
  <c r="V135" i="1" s="1"/>
  <c r="W135" i="1" s="1"/>
  <c r="F137" i="1"/>
  <c r="G137" i="1" s="1"/>
  <c r="H180" i="5" l="1"/>
  <c r="F180" i="5"/>
  <c r="E181" i="5"/>
  <c r="F181" i="5" s="1"/>
  <c r="Z133" i="1"/>
  <c r="Y134" i="1"/>
  <c r="X135" i="1"/>
  <c r="H137" i="1"/>
  <c r="I137" i="1" s="1"/>
  <c r="J137" i="1" s="1"/>
  <c r="K137" i="1" s="1"/>
  <c r="L137" i="1" s="1"/>
  <c r="M137" i="1" s="1"/>
  <c r="N137" i="1" s="1"/>
  <c r="O137" i="1" s="1"/>
  <c r="P137" i="1" s="1"/>
  <c r="Q136" i="1"/>
  <c r="R136" i="1" s="1"/>
  <c r="S136" i="1" s="1"/>
  <c r="T136" i="1" s="1"/>
  <c r="U136" i="1" s="1"/>
  <c r="V136" i="1" s="1"/>
  <c r="W136" i="1" s="1"/>
  <c r="F138" i="1"/>
  <c r="G138" i="1" s="1"/>
  <c r="E182" i="5" l="1"/>
  <c r="Z134" i="1"/>
  <c r="Y135" i="1"/>
  <c r="X136" i="1"/>
  <c r="H138" i="1"/>
  <c r="I138" i="1" s="1"/>
  <c r="J138" i="1" s="1"/>
  <c r="K138" i="1" s="1"/>
  <c r="L138" i="1" s="1"/>
  <c r="M138" i="1" s="1"/>
  <c r="N138" i="1" s="1"/>
  <c r="O138" i="1" s="1"/>
  <c r="P138" i="1" s="1"/>
  <c r="Q137" i="1"/>
  <c r="R137" i="1" s="1"/>
  <c r="S137" i="1" s="1"/>
  <c r="T137" i="1" s="1"/>
  <c r="U137" i="1" s="1"/>
  <c r="V137" i="1" s="1"/>
  <c r="W137" i="1" s="1"/>
  <c r="F139" i="1"/>
  <c r="G139" i="1" s="1"/>
  <c r="F182" i="5" l="1"/>
  <c r="H182" i="5"/>
  <c r="E183" i="5"/>
  <c r="Z135" i="1"/>
  <c r="Y136" i="1"/>
  <c r="X137" i="1"/>
  <c r="H139" i="1"/>
  <c r="I139" i="1" s="1"/>
  <c r="J139" i="1" s="1"/>
  <c r="K139" i="1" s="1"/>
  <c r="L139" i="1" s="1"/>
  <c r="M139" i="1" s="1"/>
  <c r="N139" i="1" s="1"/>
  <c r="O139" i="1" s="1"/>
  <c r="P139" i="1" s="1"/>
  <c r="Q138" i="1"/>
  <c r="R138" i="1" s="1"/>
  <c r="S138" i="1" s="1"/>
  <c r="T138" i="1" s="1"/>
  <c r="U138" i="1" s="1"/>
  <c r="V138" i="1" s="1"/>
  <c r="W138" i="1" s="1"/>
  <c r="F140" i="1"/>
  <c r="G140" i="1" s="1"/>
  <c r="F183" i="5" l="1"/>
  <c r="H183" i="5"/>
  <c r="E184" i="5"/>
  <c r="Z136" i="1"/>
  <c r="Y137" i="1"/>
  <c r="X138" i="1"/>
  <c r="H140" i="1"/>
  <c r="I140" i="1" s="1"/>
  <c r="J140" i="1" s="1"/>
  <c r="K140" i="1" s="1"/>
  <c r="L140" i="1" s="1"/>
  <c r="M140" i="1" s="1"/>
  <c r="N140" i="1" s="1"/>
  <c r="O140" i="1" s="1"/>
  <c r="P140" i="1" s="1"/>
  <c r="Q139" i="1"/>
  <c r="R139" i="1" s="1"/>
  <c r="S139" i="1" s="1"/>
  <c r="T139" i="1" s="1"/>
  <c r="U139" i="1" s="1"/>
  <c r="V139" i="1" s="1"/>
  <c r="W139" i="1" s="1"/>
  <c r="F141" i="1"/>
  <c r="G141" i="1" s="1"/>
  <c r="F184" i="5" l="1"/>
  <c r="H184" i="5"/>
  <c r="E185" i="5"/>
  <c r="Z137" i="1"/>
  <c r="Y138" i="1"/>
  <c r="X139" i="1"/>
  <c r="H141" i="1"/>
  <c r="I141" i="1" s="1"/>
  <c r="J141" i="1" s="1"/>
  <c r="K141" i="1" s="1"/>
  <c r="L141" i="1" s="1"/>
  <c r="M141" i="1" s="1"/>
  <c r="N141" i="1" s="1"/>
  <c r="O141" i="1" s="1"/>
  <c r="P141" i="1" s="1"/>
  <c r="Q140" i="1"/>
  <c r="R140" i="1" s="1"/>
  <c r="S140" i="1" s="1"/>
  <c r="T140" i="1" s="1"/>
  <c r="U140" i="1" s="1"/>
  <c r="V140" i="1" s="1"/>
  <c r="W140" i="1" s="1"/>
  <c r="F142" i="1"/>
  <c r="G142" i="1" s="1"/>
  <c r="F185" i="5" l="1"/>
  <c r="H185" i="5"/>
  <c r="E186" i="5"/>
  <c r="Z138" i="1"/>
  <c r="Y139" i="1"/>
  <c r="X140" i="1"/>
  <c r="H142" i="1"/>
  <c r="I142" i="1" s="1"/>
  <c r="J142" i="1" s="1"/>
  <c r="K142" i="1" s="1"/>
  <c r="L142" i="1" s="1"/>
  <c r="M142" i="1" s="1"/>
  <c r="N142" i="1" s="1"/>
  <c r="O142" i="1" s="1"/>
  <c r="P142" i="1" s="1"/>
  <c r="Q141" i="1"/>
  <c r="R141" i="1" s="1"/>
  <c r="S141" i="1" s="1"/>
  <c r="T141" i="1" s="1"/>
  <c r="U141" i="1" s="1"/>
  <c r="V141" i="1" s="1"/>
  <c r="W141" i="1" s="1"/>
  <c r="F143" i="1"/>
  <c r="G143" i="1" s="1"/>
  <c r="F186" i="5" l="1"/>
  <c r="H186" i="5"/>
  <c r="Z139" i="1"/>
  <c r="Y140" i="1"/>
  <c r="X141" i="1"/>
  <c r="H143" i="1"/>
  <c r="I143" i="1" s="1"/>
  <c r="J143" i="1" s="1"/>
  <c r="K143" i="1" s="1"/>
  <c r="L143" i="1" s="1"/>
  <c r="M143" i="1" s="1"/>
  <c r="N143" i="1" s="1"/>
  <c r="O143" i="1" s="1"/>
  <c r="P143" i="1" s="1"/>
  <c r="Q142" i="1"/>
  <c r="R142" i="1" s="1"/>
  <c r="S142" i="1" s="1"/>
  <c r="T142" i="1" s="1"/>
  <c r="U142" i="1" s="1"/>
  <c r="V142" i="1" s="1"/>
  <c r="W142" i="1" s="1"/>
  <c r="F144" i="1"/>
  <c r="G144" i="1" s="1"/>
  <c r="Z140" i="1" l="1"/>
  <c r="Y141" i="1"/>
  <c r="X142" i="1"/>
  <c r="H144" i="1"/>
  <c r="I144" i="1" s="1"/>
  <c r="J144" i="1" s="1"/>
  <c r="K144" i="1" s="1"/>
  <c r="L144" i="1" s="1"/>
  <c r="M144" i="1" s="1"/>
  <c r="N144" i="1" s="1"/>
  <c r="O144" i="1" s="1"/>
  <c r="P144" i="1" s="1"/>
  <c r="Q143" i="1"/>
  <c r="R143" i="1" s="1"/>
  <c r="S143" i="1" s="1"/>
  <c r="T143" i="1" s="1"/>
  <c r="U143" i="1" s="1"/>
  <c r="V143" i="1" s="1"/>
  <c r="W143" i="1" s="1"/>
  <c r="F145" i="1"/>
  <c r="G145" i="1" s="1"/>
  <c r="Z141" i="1" l="1"/>
  <c r="Y142" i="1"/>
  <c r="X143" i="1"/>
  <c r="H145" i="1"/>
  <c r="I145" i="1" s="1"/>
  <c r="J145" i="1" s="1"/>
  <c r="K145" i="1" s="1"/>
  <c r="L145" i="1" s="1"/>
  <c r="M145" i="1" s="1"/>
  <c r="N145" i="1" s="1"/>
  <c r="O145" i="1" s="1"/>
  <c r="P145" i="1" s="1"/>
  <c r="Q144" i="1"/>
  <c r="R144" i="1" s="1"/>
  <c r="S144" i="1" s="1"/>
  <c r="T144" i="1" s="1"/>
  <c r="U144" i="1" s="1"/>
  <c r="V144" i="1" s="1"/>
  <c r="W144" i="1" s="1"/>
  <c r="F146" i="1"/>
  <c r="G146" i="1" s="1"/>
  <c r="Z142" i="1" l="1"/>
  <c r="Y143" i="1"/>
  <c r="X144" i="1"/>
  <c r="H146" i="1"/>
  <c r="I146" i="1" s="1"/>
  <c r="J146" i="1" s="1"/>
  <c r="K146" i="1" s="1"/>
  <c r="L146" i="1" s="1"/>
  <c r="M146" i="1" s="1"/>
  <c r="N146" i="1" s="1"/>
  <c r="O146" i="1" s="1"/>
  <c r="P146" i="1" s="1"/>
  <c r="Q145" i="1"/>
  <c r="R145" i="1" s="1"/>
  <c r="S145" i="1" s="1"/>
  <c r="T145" i="1" s="1"/>
  <c r="U145" i="1" s="1"/>
  <c r="V145" i="1" s="1"/>
  <c r="W145" i="1" s="1"/>
  <c r="F147" i="1"/>
  <c r="G147" i="1" s="1"/>
  <c r="Z143" i="1" l="1"/>
  <c r="Y144" i="1"/>
  <c r="X145" i="1"/>
  <c r="H147" i="1"/>
  <c r="I147" i="1" s="1"/>
  <c r="J147" i="1" s="1"/>
  <c r="K147" i="1" s="1"/>
  <c r="L147" i="1" s="1"/>
  <c r="M147" i="1" s="1"/>
  <c r="N147" i="1" s="1"/>
  <c r="O147" i="1" s="1"/>
  <c r="P147" i="1" s="1"/>
  <c r="Q146" i="1"/>
  <c r="R146" i="1" s="1"/>
  <c r="S146" i="1" s="1"/>
  <c r="T146" i="1" s="1"/>
  <c r="U146" i="1" s="1"/>
  <c r="V146" i="1" s="1"/>
  <c r="W146" i="1" s="1"/>
  <c r="F148" i="1"/>
  <c r="G148" i="1" s="1"/>
  <c r="Z144" i="1" l="1"/>
  <c r="Y145" i="1"/>
  <c r="X146" i="1"/>
  <c r="H148" i="1"/>
  <c r="I148" i="1" s="1"/>
  <c r="J148" i="1" s="1"/>
  <c r="K148" i="1" s="1"/>
  <c r="L148" i="1" s="1"/>
  <c r="M148" i="1" s="1"/>
  <c r="N148" i="1" s="1"/>
  <c r="O148" i="1" s="1"/>
  <c r="P148" i="1" s="1"/>
  <c r="Q147" i="1"/>
  <c r="R147" i="1" s="1"/>
  <c r="S147" i="1" s="1"/>
  <c r="T147" i="1" s="1"/>
  <c r="U147" i="1" s="1"/>
  <c r="V147" i="1" s="1"/>
  <c r="W147" i="1" s="1"/>
  <c r="F149" i="1"/>
  <c r="G149" i="1" s="1"/>
  <c r="Z145" i="1" l="1"/>
  <c r="Y146" i="1"/>
  <c r="X147" i="1"/>
  <c r="H149" i="1"/>
  <c r="I149" i="1" s="1"/>
  <c r="J149" i="1" s="1"/>
  <c r="K149" i="1" s="1"/>
  <c r="L149" i="1" s="1"/>
  <c r="M149" i="1" s="1"/>
  <c r="N149" i="1" s="1"/>
  <c r="O149" i="1" s="1"/>
  <c r="P149" i="1" s="1"/>
  <c r="Q148" i="1"/>
  <c r="R148" i="1" s="1"/>
  <c r="S148" i="1" s="1"/>
  <c r="T148" i="1" s="1"/>
  <c r="U148" i="1" s="1"/>
  <c r="V148" i="1" s="1"/>
  <c r="W148" i="1" s="1"/>
  <c r="F150" i="1"/>
  <c r="G150" i="1" s="1"/>
  <c r="Z146" i="1" l="1"/>
  <c r="Y147" i="1"/>
  <c r="X148" i="1"/>
  <c r="H150" i="1"/>
  <c r="I150" i="1" s="1"/>
  <c r="J150" i="1" s="1"/>
  <c r="K150" i="1" s="1"/>
  <c r="L150" i="1" s="1"/>
  <c r="M150" i="1" s="1"/>
  <c r="N150" i="1" s="1"/>
  <c r="O150" i="1" s="1"/>
  <c r="P150" i="1" s="1"/>
  <c r="Q149" i="1"/>
  <c r="R149" i="1" s="1"/>
  <c r="S149" i="1" s="1"/>
  <c r="T149" i="1" s="1"/>
  <c r="U149" i="1" s="1"/>
  <c r="V149" i="1" s="1"/>
  <c r="W149" i="1" s="1"/>
  <c r="F151" i="1"/>
  <c r="G151" i="1" s="1"/>
  <c r="Z147" i="1" l="1"/>
  <c r="Y148" i="1"/>
  <c r="X149" i="1"/>
  <c r="H151" i="1"/>
  <c r="I151" i="1" s="1"/>
  <c r="J151" i="1" s="1"/>
  <c r="K151" i="1" s="1"/>
  <c r="L151" i="1" s="1"/>
  <c r="M151" i="1" s="1"/>
  <c r="N151" i="1" s="1"/>
  <c r="O151" i="1" s="1"/>
  <c r="P151" i="1" s="1"/>
  <c r="Q150" i="1"/>
  <c r="R150" i="1" s="1"/>
  <c r="S150" i="1" s="1"/>
  <c r="T150" i="1" s="1"/>
  <c r="U150" i="1" s="1"/>
  <c r="V150" i="1" s="1"/>
  <c r="W150" i="1" s="1"/>
  <c r="F152" i="1"/>
  <c r="G152" i="1" s="1"/>
  <c r="Z148" i="1" l="1"/>
  <c r="Y149" i="1"/>
  <c r="X150" i="1"/>
  <c r="H152" i="1"/>
  <c r="I152" i="1" s="1"/>
  <c r="J152" i="1" s="1"/>
  <c r="K152" i="1" s="1"/>
  <c r="L152" i="1" s="1"/>
  <c r="M152" i="1" s="1"/>
  <c r="N152" i="1" s="1"/>
  <c r="O152" i="1" s="1"/>
  <c r="P152" i="1" s="1"/>
  <c r="Q151" i="1"/>
  <c r="R151" i="1" s="1"/>
  <c r="S151" i="1" s="1"/>
  <c r="T151" i="1" s="1"/>
  <c r="U151" i="1" s="1"/>
  <c r="V151" i="1" s="1"/>
  <c r="W151" i="1" s="1"/>
  <c r="F153" i="1"/>
  <c r="G153" i="1" s="1"/>
  <c r="Z149" i="1" l="1"/>
  <c r="Y150" i="1"/>
  <c r="X151" i="1"/>
  <c r="H153" i="1"/>
  <c r="I153" i="1" s="1"/>
  <c r="J153" i="1" s="1"/>
  <c r="K153" i="1" s="1"/>
  <c r="L153" i="1" s="1"/>
  <c r="M153" i="1" s="1"/>
  <c r="N153" i="1" s="1"/>
  <c r="O153" i="1" s="1"/>
  <c r="P153" i="1" s="1"/>
  <c r="Q152" i="1"/>
  <c r="R152" i="1" s="1"/>
  <c r="S152" i="1" s="1"/>
  <c r="T152" i="1" s="1"/>
  <c r="U152" i="1" s="1"/>
  <c r="V152" i="1" s="1"/>
  <c r="W152" i="1" s="1"/>
  <c r="F154" i="1"/>
  <c r="G154" i="1" s="1"/>
  <c r="Z150" i="1" l="1"/>
  <c r="Y151" i="1"/>
  <c r="X152" i="1"/>
  <c r="H154" i="1"/>
  <c r="I154" i="1" s="1"/>
  <c r="J154" i="1" s="1"/>
  <c r="K154" i="1" s="1"/>
  <c r="L154" i="1" s="1"/>
  <c r="M154" i="1" s="1"/>
  <c r="N154" i="1" s="1"/>
  <c r="O154" i="1" s="1"/>
  <c r="P154" i="1" s="1"/>
  <c r="Q153" i="1"/>
  <c r="R153" i="1" s="1"/>
  <c r="S153" i="1" s="1"/>
  <c r="T153" i="1" s="1"/>
  <c r="U153" i="1" s="1"/>
  <c r="V153" i="1" s="1"/>
  <c r="W153" i="1" s="1"/>
  <c r="F155" i="1"/>
  <c r="G155" i="1" s="1"/>
  <c r="Z151" i="1" l="1"/>
  <c r="Y152" i="1"/>
  <c r="X153" i="1"/>
  <c r="H155" i="1"/>
  <c r="I155" i="1" s="1"/>
  <c r="J155" i="1" s="1"/>
  <c r="K155" i="1" s="1"/>
  <c r="L155" i="1" s="1"/>
  <c r="M155" i="1" s="1"/>
  <c r="N155" i="1" s="1"/>
  <c r="O155" i="1" s="1"/>
  <c r="P155" i="1" s="1"/>
  <c r="Q154" i="1"/>
  <c r="R154" i="1" s="1"/>
  <c r="S154" i="1" s="1"/>
  <c r="T154" i="1" s="1"/>
  <c r="U154" i="1" s="1"/>
  <c r="V154" i="1" s="1"/>
  <c r="W154" i="1" s="1"/>
  <c r="F156" i="1"/>
  <c r="G156" i="1" s="1"/>
  <c r="Z152" i="1" l="1"/>
  <c r="Y153" i="1"/>
  <c r="X154" i="1"/>
  <c r="H156" i="1"/>
  <c r="I156" i="1" s="1"/>
  <c r="J156" i="1" s="1"/>
  <c r="K156" i="1" s="1"/>
  <c r="L156" i="1" s="1"/>
  <c r="M156" i="1" s="1"/>
  <c r="N156" i="1" s="1"/>
  <c r="O156" i="1" s="1"/>
  <c r="P156" i="1" s="1"/>
  <c r="Q155" i="1"/>
  <c r="R155" i="1" s="1"/>
  <c r="S155" i="1" s="1"/>
  <c r="T155" i="1" s="1"/>
  <c r="U155" i="1" s="1"/>
  <c r="V155" i="1" s="1"/>
  <c r="W155" i="1" s="1"/>
  <c r="F157" i="1"/>
  <c r="G157" i="1" s="1"/>
  <c r="Z153" i="1" l="1"/>
  <c r="Y154" i="1"/>
  <c r="X155" i="1"/>
  <c r="H157" i="1"/>
  <c r="I157" i="1" s="1"/>
  <c r="J157" i="1" s="1"/>
  <c r="K157" i="1" s="1"/>
  <c r="L157" i="1" s="1"/>
  <c r="M157" i="1" s="1"/>
  <c r="N157" i="1" s="1"/>
  <c r="O157" i="1" s="1"/>
  <c r="P157" i="1" s="1"/>
  <c r="Q156" i="1"/>
  <c r="R156" i="1" s="1"/>
  <c r="S156" i="1" s="1"/>
  <c r="T156" i="1" s="1"/>
  <c r="U156" i="1" s="1"/>
  <c r="V156" i="1" s="1"/>
  <c r="W156" i="1" s="1"/>
  <c r="F158" i="1"/>
  <c r="G158" i="1" s="1"/>
  <c r="Z154" i="1" l="1"/>
  <c r="Y155" i="1"/>
  <c r="X156" i="1"/>
  <c r="H158" i="1"/>
  <c r="I158" i="1" s="1"/>
  <c r="J158" i="1" s="1"/>
  <c r="K158" i="1" s="1"/>
  <c r="L158" i="1" s="1"/>
  <c r="M158" i="1" s="1"/>
  <c r="N158" i="1" s="1"/>
  <c r="O158" i="1" s="1"/>
  <c r="P158" i="1" s="1"/>
  <c r="Q157" i="1"/>
  <c r="R157" i="1" s="1"/>
  <c r="S157" i="1" s="1"/>
  <c r="T157" i="1" s="1"/>
  <c r="U157" i="1" s="1"/>
  <c r="V157" i="1" s="1"/>
  <c r="W157" i="1" s="1"/>
  <c r="F159" i="1"/>
  <c r="G159" i="1" s="1"/>
  <c r="Z155" i="1" l="1"/>
  <c r="Y156" i="1"/>
  <c r="X157" i="1"/>
  <c r="H159" i="1"/>
  <c r="I159" i="1" s="1"/>
  <c r="J159" i="1" s="1"/>
  <c r="K159" i="1" s="1"/>
  <c r="L159" i="1" s="1"/>
  <c r="M159" i="1" s="1"/>
  <c r="N159" i="1" s="1"/>
  <c r="O159" i="1" s="1"/>
  <c r="P159" i="1" s="1"/>
  <c r="Q158" i="1"/>
  <c r="R158" i="1" s="1"/>
  <c r="S158" i="1" s="1"/>
  <c r="T158" i="1" s="1"/>
  <c r="U158" i="1" s="1"/>
  <c r="V158" i="1" s="1"/>
  <c r="W158" i="1" s="1"/>
  <c r="F160" i="1"/>
  <c r="G160" i="1" s="1"/>
  <c r="Z156" i="1" l="1"/>
  <c r="Y157" i="1"/>
  <c r="X158" i="1"/>
  <c r="H160" i="1"/>
  <c r="I160" i="1" s="1"/>
  <c r="J160" i="1" s="1"/>
  <c r="K160" i="1" s="1"/>
  <c r="L160" i="1" s="1"/>
  <c r="M160" i="1" s="1"/>
  <c r="N160" i="1" s="1"/>
  <c r="O160" i="1" s="1"/>
  <c r="P160" i="1" s="1"/>
  <c r="Q159" i="1"/>
  <c r="R159" i="1" s="1"/>
  <c r="S159" i="1" s="1"/>
  <c r="T159" i="1" s="1"/>
  <c r="U159" i="1" s="1"/>
  <c r="V159" i="1" s="1"/>
  <c r="W159" i="1" s="1"/>
  <c r="Z157" i="1" l="1"/>
  <c r="Y158" i="1"/>
  <c r="X159" i="1"/>
  <c r="Q160" i="1"/>
  <c r="R160" i="1" s="1"/>
  <c r="S160" i="1" s="1"/>
  <c r="T160" i="1" s="1"/>
  <c r="U160" i="1" s="1"/>
  <c r="V160" i="1" s="1"/>
  <c r="W160" i="1" s="1"/>
  <c r="F163" i="1"/>
  <c r="G163" i="1" s="1"/>
  <c r="Z158" i="1" l="1"/>
  <c r="Y159" i="1"/>
  <c r="X160" i="1"/>
  <c r="H163" i="1"/>
  <c r="I163" i="1" s="1"/>
  <c r="J163" i="1" s="1"/>
  <c r="K163" i="1" s="1"/>
  <c r="L163" i="1" s="1"/>
  <c r="M163" i="1" s="1"/>
  <c r="N163" i="1" s="1"/>
  <c r="O163" i="1" s="1"/>
  <c r="P163" i="1" s="1"/>
  <c r="F164" i="1"/>
  <c r="G164" i="1" s="1"/>
  <c r="Z159" i="1" l="1"/>
  <c r="Y160" i="1"/>
  <c r="H164" i="1"/>
  <c r="I164" i="1" s="1"/>
  <c r="J164" i="1" s="1"/>
  <c r="K164" i="1" s="1"/>
  <c r="L164" i="1" s="1"/>
  <c r="M164" i="1" s="1"/>
  <c r="N164" i="1" s="1"/>
  <c r="O164" i="1" s="1"/>
  <c r="P164" i="1" s="1"/>
  <c r="Q163" i="1"/>
  <c r="R163" i="1" s="1"/>
  <c r="S163" i="1" s="1"/>
  <c r="T163" i="1" s="1"/>
  <c r="U163" i="1" s="1"/>
  <c r="V163" i="1" s="1"/>
  <c r="W163" i="1" s="1"/>
  <c r="F165" i="1"/>
  <c r="G165" i="1" s="1"/>
  <c r="Z160" i="1" l="1"/>
  <c r="X163" i="1"/>
  <c r="H165" i="1"/>
  <c r="I165" i="1" s="1"/>
  <c r="J165" i="1" s="1"/>
  <c r="K165" i="1" s="1"/>
  <c r="L165" i="1" s="1"/>
  <c r="M165" i="1" s="1"/>
  <c r="N165" i="1" s="1"/>
  <c r="O165" i="1" s="1"/>
  <c r="P165" i="1" s="1"/>
  <c r="Q164" i="1"/>
  <c r="R164" i="1" s="1"/>
  <c r="S164" i="1" s="1"/>
  <c r="T164" i="1" s="1"/>
  <c r="U164" i="1" s="1"/>
  <c r="V164" i="1" s="1"/>
  <c r="W164" i="1" s="1"/>
  <c r="F166" i="1"/>
  <c r="G166" i="1" s="1"/>
  <c r="Y163" i="1" l="1"/>
  <c r="X164" i="1"/>
  <c r="H166" i="1"/>
  <c r="I166" i="1" s="1"/>
  <c r="J166" i="1" s="1"/>
  <c r="K166" i="1" s="1"/>
  <c r="L166" i="1" s="1"/>
  <c r="M166" i="1" s="1"/>
  <c r="N166" i="1" s="1"/>
  <c r="O166" i="1" s="1"/>
  <c r="P166" i="1" s="1"/>
  <c r="Q165" i="1"/>
  <c r="R165" i="1" s="1"/>
  <c r="S165" i="1" s="1"/>
  <c r="T165" i="1" s="1"/>
  <c r="U165" i="1" s="1"/>
  <c r="V165" i="1" s="1"/>
  <c r="W165" i="1" s="1"/>
  <c r="F167" i="1"/>
  <c r="G167" i="1" s="1"/>
  <c r="Z163" i="1" l="1"/>
  <c r="Y164" i="1"/>
  <c r="X165" i="1"/>
  <c r="H167" i="1"/>
  <c r="I167" i="1" s="1"/>
  <c r="J167" i="1" s="1"/>
  <c r="K167" i="1" s="1"/>
  <c r="L167" i="1" s="1"/>
  <c r="M167" i="1" s="1"/>
  <c r="N167" i="1" s="1"/>
  <c r="O167" i="1" s="1"/>
  <c r="P167" i="1" s="1"/>
  <c r="Q166" i="1"/>
  <c r="R166" i="1" s="1"/>
  <c r="S166" i="1" s="1"/>
  <c r="T166" i="1" s="1"/>
  <c r="U166" i="1" s="1"/>
  <c r="V166" i="1" s="1"/>
  <c r="W166" i="1" s="1"/>
  <c r="F168" i="1"/>
  <c r="G168" i="1" s="1"/>
  <c r="Z164" i="1" l="1"/>
  <c r="Y165" i="1"/>
  <c r="X166" i="1"/>
  <c r="H168" i="1"/>
  <c r="I168" i="1" s="1"/>
  <c r="J168" i="1" s="1"/>
  <c r="K168" i="1" s="1"/>
  <c r="L168" i="1" s="1"/>
  <c r="M168" i="1" s="1"/>
  <c r="N168" i="1" s="1"/>
  <c r="O168" i="1" s="1"/>
  <c r="P168" i="1" s="1"/>
  <c r="Q167" i="1"/>
  <c r="R167" i="1" s="1"/>
  <c r="S167" i="1" s="1"/>
  <c r="T167" i="1" s="1"/>
  <c r="U167" i="1" s="1"/>
  <c r="V167" i="1" s="1"/>
  <c r="W167" i="1" s="1"/>
  <c r="F169" i="1"/>
  <c r="G169" i="1" s="1"/>
  <c r="Z165" i="1" l="1"/>
  <c r="Y166" i="1"/>
  <c r="X167" i="1"/>
  <c r="H169" i="1"/>
  <c r="I169" i="1" s="1"/>
  <c r="J169" i="1" s="1"/>
  <c r="K169" i="1" s="1"/>
  <c r="L169" i="1" s="1"/>
  <c r="M169" i="1" s="1"/>
  <c r="N169" i="1" s="1"/>
  <c r="O169" i="1" s="1"/>
  <c r="P169" i="1" s="1"/>
  <c r="Q168" i="1"/>
  <c r="R168" i="1" s="1"/>
  <c r="S168" i="1" s="1"/>
  <c r="T168" i="1" s="1"/>
  <c r="U168" i="1" s="1"/>
  <c r="V168" i="1" s="1"/>
  <c r="W168" i="1" s="1"/>
  <c r="F170" i="1"/>
  <c r="G170" i="1" s="1"/>
  <c r="Z166" i="1" l="1"/>
  <c r="Y167" i="1"/>
  <c r="X168" i="1"/>
  <c r="H170" i="1"/>
  <c r="I170" i="1" s="1"/>
  <c r="J170" i="1" s="1"/>
  <c r="K170" i="1" s="1"/>
  <c r="L170" i="1" s="1"/>
  <c r="M170" i="1" s="1"/>
  <c r="N170" i="1" s="1"/>
  <c r="O170" i="1" s="1"/>
  <c r="P170" i="1" s="1"/>
  <c r="Q169" i="1"/>
  <c r="R169" i="1" s="1"/>
  <c r="S169" i="1" s="1"/>
  <c r="T169" i="1" s="1"/>
  <c r="U169" i="1" s="1"/>
  <c r="V169" i="1" s="1"/>
  <c r="W169" i="1" s="1"/>
  <c r="F171" i="1"/>
  <c r="G171" i="1" s="1"/>
  <c r="Z167" i="1" l="1"/>
  <c r="Y168" i="1"/>
  <c r="X169" i="1"/>
  <c r="H171" i="1"/>
  <c r="I171" i="1" s="1"/>
  <c r="J171" i="1" s="1"/>
  <c r="K171" i="1" s="1"/>
  <c r="L171" i="1" s="1"/>
  <c r="M171" i="1" s="1"/>
  <c r="N171" i="1" s="1"/>
  <c r="O171" i="1" s="1"/>
  <c r="P171" i="1" s="1"/>
  <c r="Q170" i="1"/>
  <c r="R170" i="1" s="1"/>
  <c r="S170" i="1" s="1"/>
  <c r="T170" i="1" s="1"/>
  <c r="U170" i="1" s="1"/>
  <c r="V170" i="1" s="1"/>
  <c r="W170" i="1" s="1"/>
  <c r="F172" i="1"/>
  <c r="G172" i="1" s="1"/>
  <c r="Z168" i="1" l="1"/>
  <c r="Y169" i="1"/>
  <c r="X170" i="1"/>
  <c r="H172" i="1"/>
  <c r="I172" i="1" s="1"/>
  <c r="J172" i="1" s="1"/>
  <c r="K172" i="1" s="1"/>
  <c r="L172" i="1" s="1"/>
  <c r="M172" i="1" s="1"/>
  <c r="N172" i="1" s="1"/>
  <c r="O172" i="1" s="1"/>
  <c r="P172" i="1" s="1"/>
  <c r="Q171" i="1"/>
  <c r="R171" i="1" s="1"/>
  <c r="S171" i="1" s="1"/>
  <c r="T171" i="1" s="1"/>
  <c r="U171" i="1" s="1"/>
  <c r="V171" i="1" s="1"/>
  <c r="W171" i="1" s="1"/>
  <c r="F173" i="1"/>
  <c r="G173" i="1" s="1"/>
  <c r="Z169" i="1" l="1"/>
  <c r="Y170" i="1"/>
  <c r="X171" i="1"/>
  <c r="H173" i="1"/>
  <c r="I173" i="1" s="1"/>
  <c r="J173" i="1" s="1"/>
  <c r="K173" i="1" s="1"/>
  <c r="L173" i="1" s="1"/>
  <c r="M173" i="1" s="1"/>
  <c r="N173" i="1" s="1"/>
  <c r="O173" i="1" s="1"/>
  <c r="P173" i="1" s="1"/>
  <c r="Q172" i="1"/>
  <c r="R172" i="1" s="1"/>
  <c r="S172" i="1" s="1"/>
  <c r="T172" i="1" s="1"/>
  <c r="U172" i="1" s="1"/>
  <c r="V172" i="1" s="1"/>
  <c r="W172" i="1" s="1"/>
  <c r="F174" i="1"/>
  <c r="G174" i="1" s="1"/>
  <c r="Z170" i="1" l="1"/>
  <c r="Y171" i="1"/>
  <c r="X172" i="1"/>
  <c r="H174" i="1"/>
  <c r="I174" i="1" s="1"/>
  <c r="J174" i="1" s="1"/>
  <c r="K174" i="1" s="1"/>
  <c r="L174" i="1" s="1"/>
  <c r="M174" i="1" s="1"/>
  <c r="N174" i="1" s="1"/>
  <c r="O174" i="1" s="1"/>
  <c r="P174" i="1" s="1"/>
  <c r="Q173" i="1"/>
  <c r="R173" i="1" s="1"/>
  <c r="S173" i="1" s="1"/>
  <c r="T173" i="1" s="1"/>
  <c r="U173" i="1" s="1"/>
  <c r="V173" i="1" s="1"/>
  <c r="W173" i="1" s="1"/>
  <c r="F175" i="1"/>
  <c r="G175" i="1" s="1"/>
  <c r="Z171" i="1" l="1"/>
  <c r="Y172" i="1"/>
  <c r="X173" i="1"/>
  <c r="H175" i="1"/>
  <c r="I175" i="1" s="1"/>
  <c r="J175" i="1" s="1"/>
  <c r="K175" i="1" s="1"/>
  <c r="L175" i="1" s="1"/>
  <c r="M175" i="1" s="1"/>
  <c r="N175" i="1" s="1"/>
  <c r="O175" i="1" s="1"/>
  <c r="P175" i="1" s="1"/>
  <c r="Q174" i="1"/>
  <c r="R174" i="1" s="1"/>
  <c r="S174" i="1" s="1"/>
  <c r="T174" i="1" s="1"/>
  <c r="U174" i="1" s="1"/>
  <c r="V174" i="1" s="1"/>
  <c r="W174" i="1" s="1"/>
  <c r="F176" i="1"/>
  <c r="G176" i="1" s="1"/>
  <c r="Z172" i="1" l="1"/>
  <c r="Y173" i="1"/>
  <c r="X174" i="1"/>
  <c r="H176" i="1"/>
  <c r="I176" i="1" s="1"/>
  <c r="J176" i="1" s="1"/>
  <c r="K176" i="1" s="1"/>
  <c r="L176" i="1" s="1"/>
  <c r="M176" i="1" s="1"/>
  <c r="N176" i="1" s="1"/>
  <c r="O176" i="1" s="1"/>
  <c r="P176" i="1" s="1"/>
  <c r="Q175" i="1"/>
  <c r="R175" i="1" s="1"/>
  <c r="S175" i="1" s="1"/>
  <c r="T175" i="1" s="1"/>
  <c r="U175" i="1" s="1"/>
  <c r="V175" i="1" s="1"/>
  <c r="W175" i="1" s="1"/>
  <c r="F177" i="1"/>
  <c r="G177" i="1" s="1"/>
  <c r="Z173" i="1" l="1"/>
  <c r="Y174" i="1"/>
  <c r="X175" i="1"/>
  <c r="H177" i="1"/>
  <c r="I177" i="1" s="1"/>
  <c r="J177" i="1" s="1"/>
  <c r="K177" i="1" s="1"/>
  <c r="L177" i="1" s="1"/>
  <c r="M177" i="1" s="1"/>
  <c r="N177" i="1" s="1"/>
  <c r="O177" i="1" s="1"/>
  <c r="P177" i="1" s="1"/>
  <c r="Q176" i="1"/>
  <c r="R176" i="1" s="1"/>
  <c r="S176" i="1" s="1"/>
  <c r="T176" i="1" s="1"/>
  <c r="U176" i="1" s="1"/>
  <c r="V176" i="1" s="1"/>
  <c r="W176" i="1" s="1"/>
  <c r="F178" i="1"/>
  <c r="G178" i="1" s="1"/>
  <c r="Z174" i="1" l="1"/>
  <c r="Y175" i="1"/>
  <c r="X176" i="1"/>
  <c r="H178" i="1"/>
  <c r="I178" i="1" s="1"/>
  <c r="J178" i="1" s="1"/>
  <c r="K178" i="1" s="1"/>
  <c r="L178" i="1" s="1"/>
  <c r="M178" i="1" s="1"/>
  <c r="N178" i="1" s="1"/>
  <c r="O178" i="1" s="1"/>
  <c r="P178" i="1" s="1"/>
  <c r="Q177" i="1"/>
  <c r="R177" i="1" s="1"/>
  <c r="S177" i="1" s="1"/>
  <c r="T177" i="1" s="1"/>
  <c r="U177" i="1" s="1"/>
  <c r="V177" i="1" s="1"/>
  <c r="W177" i="1" s="1"/>
  <c r="F179" i="1"/>
  <c r="G179" i="1" s="1"/>
  <c r="Z175" i="1" l="1"/>
  <c r="Y176" i="1"/>
  <c r="X177" i="1"/>
  <c r="H179" i="1"/>
  <c r="I179" i="1" s="1"/>
  <c r="J179" i="1" s="1"/>
  <c r="K179" i="1" s="1"/>
  <c r="L179" i="1" s="1"/>
  <c r="M179" i="1" s="1"/>
  <c r="N179" i="1" s="1"/>
  <c r="O179" i="1" s="1"/>
  <c r="P179" i="1" s="1"/>
  <c r="Q178" i="1"/>
  <c r="R178" i="1" s="1"/>
  <c r="S178" i="1" s="1"/>
  <c r="T178" i="1" s="1"/>
  <c r="U178" i="1" s="1"/>
  <c r="V178" i="1" s="1"/>
  <c r="W178" i="1" s="1"/>
  <c r="F180" i="1"/>
  <c r="G180" i="1" s="1"/>
  <c r="Z176" i="1" l="1"/>
  <c r="Y177" i="1"/>
  <c r="X178" i="1"/>
  <c r="H180" i="1"/>
  <c r="I180" i="1" s="1"/>
  <c r="J180" i="1" s="1"/>
  <c r="K180" i="1" s="1"/>
  <c r="L180" i="1" s="1"/>
  <c r="M180" i="1" s="1"/>
  <c r="N180" i="1" s="1"/>
  <c r="O180" i="1" s="1"/>
  <c r="P180" i="1" s="1"/>
  <c r="Q179" i="1"/>
  <c r="R179" i="1" s="1"/>
  <c r="S179" i="1" s="1"/>
  <c r="T179" i="1" s="1"/>
  <c r="U179" i="1" s="1"/>
  <c r="V179" i="1" s="1"/>
  <c r="W179" i="1" s="1"/>
  <c r="F181" i="1"/>
  <c r="G181" i="1" s="1"/>
  <c r="Z177" i="1" l="1"/>
  <c r="Y178" i="1"/>
  <c r="X179" i="1"/>
  <c r="H181" i="1"/>
  <c r="I181" i="1" s="1"/>
  <c r="J181" i="1" s="1"/>
  <c r="K181" i="1" s="1"/>
  <c r="L181" i="1" s="1"/>
  <c r="M181" i="1" s="1"/>
  <c r="N181" i="1" s="1"/>
  <c r="O181" i="1" s="1"/>
  <c r="P181" i="1" s="1"/>
  <c r="Q180" i="1"/>
  <c r="R180" i="1" s="1"/>
  <c r="S180" i="1" s="1"/>
  <c r="T180" i="1" s="1"/>
  <c r="U180" i="1" s="1"/>
  <c r="V180" i="1" s="1"/>
  <c r="W180" i="1" s="1"/>
  <c r="F182" i="1"/>
  <c r="G182" i="1" s="1"/>
  <c r="Z178" i="1" l="1"/>
  <c r="Y179" i="1"/>
  <c r="X180" i="1"/>
  <c r="H182" i="1"/>
  <c r="I182" i="1" s="1"/>
  <c r="J182" i="1" s="1"/>
  <c r="K182" i="1" s="1"/>
  <c r="L182" i="1" s="1"/>
  <c r="M182" i="1" s="1"/>
  <c r="N182" i="1" s="1"/>
  <c r="O182" i="1" s="1"/>
  <c r="P182" i="1" s="1"/>
  <c r="Q181" i="1"/>
  <c r="R181" i="1" s="1"/>
  <c r="S181" i="1" s="1"/>
  <c r="T181" i="1" s="1"/>
  <c r="U181" i="1" s="1"/>
  <c r="V181" i="1" s="1"/>
  <c r="W181" i="1" s="1"/>
  <c r="F183" i="1"/>
  <c r="G183" i="1" s="1"/>
  <c r="Z179" i="1" l="1"/>
  <c r="Y180" i="1"/>
  <c r="X181" i="1"/>
  <c r="H183" i="1"/>
  <c r="I183" i="1" s="1"/>
  <c r="J183" i="1" s="1"/>
  <c r="K183" i="1" s="1"/>
  <c r="L183" i="1" s="1"/>
  <c r="M183" i="1" s="1"/>
  <c r="N183" i="1" s="1"/>
  <c r="O183" i="1" s="1"/>
  <c r="P183" i="1" s="1"/>
  <c r="Q182" i="1"/>
  <c r="R182" i="1" s="1"/>
  <c r="S182" i="1" s="1"/>
  <c r="T182" i="1" s="1"/>
  <c r="U182" i="1" s="1"/>
  <c r="V182" i="1" s="1"/>
  <c r="W182" i="1" s="1"/>
  <c r="F184" i="1"/>
  <c r="G184" i="1" s="1"/>
  <c r="Z180" i="1" l="1"/>
  <c r="Y181" i="1"/>
  <c r="X182" i="1"/>
  <c r="H184" i="1"/>
  <c r="I184" i="1" s="1"/>
  <c r="J184" i="1" s="1"/>
  <c r="K184" i="1" s="1"/>
  <c r="L184" i="1" s="1"/>
  <c r="M184" i="1" s="1"/>
  <c r="N184" i="1" s="1"/>
  <c r="O184" i="1" s="1"/>
  <c r="P184" i="1" s="1"/>
  <c r="Q183" i="1"/>
  <c r="R183" i="1" s="1"/>
  <c r="S183" i="1" s="1"/>
  <c r="T183" i="1" s="1"/>
  <c r="U183" i="1" s="1"/>
  <c r="V183" i="1" s="1"/>
  <c r="W183" i="1" s="1"/>
  <c r="F185" i="1"/>
  <c r="G185" i="1" s="1"/>
  <c r="Z181" i="1" l="1"/>
  <c r="Y182" i="1"/>
  <c r="X183" i="1"/>
  <c r="H185" i="1"/>
  <c r="I185" i="1" s="1"/>
  <c r="J185" i="1" s="1"/>
  <c r="K185" i="1" s="1"/>
  <c r="L185" i="1" s="1"/>
  <c r="M185" i="1" s="1"/>
  <c r="N185" i="1" s="1"/>
  <c r="O185" i="1" s="1"/>
  <c r="P185" i="1" s="1"/>
  <c r="Q184" i="1"/>
  <c r="R184" i="1" s="1"/>
  <c r="S184" i="1" s="1"/>
  <c r="T184" i="1" s="1"/>
  <c r="U184" i="1" s="1"/>
  <c r="V184" i="1" s="1"/>
  <c r="W184" i="1" s="1"/>
  <c r="F186" i="1"/>
  <c r="G186" i="1" s="1"/>
  <c r="Z182" i="1" l="1"/>
  <c r="Y183" i="1"/>
  <c r="X184" i="1"/>
  <c r="H186" i="1"/>
  <c r="I186" i="1" s="1"/>
  <c r="J186" i="1" s="1"/>
  <c r="K186" i="1" s="1"/>
  <c r="L186" i="1" s="1"/>
  <c r="M186" i="1" s="1"/>
  <c r="N186" i="1" s="1"/>
  <c r="O186" i="1" s="1"/>
  <c r="P186" i="1" s="1"/>
  <c r="Q185" i="1"/>
  <c r="R185" i="1" s="1"/>
  <c r="S185" i="1" s="1"/>
  <c r="T185" i="1" s="1"/>
  <c r="U185" i="1" s="1"/>
  <c r="V185" i="1" s="1"/>
  <c r="W185" i="1" s="1"/>
  <c r="F199" i="1"/>
  <c r="G199" i="1" s="1"/>
  <c r="Z183" i="1" l="1"/>
  <c r="Y184" i="1"/>
  <c r="X185" i="1"/>
  <c r="H199" i="1"/>
  <c r="I199" i="1" s="1"/>
  <c r="J199" i="1" s="1"/>
  <c r="K199" i="1" s="1"/>
  <c r="L199" i="1" s="1"/>
  <c r="M199" i="1" s="1"/>
  <c r="N199" i="1" s="1"/>
  <c r="O199" i="1" s="1"/>
  <c r="P199" i="1" s="1"/>
  <c r="Q186" i="1"/>
  <c r="R186" i="1" s="1"/>
  <c r="S186" i="1" s="1"/>
  <c r="T186" i="1" s="1"/>
  <c r="U186" i="1" s="1"/>
  <c r="V186" i="1" s="1"/>
  <c r="W186" i="1" s="1"/>
  <c r="F200" i="1"/>
  <c r="G200" i="1" s="1"/>
  <c r="Z184" i="1" l="1"/>
  <c r="Y185" i="1"/>
  <c r="X186" i="1"/>
  <c r="H200" i="1"/>
  <c r="I200" i="1" s="1"/>
  <c r="J200" i="1" s="1"/>
  <c r="K200" i="1" s="1"/>
  <c r="L200" i="1" s="1"/>
  <c r="M200" i="1" s="1"/>
  <c r="N200" i="1" s="1"/>
  <c r="O200" i="1" s="1"/>
  <c r="P200" i="1" s="1"/>
  <c r="Q199" i="1"/>
  <c r="R199" i="1" s="1"/>
  <c r="S199" i="1" s="1"/>
  <c r="T199" i="1" s="1"/>
  <c r="U199" i="1" s="1"/>
  <c r="V199" i="1" s="1"/>
  <c r="W199" i="1" s="1"/>
  <c r="F201" i="1"/>
  <c r="G201" i="1" s="1"/>
  <c r="Z185" i="1" l="1"/>
  <c r="Y186" i="1"/>
  <c r="X199" i="1"/>
  <c r="H201" i="1"/>
  <c r="I201" i="1" s="1"/>
  <c r="J201" i="1" s="1"/>
  <c r="K201" i="1" s="1"/>
  <c r="L201" i="1" s="1"/>
  <c r="M201" i="1" s="1"/>
  <c r="N201" i="1" s="1"/>
  <c r="O201" i="1" s="1"/>
  <c r="P201" i="1" s="1"/>
  <c r="Q200" i="1"/>
  <c r="R200" i="1" s="1"/>
  <c r="S200" i="1" s="1"/>
  <c r="T200" i="1" s="1"/>
  <c r="U200" i="1" s="1"/>
  <c r="V200" i="1" s="1"/>
  <c r="W200" i="1" s="1"/>
  <c r="F202" i="1"/>
  <c r="G202" i="1" s="1"/>
  <c r="Z186" i="1" l="1"/>
  <c r="Y199" i="1"/>
  <c r="X200" i="1"/>
  <c r="H202" i="1"/>
  <c r="I202" i="1" s="1"/>
  <c r="J202" i="1" s="1"/>
  <c r="K202" i="1" s="1"/>
  <c r="L202" i="1" s="1"/>
  <c r="M202" i="1" s="1"/>
  <c r="N202" i="1" s="1"/>
  <c r="O202" i="1" s="1"/>
  <c r="P202" i="1" s="1"/>
  <c r="Q201" i="1"/>
  <c r="R201" i="1" s="1"/>
  <c r="S201" i="1" s="1"/>
  <c r="T201" i="1" s="1"/>
  <c r="U201" i="1" s="1"/>
  <c r="V201" i="1" s="1"/>
  <c r="W201" i="1" s="1"/>
  <c r="F203" i="1"/>
  <c r="G203" i="1" s="1"/>
  <c r="Z199" i="1" l="1"/>
  <c r="Y200" i="1"/>
  <c r="X201" i="1"/>
  <c r="H203" i="1"/>
  <c r="I203" i="1" s="1"/>
  <c r="J203" i="1" s="1"/>
  <c r="K203" i="1" s="1"/>
  <c r="L203" i="1" s="1"/>
  <c r="M203" i="1" s="1"/>
  <c r="N203" i="1" s="1"/>
  <c r="O203" i="1" s="1"/>
  <c r="P203" i="1" s="1"/>
  <c r="Q202" i="1"/>
  <c r="R202" i="1" s="1"/>
  <c r="S202" i="1" s="1"/>
  <c r="T202" i="1" s="1"/>
  <c r="U202" i="1" s="1"/>
  <c r="V202" i="1" s="1"/>
  <c r="W202" i="1" s="1"/>
  <c r="F216" i="1"/>
  <c r="G216" i="1" s="1"/>
  <c r="Z200" i="1" l="1"/>
  <c r="Y201" i="1"/>
  <c r="X202" i="1"/>
  <c r="H216" i="1"/>
  <c r="I216" i="1" s="1"/>
  <c r="J216" i="1" s="1"/>
  <c r="K216" i="1" s="1"/>
  <c r="L216" i="1" s="1"/>
  <c r="M216" i="1" s="1"/>
  <c r="N216" i="1" s="1"/>
  <c r="O216" i="1" s="1"/>
  <c r="P216" i="1" s="1"/>
  <c r="Q203" i="1"/>
  <c r="R203" i="1" s="1"/>
  <c r="S203" i="1" s="1"/>
  <c r="T203" i="1" s="1"/>
  <c r="U203" i="1" s="1"/>
  <c r="V203" i="1" s="1"/>
  <c r="W203" i="1" s="1"/>
  <c r="F217" i="1"/>
  <c r="G217" i="1" s="1"/>
  <c r="Z201" i="1" l="1"/>
  <c r="Y202" i="1"/>
  <c r="X203" i="1"/>
  <c r="H217" i="1"/>
  <c r="I217" i="1" s="1"/>
  <c r="J217" i="1" s="1"/>
  <c r="K217" i="1" s="1"/>
  <c r="L217" i="1" s="1"/>
  <c r="M217" i="1" s="1"/>
  <c r="N217" i="1" s="1"/>
  <c r="O217" i="1" s="1"/>
  <c r="P217" i="1" s="1"/>
  <c r="Q216" i="1"/>
  <c r="R216" i="1" s="1"/>
  <c r="S216" i="1" s="1"/>
  <c r="T216" i="1" s="1"/>
  <c r="U216" i="1" s="1"/>
  <c r="V216" i="1" s="1"/>
  <c r="W216" i="1" s="1"/>
  <c r="F218" i="1"/>
  <c r="G218" i="1" s="1"/>
  <c r="Z202" i="1" l="1"/>
  <c r="Y203" i="1"/>
  <c r="X216" i="1"/>
  <c r="H218" i="1"/>
  <c r="I218" i="1" s="1"/>
  <c r="J218" i="1" s="1"/>
  <c r="K218" i="1" s="1"/>
  <c r="L218" i="1" s="1"/>
  <c r="M218" i="1" s="1"/>
  <c r="N218" i="1" s="1"/>
  <c r="O218" i="1" s="1"/>
  <c r="P218" i="1" s="1"/>
  <c r="Q217" i="1"/>
  <c r="R217" i="1" s="1"/>
  <c r="S217" i="1" s="1"/>
  <c r="T217" i="1" s="1"/>
  <c r="U217" i="1" s="1"/>
  <c r="V217" i="1" s="1"/>
  <c r="W217" i="1" s="1"/>
  <c r="F219" i="1"/>
  <c r="G219" i="1" s="1"/>
  <c r="Z203" i="1" l="1"/>
  <c r="Y216" i="1"/>
  <c r="Z216" i="1" s="1"/>
  <c r="X217" i="1"/>
  <c r="H219" i="1"/>
  <c r="I219" i="1" s="1"/>
  <c r="J219" i="1" s="1"/>
  <c r="K219" i="1" s="1"/>
  <c r="L219" i="1" s="1"/>
  <c r="M219" i="1" s="1"/>
  <c r="N219" i="1" s="1"/>
  <c r="O219" i="1" s="1"/>
  <c r="P219" i="1" s="1"/>
  <c r="Q218" i="1"/>
  <c r="R218" i="1" s="1"/>
  <c r="S218" i="1" s="1"/>
  <c r="T218" i="1" s="1"/>
  <c r="U218" i="1" s="1"/>
  <c r="V218" i="1" s="1"/>
  <c r="W218" i="1" s="1"/>
  <c r="F220" i="1"/>
  <c r="G220" i="1" s="1"/>
  <c r="Y217" i="1" l="1"/>
  <c r="Z217" i="1" s="1"/>
  <c r="X218" i="1"/>
  <c r="H220" i="1"/>
  <c r="I220" i="1" s="1"/>
  <c r="J220" i="1" s="1"/>
  <c r="K220" i="1" s="1"/>
  <c r="L220" i="1" s="1"/>
  <c r="M220" i="1" s="1"/>
  <c r="N220" i="1" s="1"/>
  <c r="O220" i="1" s="1"/>
  <c r="P220" i="1" s="1"/>
  <c r="Q219" i="1"/>
  <c r="R219" i="1" s="1"/>
  <c r="S219" i="1" s="1"/>
  <c r="T219" i="1" s="1"/>
  <c r="U219" i="1" s="1"/>
  <c r="V219" i="1" s="1"/>
  <c r="W219" i="1" s="1"/>
  <c r="F221" i="1"/>
  <c r="G221" i="1" s="1"/>
  <c r="Y218" i="1" l="1"/>
  <c r="Z218" i="1" s="1"/>
  <c r="X219" i="1"/>
  <c r="H221" i="1"/>
  <c r="I221" i="1" s="1"/>
  <c r="J221" i="1" s="1"/>
  <c r="K221" i="1" s="1"/>
  <c r="L221" i="1" s="1"/>
  <c r="M221" i="1" s="1"/>
  <c r="N221" i="1" s="1"/>
  <c r="O221" i="1" s="1"/>
  <c r="P221" i="1" s="1"/>
  <c r="Q220" i="1"/>
  <c r="R220" i="1" s="1"/>
  <c r="S220" i="1" s="1"/>
  <c r="T220" i="1" s="1"/>
  <c r="U220" i="1" s="1"/>
  <c r="V220" i="1" s="1"/>
  <c r="W220" i="1" s="1"/>
  <c r="F222" i="1"/>
  <c r="G222" i="1" s="1"/>
  <c r="Y219" i="1" l="1"/>
  <c r="Z219" i="1" s="1"/>
  <c r="X220" i="1"/>
  <c r="H222" i="1"/>
  <c r="I222" i="1" s="1"/>
  <c r="J222" i="1" s="1"/>
  <c r="K222" i="1" s="1"/>
  <c r="L222" i="1" s="1"/>
  <c r="M222" i="1" s="1"/>
  <c r="N222" i="1" s="1"/>
  <c r="O222" i="1" s="1"/>
  <c r="P222" i="1" s="1"/>
  <c r="Q221" i="1"/>
  <c r="R221" i="1" s="1"/>
  <c r="S221" i="1" s="1"/>
  <c r="T221" i="1" s="1"/>
  <c r="U221" i="1" s="1"/>
  <c r="V221" i="1" s="1"/>
  <c r="W221" i="1" s="1"/>
  <c r="F223" i="1"/>
  <c r="G223" i="1" s="1"/>
  <c r="Y220" i="1" l="1"/>
  <c r="Z220" i="1" s="1"/>
  <c r="X221" i="1"/>
  <c r="H223" i="1"/>
  <c r="I223" i="1" s="1"/>
  <c r="J223" i="1" s="1"/>
  <c r="K223" i="1" s="1"/>
  <c r="L223" i="1" s="1"/>
  <c r="M223" i="1" s="1"/>
  <c r="N223" i="1" s="1"/>
  <c r="O223" i="1" s="1"/>
  <c r="P223" i="1" s="1"/>
  <c r="Q222" i="1"/>
  <c r="R222" i="1" s="1"/>
  <c r="S222" i="1" s="1"/>
  <c r="T222" i="1" s="1"/>
  <c r="U222" i="1" s="1"/>
  <c r="V222" i="1" s="1"/>
  <c r="W222" i="1" s="1"/>
  <c r="F224" i="1"/>
  <c r="G224" i="1" s="1"/>
  <c r="Y221" i="1" l="1"/>
  <c r="Z221" i="1" s="1"/>
  <c r="X222" i="1"/>
  <c r="H224" i="1"/>
  <c r="I224" i="1" s="1"/>
  <c r="J224" i="1" s="1"/>
  <c r="K224" i="1" s="1"/>
  <c r="L224" i="1" s="1"/>
  <c r="M224" i="1" s="1"/>
  <c r="N224" i="1" s="1"/>
  <c r="O224" i="1" s="1"/>
  <c r="P224" i="1" s="1"/>
  <c r="Q223" i="1"/>
  <c r="R223" i="1" s="1"/>
  <c r="S223" i="1" s="1"/>
  <c r="T223" i="1" s="1"/>
  <c r="U223" i="1" s="1"/>
  <c r="V223" i="1" s="1"/>
  <c r="W223" i="1" s="1"/>
  <c r="F225" i="1"/>
  <c r="G225" i="1" s="1"/>
  <c r="Y222" i="1" l="1"/>
  <c r="Z222" i="1" s="1"/>
  <c r="X223" i="1"/>
  <c r="H225" i="1"/>
  <c r="I225" i="1" s="1"/>
  <c r="J225" i="1" s="1"/>
  <c r="K225" i="1" s="1"/>
  <c r="L225" i="1" s="1"/>
  <c r="M225" i="1" s="1"/>
  <c r="N225" i="1" s="1"/>
  <c r="O225" i="1" s="1"/>
  <c r="P225" i="1" s="1"/>
  <c r="Q224" i="1"/>
  <c r="R224" i="1" s="1"/>
  <c r="S224" i="1" s="1"/>
  <c r="T224" i="1" s="1"/>
  <c r="U224" i="1" s="1"/>
  <c r="V224" i="1" s="1"/>
  <c r="W224" i="1" s="1"/>
  <c r="F226" i="1"/>
  <c r="G226" i="1" s="1"/>
  <c r="Y223" i="1" l="1"/>
  <c r="Z223" i="1" s="1"/>
  <c r="X224" i="1"/>
  <c r="H226" i="1"/>
  <c r="I226" i="1" s="1"/>
  <c r="J226" i="1" s="1"/>
  <c r="K226" i="1" s="1"/>
  <c r="L226" i="1" s="1"/>
  <c r="M226" i="1" s="1"/>
  <c r="N226" i="1" s="1"/>
  <c r="O226" i="1" s="1"/>
  <c r="P226" i="1" s="1"/>
  <c r="Q225" i="1"/>
  <c r="R225" i="1" s="1"/>
  <c r="S225" i="1" s="1"/>
  <c r="T225" i="1" s="1"/>
  <c r="U225" i="1" s="1"/>
  <c r="V225" i="1" s="1"/>
  <c r="W225" i="1" s="1"/>
  <c r="F227" i="1"/>
  <c r="G227" i="1" s="1"/>
  <c r="Y224" i="1" l="1"/>
  <c r="Z224" i="1" s="1"/>
  <c r="X225" i="1"/>
  <c r="H227" i="1"/>
  <c r="I227" i="1" s="1"/>
  <c r="J227" i="1" s="1"/>
  <c r="K227" i="1" s="1"/>
  <c r="L227" i="1" s="1"/>
  <c r="M227" i="1" s="1"/>
  <c r="N227" i="1" s="1"/>
  <c r="O227" i="1" s="1"/>
  <c r="P227" i="1" s="1"/>
  <c r="Q226" i="1"/>
  <c r="R226" i="1" s="1"/>
  <c r="S226" i="1" s="1"/>
  <c r="T226" i="1" s="1"/>
  <c r="U226" i="1" s="1"/>
  <c r="V226" i="1" s="1"/>
  <c r="W226" i="1" s="1"/>
  <c r="F228" i="1"/>
  <c r="G228" i="1" s="1"/>
  <c r="Y225" i="1" l="1"/>
  <c r="Z225" i="1" s="1"/>
  <c r="X226" i="1"/>
  <c r="H228" i="1"/>
  <c r="I228" i="1" s="1"/>
  <c r="J228" i="1" s="1"/>
  <c r="K228" i="1" s="1"/>
  <c r="L228" i="1" s="1"/>
  <c r="M228" i="1" s="1"/>
  <c r="N228" i="1" s="1"/>
  <c r="O228" i="1" s="1"/>
  <c r="P228" i="1" s="1"/>
  <c r="Q227" i="1"/>
  <c r="R227" i="1" s="1"/>
  <c r="S227" i="1" s="1"/>
  <c r="T227" i="1" s="1"/>
  <c r="U227" i="1" s="1"/>
  <c r="V227" i="1" s="1"/>
  <c r="W227" i="1" s="1"/>
  <c r="F229" i="1"/>
  <c r="G229" i="1" s="1"/>
  <c r="Y226" i="1" l="1"/>
  <c r="Z226" i="1" s="1"/>
  <c r="X227" i="1"/>
  <c r="H229" i="1"/>
  <c r="I229" i="1" s="1"/>
  <c r="J229" i="1" s="1"/>
  <c r="K229" i="1" s="1"/>
  <c r="L229" i="1" s="1"/>
  <c r="M229" i="1" s="1"/>
  <c r="N229" i="1" s="1"/>
  <c r="O229" i="1" s="1"/>
  <c r="P229" i="1" s="1"/>
  <c r="Q228" i="1"/>
  <c r="R228" i="1" s="1"/>
  <c r="S228" i="1" s="1"/>
  <c r="T228" i="1" s="1"/>
  <c r="U228" i="1" s="1"/>
  <c r="V228" i="1" s="1"/>
  <c r="W228" i="1" s="1"/>
  <c r="Y227" i="1" l="1"/>
  <c r="Z227" i="1" s="1"/>
  <c r="X228" i="1"/>
  <c r="Q229" i="1"/>
  <c r="R229" i="1" s="1"/>
  <c r="S229" i="1" s="1"/>
  <c r="T229" i="1" s="1"/>
  <c r="U229" i="1" s="1"/>
  <c r="V229" i="1" s="1"/>
  <c r="W229" i="1" s="1"/>
  <c r="F233" i="1"/>
  <c r="G233" i="1" s="1"/>
  <c r="Y228" i="1" l="1"/>
  <c r="Z228" i="1" s="1"/>
  <c r="X229" i="1"/>
  <c r="H233" i="1"/>
  <c r="I233" i="1" s="1"/>
  <c r="J233" i="1" s="1"/>
  <c r="K233" i="1" s="1"/>
  <c r="L233" i="1" s="1"/>
  <c r="M233" i="1" s="1"/>
  <c r="N233" i="1" s="1"/>
  <c r="O233" i="1" s="1"/>
  <c r="P233" i="1" s="1"/>
  <c r="F234" i="1"/>
  <c r="G234" i="1" s="1"/>
  <c r="Y229" i="1" l="1"/>
  <c r="Z229" i="1" s="1"/>
  <c r="H234" i="1"/>
  <c r="I234" i="1" s="1"/>
  <c r="J234" i="1" s="1"/>
  <c r="K234" i="1" s="1"/>
  <c r="L234" i="1" s="1"/>
  <c r="M234" i="1" s="1"/>
  <c r="N234" i="1" s="1"/>
  <c r="O234" i="1" s="1"/>
  <c r="P234" i="1" s="1"/>
  <c r="Q233" i="1"/>
  <c r="R233" i="1" s="1"/>
  <c r="S233" i="1" s="1"/>
  <c r="T233" i="1" s="1"/>
  <c r="U233" i="1" s="1"/>
  <c r="V233" i="1" s="1"/>
  <c r="W233" i="1" s="1"/>
  <c r="F235" i="1"/>
  <c r="G235" i="1" s="1"/>
  <c r="X233" i="1" l="1"/>
  <c r="H235" i="1"/>
  <c r="I235" i="1" s="1"/>
  <c r="J235" i="1" s="1"/>
  <c r="K235" i="1" s="1"/>
  <c r="L235" i="1" s="1"/>
  <c r="M235" i="1" s="1"/>
  <c r="N235" i="1" s="1"/>
  <c r="O235" i="1" s="1"/>
  <c r="P235" i="1" s="1"/>
  <c r="Q234" i="1"/>
  <c r="R234" i="1" s="1"/>
  <c r="S234" i="1" s="1"/>
  <c r="T234" i="1" s="1"/>
  <c r="U234" i="1" s="1"/>
  <c r="V234" i="1" s="1"/>
  <c r="W234" i="1" s="1"/>
  <c r="F236" i="1"/>
  <c r="G236" i="1" s="1"/>
  <c r="Y233" i="1" l="1"/>
  <c r="Z233" i="1" s="1"/>
  <c r="X234" i="1"/>
  <c r="H236" i="1"/>
  <c r="I236" i="1" s="1"/>
  <c r="J236" i="1" s="1"/>
  <c r="K236" i="1" s="1"/>
  <c r="L236" i="1" s="1"/>
  <c r="M236" i="1" s="1"/>
  <c r="N236" i="1" s="1"/>
  <c r="O236" i="1" s="1"/>
  <c r="P236" i="1" s="1"/>
  <c r="Q235" i="1"/>
  <c r="R235" i="1" s="1"/>
  <c r="S235" i="1" s="1"/>
  <c r="T235" i="1" s="1"/>
  <c r="U235" i="1" s="1"/>
  <c r="V235" i="1" s="1"/>
  <c r="W235" i="1" s="1"/>
  <c r="F237" i="1"/>
  <c r="G237" i="1" s="1"/>
  <c r="Y234" i="1" l="1"/>
  <c r="Z234" i="1" s="1"/>
  <c r="X235" i="1"/>
  <c r="H237" i="1"/>
  <c r="I237" i="1" s="1"/>
  <c r="J237" i="1" s="1"/>
  <c r="K237" i="1" s="1"/>
  <c r="L237" i="1" s="1"/>
  <c r="M237" i="1" s="1"/>
  <c r="N237" i="1" s="1"/>
  <c r="O237" i="1" s="1"/>
  <c r="P237" i="1" s="1"/>
  <c r="Q236" i="1"/>
  <c r="R236" i="1" s="1"/>
  <c r="S236" i="1" s="1"/>
  <c r="T236" i="1" s="1"/>
  <c r="U236" i="1" s="1"/>
  <c r="V236" i="1" s="1"/>
  <c r="W236" i="1" s="1"/>
  <c r="F238" i="1"/>
  <c r="G238" i="1" s="1"/>
  <c r="Y235" i="1" l="1"/>
  <c r="Z235" i="1" s="1"/>
  <c r="X236" i="1"/>
  <c r="H238" i="1"/>
  <c r="I238" i="1" s="1"/>
  <c r="J238" i="1" s="1"/>
  <c r="K238" i="1" s="1"/>
  <c r="L238" i="1" s="1"/>
  <c r="M238" i="1" s="1"/>
  <c r="N238" i="1" s="1"/>
  <c r="O238" i="1" s="1"/>
  <c r="P238" i="1" s="1"/>
  <c r="Q237" i="1"/>
  <c r="R237" i="1" s="1"/>
  <c r="S237" i="1" s="1"/>
  <c r="T237" i="1" s="1"/>
  <c r="U237" i="1" s="1"/>
  <c r="V237" i="1" s="1"/>
  <c r="W237" i="1" s="1"/>
  <c r="F239" i="1"/>
  <c r="G239" i="1" s="1"/>
  <c r="Y236" i="1" l="1"/>
  <c r="Z236" i="1" s="1"/>
  <c r="X237" i="1"/>
  <c r="H239" i="1"/>
  <c r="I239" i="1" s="1"/>
  <c r="J239" i="1" s="1"/>
  <c r="K239" i="1" s="1"/>
  <c r="L239" i="1" s="1"/>
  <c r="M239" i="1" s="1"/>
  <c r="N239" i="1" s="1"/>
  <c r="O239" i="1" s="1"/>
  <c r="P239" i="1" s="1"/>
  <c r="Q238" i="1"/>
  <c r="R238" i="1" s="1"/>
  <c r="S238" i="1" s="1"/>
  <c r="T238" i="1" s="1"/>
  <c r="U238" i="1" s="1"/>
  <c r="V238" i="1" s="1"/>
  <c r="W238" i="1" s="1"/>
  <c r="F241" i="1"/>
  <c r="G241" i="1" s="1"/>
  <c r="Y237" i="1" l="1"/>
  <c r="Z237" i="1" s="1"/>
  <c r="X238" i="1"/>
  <c r="H241" i="1"/>
  <c r="I241" i="1" s="1"/>
  <c r="J241" i="1" s="1"/>
  <c r="K241" i="1" s="1"/>
  <c r="L241" i="1" s="1"/>
  <c r="M241" i="1" s="1"/>
  <c r="N241" i="1" s="1"/>
  <c r="O241" i="1" s="1"/>
  <c r="P241" i="1" s="1"/>
  <c r="Q239" i="1"/>
  <c r="R239" i="1" s="1"/>
  <c r="S239" i="1" s="1"/>
  <c r="T239" i="1" s="1"/>
  <c r="U239" i="1" s="1"/>
  <c r="V239" i="1" s="1"/>
  <c r="W239" i="1" s="1"/>
  <c r="F242" i="1"/>
  <c r="G242" i="1" s="1"/>
  <c r="Y238" i="1" l="1"/>
  <c r="Z238" i="1" s="1"/>
  <c r="X239" i="1"/>
  <c r="H242" i="1"/>
  <c r="I242" i="1" s="1"/>
  <c r="J242" i="1" s="1"/>
  <c r="K242" i="1" s="1"/>
  <c r="L242" i="1" s="1"/>
  <c r="M242" i="1" s="1"/>
  <c r="N242" i="1" s="1"/>
  <c r="O242" i="1" s="1"/>
  <c r="P242" i="1" s="1"/>
  <c r="Q241" i="1"/>
  <c r="R241" i="1" s="1"/>
  <c r="S241" i="1" s="1"/>
  <c r="T241" i="1" s="1"/>
  <c r="U241" i="1" s="1"/>
  <c r="V241" i="1" s="1"/>
  <c r="W241" i="1" s="1"/>
  <c r="F243" i="1"/>
  <c r="G243" i="1" s="1"/>
  <c r="Y239" i="1" l="1"/>
  <c r="Z239" i="1" s="1"/>
  <c r="X241" i="1"/>
  <c r="H243" i="1"/>
  <c r="I243" i="1" s="1"/>
  <c r="J243" i="1" s="1"/>
  <c r="K243" i="1" s="1"/>
  <c r="L243" i="1" s="1"/>
  <c r="M243" i="1" s="1"/>
  <c r="N243" i="1" s="1"/>
  <c r="O243" i="1" s="1"/>
  <c r="P243" i="1" s="1"/>
  <c r="Q242" i="1"/>
  <c r="R242" i="1" s="1"/>
  <c r="S242" i="1" s="1"/>
  <c r="T242" i="1" s="1"/>
  <c r="U242" i="1" s="1"/>
  <c r="V242" i="1" s="1"/>
  <c r="W242" i="1" s="1"/>
  <c r="F244" i="1"/>
  <c r="G244" i="1" s="1"/>
  <c r="Y241" i="1" l="1"/>
  <c r="Z241" i="1" s="1"/>
  <c r="X242" i="1"/>
  <c r="H244" i="1"/>
  <c r="I244" i="1" s="1"/>
  <c r="J244" i="1" s="1"/>
  <c r="K244" i="1" s="1"/>
  <c r="L244" i="1" s="1"/>
  <c r="M244" i="1" s="1"/>
  <c r="N244" i="1" s="1"/>
  <c r="O244" i="1" s="1"/>
  <c r="P244" i="1" s="1"/>
  <c r="Q243" i="1"/>
  <c r="R243" i="1" s="1"/>
  <c r="S243" i="1" s="1"/>
  <c r="T243" i="1" s="1"/>
  <c r="U243" i="1" s="1"/>
  <c r="V243" i="1" s="1"/>
  <c r="W243" i="1" s="1"/>
  <c r="F245" i="1"/>
  <c r="G245" i="1" s="1"/>
  <c r="Y242" i="1" l="1"/>
  <c r="Z242" i="1" s="1"/>
  <c r="X243" i="1"/>
  <c r="H245" i="1"/>
  <c r="I245" i="1" s="1"/>
  <c r="J245" i="1" s="1"/>
  <c r="K245" i="1" s="1"/>
  <c r="L245" i="1" s="1"/>
  <c r="M245" i="1" s="1"/>
  <c r="N245" i="1" s="1"/>
  <c r="O245" i="1" s="1"/>
  <c r="P245" i="1" s="1"/>
  <c r="Q244" i="1"/>
  <c r="R244" i="1" s="1"/>
  <c r="S244" i="1" s="1"/>
  <c r="T244" i="1" s="1"/>
  <c r="U244" i="1" s="1"/>
  <c r="V244" i="1" s="1"/>
  <c r="W244" i="1" s="1"/>
  <c r="F250" i="1"/>
  <c r="G250" i="1" s="1"/>
  <c r="Y243" i="1" l="1"/>
  <c r="Z243" i="1" s="1"/>
  <c r="X244" i="1"/>
  <c r="H250" i="1"/>
  <c r="I250" i="1" s="1"/>
  <c r="J250" i="1" s="1"/>
  <c r="K250" i="1" s="1"/>
  <c r="L250" i="1" s="1"/>
  <c r="M250" i="1" s="1"/>
  <c r="N250" i="1" s="1"/>
  <c r="O250" i="1" s="1"/>
  <c r="P250" i="1" s="1"/>
  <c r="Q245" i="1"/>
  <c r="R245" i="1" s="1"/>
  <c r="S245" i="1" s="1"/>
  <c r="T245" i="1" s="1"/>
  <c r="U245" i="1" s="1"/>
  <c r="V245" i="1" s="1"/>
  <c r="W245" i="1" s="1"/>
  <c r="F251" i="1"/>
  <c r="G251" i="1" s="1"/>
  <c r="Y244" i="1" l="1"/>
  <c r="Z244" i="1" s="1"/>
  <c r="X245" i="1"/>
  <c r="H251" i="1"/>
  <c r="I251" i="1" s="1"/>
  <c r="J251" i="1" s="1"/>
  <c r="K251" i="1" s="1"/>
  <c r="L251" i="1" s="1"/>
  <c r="M251" i="1" s="1"/>
  <c r="N251" i="1" s="1"/>
  <c r="O251" i="1" s="1"/>
  <c r="P251" i="1" s="1"/>
  <c r="Q250" i="1"/>
  <c r="R250" i="1" s="1"/>
  <c r="S250" i="1" s="1"/>
  <c r="T250" i="1" s="1"/>
  <c r="U250" i="1" s="1"/>
  <c r="V250" i="1" s="1"/>
  <c r="W250" i="1" s="1"/>
  <c r="F252" i="1"/>
  <c r="G252" i="1" s="1"/>
  <c r="Y245" i="1" l="1"/>
  <c r="Z245" i="1" s="1"/>
  <c r="X250" i="1"/>
  <c r="H252" i="1"/>
  <c r="I252" i="1" s="1"/>
  <c r="J252" i="1" s="1"/>
  <c r="K252" i="1" s="1"/>
  <c r="L252" i="1" s="1"/>
  <c r="M252" i="1" s="1"/>
  <c r="N252" i="1" s="1"/>
  <c r="O252" i="1" s="1"/>
  <c r="P252" i="1" s="1"/>
  <c r="Q251" i="1"/>
  <c r="R251" i="1" s="1"/>
  <c r="S251" i="1" s="1"/>
  <c r="T251" i="1" s="1"/>
  <c r="U251" i="1" s="1"/>
  <c r="V251" i="1" s="1"/>
  <c r="W251" i="1" s="1"/>
  <c r="F253" i="1"/>
  <c r="G253" i="1" s="1"/>
  <c r="Y250" i="1" l="1"/>
  <c r="Z250" i="1" s="1"/>
  <c r="X251" i="1"/>
  <c r="H253" i="1"/>
  <c r="I253" i="1" s="1"/>
  <c r="J253" i="1" s="1"/>
  <c r="K253" i="1" s="1"/>
  <c r="L253" i="1" s="1"/>
  <c r="M253" i="1" s="1"/>
  <c r="N253" i="1" s="1"/>
  <c r="O253" i="1" s="1"/>
  <c r="P253" i="1" s="1"/>
  <c r="Q252" i="1"/>
  <c r="R252" i="1" s="1"/>
  <c r="S252" i="1" s="1"/>
  <c r="T252" i="1" s="1"/>
  <c r="U252" i="1" s="1"/>
  <c r="V252" i="1" s="1"/>
  <c r="W252" i="1" s="1"/>
  <c r="F254" i="1"/>
  <c r="G254" i="1" s="1"/>
  <c r="Y251" i="1" l="1"/>
  <c r="Z251" i="1" s="1"/>
  <c r="X252" i="1"/>
  <c r="H254" i="1"/>
  <c r="I254" i="1" s="1"/>
  <c r="J254" i="1" s="1"/>
  <c r="K254" i="1" s="1"/>
  <c r="L254" i="1" s="1"/>
  <c r="M254" i="1" s="1"/>
  <c r="N254" i="1" s="1"/>
  <c r="O254" i="1" s="1"/>
  <c r="P254" i="1" s="1"/>
  <c r="Q253" i="1"/>
  <c r="R253" i="1" s="1"/>
  <c r="S253" i="1" s="1"/>
  <c r="T253" i="1" s="1"/>
  <c r="U253" i="1" s="1"/>
  <c r="V253" i="1" s="1"/>
  <c r="W253" i="1" s="1"/>
  <c r="F255" i="1"/>
  <c r="G255" i="1" s="1"/>
  <c r="F256" i="1"/>
  <c r="G256" i="1" s="1"/>
  <c r="Y252" i="1" l="1"/>
  <c r="Z252" i="1" s="1"/>
  <c r="X253" i="1"/>
  <c r="H256" i="1"/>
  <c r="I256" i="1" s="1"/>
  <c r="J256" i="1" s="1"/>
  <c r="K256" i="1" s="1"/>
  <c r="L256" i="1" s="1"/>
  <c r="M256" i="1" s="1"/>
  <c r="N256" i="1" s="1"/>
  <c r="O256" i="1" s="1"/>
  <c r="P256" i="1" s="1"/>
  <c r="H255" i="1"/>
  <c r="I255" i="1" s="1"/>
  <c r="J255" i="1" s="1"/>
  <c r="K255" i="1" s="1"/>
  <c r="L255" i="1" s="1"/>
  <c r="M255" i="1" s="1"/>
  <c r="N255" i="1" s="1"/>
  <c r="O255" i="1" s="1"/>
  <c r="P255" i="1" s="1"/>
  <c r="Q254" i="1"/>
  <c r="R254" i="1" s="1"/>
  <c r="S254" i="1" s="1"/>
  <c r="T254" i="1" s="1"/>
  <c r="U254" i="1" s="1"/>
  <c r="V254" i="1" s="1"/>
  <c r="W254" i="1" s="1"/>
  <c r="Y253" i="1" l="1"/>
  <c r="Z253" i="1" s="1"/>
  <c r="X254" i="1"/>
  <c r="Q256" i="1"/>
  <c r="R256" i="1" s="1"/>
  <c r="S256" i="1" s="1"/>
  <c r="T256" i="1" s="1"/>
  <c r="U256" i="1" s="1"/>
  <c r="V256" i="1" s="1"/>
  <c r="W256" i="1" s="1"/>
  <c r="Q255" i="1"/>
  <c r="R255" i="1" s="1"/>
  <c r="S255" i="1" s="1"/>
  <c r="T255" i="1" s="1"/>
  <c r="U255" i="1" s="1"/>
  <c r="V255" i="1" s="1"/>
  <c r="W255" i="1" s="1"/>
  <c r="Y254" i="1" l="1"/>
  <c r="Z254" i="1" s="1"/>
  <c r="X255" i="1"/>
  <c r="X256" i="1"/>
  <c r="Y256" i="1" l="1"/>
  <c r="Z256" i="1" s="1"/>
  <c r="Y255" i="1"/>
  <c r="Z255" i="1" s="1"/>
</calcChain>
</file>

<file path=xl/sharedStrings.xml><?xml version="1.0" encoding="utf-8"?>
<sst xmlns="http://schemas.openxmlformats.org/spreadsheetml/2006/main" count="1925" uniqueCount="629">
  <si>
    <t>항목</t>
    <phoneticPr fontId="1" type="noConversion"/>
  </si>
  <si>
    <t>EAST_VCB_MAIN</t>
  </si>
  <si>
    <t>L1-L2</t>
    <phoneticPr fontId="1" type="noConversion"/>
  </si>
  <si>
    <t>L2-L3</t>
    <phoneticPr fontId="1" type="noConversion"/>
  </si>
  <si>
    <t>L3-L1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</si>
  <si>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</si>
  <si>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</si>
  <si>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</si>
  <si>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역률</t>
    <phoneticPr fontId="1" type="noConversion"/>
  </si>
  <si>
    <t>주파수</t>
    <phoneticPr fontId="1" type="noConversion"/>
  </si>
  <si>
    <t>유효전력</t>
    <phoneticPr fontId="1" type="noConversion"/>
  </si>
  <si>
    <t>유효전력량</t>
    <phoneticPr fontId="1" type="noConversion"/>
  </si>
  <si>
    <t>무효전력</t>
    <phoneticPr fontId="1" type="noConversion"/>
  </si>
  <si>
    <t>무효전력량</t>
    <phoneticPr fontId="1" type="noConversion"/>
  </si>
  <si>
    <t>전력피크</t>
    <phoneticPr fontId="1" type="noConversion"/>
  </si>
  <si>
    <t>On/Off</t>
    <phoneticPr fontId="1" type="noConversion"/>
  </si>
  <si>
    <t>OCR_L2</t>
    <phoneticPr fontId="1" type="noConversion"/>
  </si>
  <si>
    <t>OCR_L1</t>
    <phoneticPr fontId="1" type="noConversion"/>
  </si>
  <si>
    <t>OCR_L3</t>
    <phoneticPr fontId="1" type="noConversion"/>
  </si>
  <si>
    <t>OCGR</t>
    <phoneticPr fontId="1" type="noConversion"/>
  </si>
  <si>
    <t>OVR</t>
    <phoneticPr fontId="1" type="noConversion"/>
  </si>
  <si>
    <t>NO</t>
    <phoneticPr fontId="1" type="noConversion"/>
  </si>
  <si>
    <t>EAST_VCB_MAIN_1</t>
  </si>
  <si>
    <t>\ST</t>
    <phoneticPr fontId="1" type="noConversion"/>
  </si>
  <si>
    <t>\OCR_A</t>
    <phoneticPr fontId="1" type="noConversion"/>
  </si>
  <si>
    <t>\OCR_C</t>
    <phoneticPr fontId="1" type="noConversion"/>
  </si>
  <si>
    <t>\OCR_B</t>
    <phoneticPr fontId="1" type="noConversion"/>
  </si>
  <si>
    <t>\OCGR</t>
    <phoneticPr fontId="1" type="noConversion"/>
  </si>
  <si>
    <t>\OVR</t>
    <phoneticPr fontId="1" type="noConversion"/>
  </si>
  <si>
    <t>\V12</t>
    <phoneticPr fontId="1" type="noConversion"/>
  </si>
  <si>
    <t>\V23</t>
    <phoneticPr fontId="1" type="noConversion"/>
  </si>
  <si>
    <t>\V31</t>
    <phoneticPr fontId="1" type="noConversion"/>
  </si>
  <si>
    <t>\A1</t>
    <phoneticPr fontId="1" type="noConversion"/>
  </si>
  <si>
    <t>\A2</t>
  </si>
  <si>
    <t>\A3</t>
  </si>
  <si>
    <t>\AA</t>
    <phoneticPr fontId="1" type="noConversion"/>
  </si>
  <si>
    <t>\PF</t>
    <phoneticPr fontId="1" type="noConversion"/>
  </si>
  <si>
    <t>\HZ</t>
    <phoneticPr fontId="1" type="noConversion"/>
  </si>
  <si>
    <t>\KW</t>
    <phoneticPr fontId="1" type="noConversion"/>
  </si>
  <si>
    <t>\KHh</t>
    <phoneticPr fontId="1" type="noConversion"/>
  </si>
  <si>
    <t>\VA</t>
    <phoneticPr fontId="1" type="noConversion"/>
  </si>
  <si>
    <t>\VAH</t>
    <phoneticPr fontId="1" type="noConversion"/>
  </si>
  <si>
    <t>\PEAK</t>
    <phoneticPr fontId="1" type="noConversion"/>
  </si>
  <si>
    <t>EAST_VCB_MAIN_2</t>
  </si>
  <si>
    <t>EAST_VCB_1</t>
  </si>
  <si>
    <t>EAST_VCB_2</t>
  </si>
  <si>
    <t>EAST_VCB_3</t>
  </si>
  <si>
    <t>EAST_VCB_4</t>
  </si>
  <si>
    <t>EAST_VCB_5</t>
  </si>
  <si>
    <t>EAST_VCB_6</t>
  </si>
  <si>
    <t>EAST_VCB_7</t>
  </si>
  <si>
    <t>EAST_VCB_8</t>
  </si>
  <si>
    <t>EAST_ACB_1</t>
  </si>
  <si>
    <t>EAST_ACB_1_1</t>
  </si>
  <si>
    <t>EAST_ACB_2</t>
  </si>
  <si>
    <t>EAST_ACB_3</t>
  </si>
  <si>
    <t>EAST_ACB_3_1</t>
  </si>
  <si>
    <t>EAST_ACB_4</t>
  </si>
  <si>
    <t>EAST_ACB_5</t>
  </si>
  <si>
    <t>EAST_ACB_6</t>
  </si>
  <si>
    <t>EAST_ACB_7</t>
  </si>
  <si>
    <t>EAST_ACB_8</t>
  </si>
  <si>
    <t>EAST_ACB_8_1</t>
  </si>
  <si>
    <t>EAST_G_A</t>
  </si>
  <si>
    <t>EAST_G_B</t>
  </si>
  <si>
    <t>EAST_G_C</t>
  </si>
  <si>
    <t>EAST_AVR2_MCCB</t>
    <phoneticPr fontId="1" type="noConversion"/>
  </si>
  <si>
    <t>EAST_MBP1_ACB1</t>
    <phoneticPr fontId="1" type="noConversion"/>
  </si>
  <si>
    <t>EAST_MBP2_ACB1</t>
    <phoneticPr fontId="1" type="noConversion"/>
  </si>
  <si>
    <t>EAST_MDB_1B_1</t>
  </si>
  <si>
    <t>EAST_MDB_1B_2</t>
  </si>
  <si>
    <t>EAST_MDB_1B_3</t>
  </si>
  <si>
    <t>EAST_MDB_1B_4</t>
  </si>
  <si>
    <t>EAST_MDB_1B_5</t>
  </si>
  <si>
    <t>EAST_MDB_1B_6</t>
  </si>
  <si>
    <t>EAST_MDB_1B_7</t>
  </si>
  <si>
    <t>EAST_MDB_1C_1</t>
    <phoneticPr fontId="1" type="noConversion"/>
  </si>
  <si>
    <t>EAST_MDB_1C_2</t>
  </si>
  <si>
    <t>EAST_MDB_1C_3</t>
  </si>
  <si>
    <t>EAST_MDB_1C_4</t>
  </si>
  <si>
    <t>EAST_MDB_1C_5</t>
  </si>
  <si>
    <t>EAST_MDB_2A_1</t>
    <phoneticPr fontId="1" type="noConversion"/>
  </si>
  <si>
    <t>EAST_MDB_2A_2</t>
  </si>
  <si>
    <t>EAST_MDB_2A_3</t>
  </si>
  <si>
    <t>EAST_MDB_2A_4</t>
  </si>
  <si>
    <t>EAST_MDB_2A_5</t>
  </si>
  <si>
    <t>EAST_MDB_2B_1</t>
    <phoneticPr fontId="1" type="noConversion"/>
  </si>
  <si>
    <t>EAST_MDB_2B_2</t>
  </si>
  <si>
    <t>EAST_MDB_2B_3</t>
  </si>
  <si>
    <t>EAST_MDB_2B_4</t>
  </si>
  <si>
    <t>EAST_MDB_2B_5</t>
  </si>
  <si>
    <t>EAST_MDB_2B_6</t>
  </si>
  <si>
    <t>EAST_MDB_2B_7</t>
  </si>
  <si>
    <t>EAST_MDB_2B_8</t>
  </si>
  <si>
    <t>EAST_MDB_2B_9</t>
  </si>
  <si>
    <t>EAST_MDB_2C_1</t>
    <phoneticPr fontId="1" type="noConversion"/>
  </si>
  <si>
    <t>EAST_MDB_2C_2</t>
  </si>
  <si>
    <t>EAST_MDB_2C_3</t>
  </si>
  <si>
    <t>EAST_MDB_2C_4</t>
  </si>
  <si>
    <t>EAST_MDB_2C_5</t>
  </si>
  <si>
    <t>EAST_MDB_2C_6</t>
  </si>
  <si>
    <t>EAST_MDB_2C_7</t>
  </si>
  <si>
    <t>EAST_MDB_3B_1</t>
    <phoneticPr fontId="1" type="noConversion"/>
  </si>
  <si>
    <t>EAST_MDB_3B_2</t>
  </si>
  <si>
    <t>EAST_MDB_3B_3</t>
  </si>
  <si>
    <t>EAST_MDB_3B_4</t>
  </si>
  <si>
    <t>EAST_MDB_3B_5</t>
  </si>
  <si>
    <t>EAST_MDB_3B_6</t>
  </si>
  <si>
    <t>EAST_MDB_3B_7</t>
  </si>
  <si>
    <t>EAST_MDB_3B_8</t>
  </si>
  <si>
    <t>EAST_MDB_3B_9</t>
  </si>
  <si>
    <t>EAST_MDB_3B_10</t>
  </si>
  <si>
    <t>EAST_MDB_3C_1</t>
    <phoneticPr fontId="1" type="noConversion"/>
  </si>
  <si>
    <t>EAST_MDB_3C_2</t>
  </si>
  <si>
    <t>EAST_MDB_3C_3</t>
  </si>
  <si>
    <t>EAST_MDB_3C_4</t>
  </si>
  <si>
    <t>EAST_MDB_3C_5</t>
  </si>
  <si>
    <t>EAST_MDB_4A_1</t>
    <phoneticPr fontId="1" type="noConversion"/>
  </si>
  <si>
    <t>EAST_MDB_4A_2</t>
  </si>
  <si>
    <t>EAST_MDB_4A_3</t>
  </si>
  <si>
    <t>EAST_MDB_4B_1</t>
    <phoneticPr fontId="1" type="noConversion"/>
  </si>
  <si>
    <t>EAST_MDB_4B_2</t>
  </si>
  <si>
    <t>EAST_MDB_4B_3</t>
  </si>
  <si>
    <t>EAST_MDB_4B_4</t>
  </si>
  <si>
    <t>EAST_MDB_4B_5</t>
  </si>
  <si>
    <t>EAST_MDB_4B_6</t>
  </si>
  <si>
    <t>EAST_MDB_4B_7</t>
  </si>
  <si>
    <t>EAST_MDB_4B_8</t>
  </si>
  <si>
    <t>EAST_MDB_4C_1</t>
    <phoneticPr fontId="1" type="noConversion"/>
  </si>
  <si>
    <t>EAST_MDB_4C_2</t>
  </si>
  <si>
    <t>EAST_MDB_4C_3</t>
  </si>
  <si>
    <t>EAST_MDB_4C_4</t>
  </si>
  <si>
    <t>EAST_MDB_4C_5</t>
  </si>
  <si>
    <t>EAST_MDB_4C_6</t>
  </si>
  <si>
    <t>EAST_MDB_4C_7</t>
  </si>
  <si>
    <t>EAST_MDB_4C_8</t>
  </si>
  <si>
    <t>EAST_MDB_4C_9</t>
  </si>
  <si>
    <t>EAST_MDB_4C_10</t>
  </si>
  <si>
    <t>EAST_MDB_5A_1</t>
    <phoneticPr fontId="1" type="noConversion"/>
  </si>
  <si>
    <t>EAST_MDB_5A_2</t>
  </si>
  <si>
    <t>EAST_MDB_5A_3</t>
  </si>
  <si>
    <t>EAST_MDB_5A_4</t>
  </si>
  <si>
    <t>EAST_MDB_5B_1</t>
    <phoneticPr fontId="1" type="noConversion"/>
  </si>
  <si>
    <t>EAST_MDB_5B_2</t>
  </si>
  <si>
    <t>EAST_MDB_5B_3</t>
  </si>
  <si>
    <t>EAST_MDB_5B_4</t>
  </si>
  <si>
    <t>EAST_MDB_5B_5</t>
  </si>
  <si>
    <t>EAST_MDB_5B_6</t>
  </si>
  <si>
    <t>EAST_MDB_5B_7</t>
  </si>
  <si>
    <t>EAST_MDB_5B_8</t>
  </si>
  <si>
    <t>EAST_MDB_5B_9</t>
  </si>
  <si>
    <t>EAST_MDB_5B_10</t>
  </si>
  <si>
    <t>EAST_MDB_5B_11</t>
  </si>
  <si>
    <t>EAST_MDB_5B_12</t>
  </si>
  <si>
    <t>EAST_MDB_5C_1</t>
    <phoneticPr fontId="1" type="noConversion"/>
  </si>
  <si>
    <t>EAST_MDB_5C_2</t>
  </si>
  <si>
    <t>EAST_MDB_5C_3</t>
  </si>
  <si>
    <t>EAST_MDB_5C_4</t>
  </si>
  <si>
    <t>EAST_MDB_5C_5</t>
  </si>
  <si>
    <t>EAST_MDB_5C_6</t>
  </si>
  <si>
    <t>EAST_MDB_5C_7</t>
  </si>
  <si>
    <t>EAST_MDB_5C_8</t>
  </si>
  <si>
    <t>EAST_MDB_5C_9</t>
  </si>
  <si>
    <t>EAST_MDB_5C_10</t>
  </si>
  <si>
    <t>EAST_MDB_6A_1</t>
    <phoneticPr fontId="1" type="noConversion"/>
  </si>
  <si>
    <t>EAST_MDB_6A_2</t>
  </si>
  <si>
    <t>EAST_MDB_6A_3</t>
  </si>
  <si>
    <t>EAST_MDB_6A_4</t>
  </si>
  <si>
    <t>EAST_MDB_6B_1</t>
    <phoneticPr fontId="1" type="noConversion"/>
  </si>
  <si>
    <t>EAST_MDB_6B_2</t>
  </si>
  <si>
    <t>EAST_MDB_6B_3</t>
  </si>
  <si>
    <t>EAST_MDB_6B_4</t>
  </si>
  <si>
    <t>EAST_MDB_6B_5</t>
  </si>
  <si>
    <t>EAST_MDB_6B_6</t>
  </si>
  <si>
    <t>EAST_MDB_6B_7</t>
  </si>
  <si>
    <t>EAST_MDB_6B_8</t>
  </si>
  <si>
    <t>EAST_MDB_6B_9</t>
  </si>
  <si>
    <t>EAST_MDB_6B_10</t>
  </si>
  <si>
    <t>EAST_MDB_6B_11</t>
  </si>
  <si>
    <t>EAST_MDB_6C_2</t>
  </si>
  <si>
    <t>EAST_MDB_6C_3</t>
  </si>
  <si>
    <t>EAST_MDB_6C_4</t>
  </si>
  <si>
    <t>EAST_MDB_6C_5</t>
  </si>
  <si>
    <t>EAST_MDB_7A_1</t>
    <phoneticPr fontId="1" type="noConversion"/>
  </si>
  <si>
    <t>EAST_MDB_7A_2</t>
  </si>
  <si>
    <t>EAST_MDB_7A_3</t>
  </si>
  <si>
    <t>EAST_MDB_7A_4</t>
  </si>
  <si>
    <t>EAST_MDB_7B_1</t>
    <phoneticPr fontId="1" type="noConversion"/>
  </si>
  <si>
    <t>EAST_MDB_7B_2</t>
  </si>
  <si>
    <t>EAST_MDB_7B_3</t>
  </si>
  <si>
    <t>EAST_MDB_7B_4</t>
  </si>
  <si>
    <t>EAST_MDB_7B_5</t>
  </si>
  <si>
    <t>EAST_MDB_7B_6</t>
  </si>
  <si>
    <t>EAST_MDB_7B_7</t>
  </si>
  <si>
    <t>EAST_MDB_7B_8</t>
  </si>
  <si>
    <t>EAST_MDB_7B_9</t>
  </si>
  <si>
    <t>EAST_MDB_7B_10</t>
  </si>
  <si>
    <t>EAST_MDB_7C_1</t>
    <phoneticPr fontId="1" type="noConversion"/>
  </si>
  <si>
    <t>EAST_MDB_7C_2</t>
  </si>
  <si>
    <t>EAST_MDB_7C_3</t>
  </si>
  <si>
    <t>EAST_MDB_7C_4</t>
  </si>
  <si>
    <t>EAST_MDB_7C_5</t>
  </si>
  <si>
    <t>EAST_MDB_7C_6</t>
  </si>
  <si>
    <t>EAST_MDB_7C_7</t>
  </si>
  <si>
    <t>EAST_MDB_7C_8</t>
  </si>
  <si>
    <t>EAST_MDB_8B_1</t>
    <phoneticPr fontId="1" type="noConversion"/>
  </si>
  <si>
    <t>EAST_MDB_8B_2</t>
  </si>
  <si>
    <t>EAST_MDB_8B_3</t>
  </si>
  <si>
    <t>EAST_MDB_8B_4</t>
  </si>
  <si>
    <t>EAST_MDB_8B_5</t>
  </si>
  <si>
    <t>EAST_AVR2_1</t>
    <phoneticPr fontId="1" type="noConversion"/>
  </si>
  <si>
    <t>EAST_AVR2_2</t>
  </si>
  <si>
    <t>EAST_AVR2_3</t>
  </si>
  <si>
    <t>EAST_AVR2_4</t>
  </si>
  <si>
    <t>EAST_AVR2_5</t>
  </si>
  <si>
    <t>EAST_AVR2_6</t>
  </si>
  <si>
    <t>EAST_AVR2_7</t>
  </si>
  <si>
    <t>PLC No</t>
    <phoneticPr fontId="1" type="noConversion"/>
  </si>
  <si>
    <t>상태 (DI)</t>
    <phoneticPr fontId="1" type="noConversion"/>
  </si>
  <si>
    <t>Trip</t>
    <phoneticPr fontId="1" type="noConversion"/>
  </si>
  <si>
    <t>\TRIP</t>
    <phoneticPr fontId="1" type="noConversion"/>
  </si>
  <si>
    <t>ELD</t>
    <phoneticPr fontId="1" type="noConversion"/>
  </si>
  <si>
    <t>\ELD</t>
    <phoneticPr fontId="1" type="noConversion"/>
  </si>
  <si>
    <t>EAST_MDB_1B</t>
  </si>
  <si>
    <t>EAST_MDB_1C</t>
  </si>
  <si>
    <t>EAST_MDB_2A</t>
  </si>
  <si>
    <t>EAST_MDB_2B</t>
  </si>
  <si>
    <t>EAST_MDB_2C</t>
  </si>
  <si>
    <t>EAST_MDB_3B</t>
  </si>
  <si>
    <t>EAST_MDB_3C</t>
  </si>
  <si>
    <t>EAST_MDB_4B</t>
  </si>
  <si>
    <t>EAST_MDB_4C</t>
  </si>
  <si>
    <t>EAST_MDB_5A</t>
  </si>
  <si>
    <t>EAST_MDB_5B</t>
  </si>
  <si>
    <t>EAST_MDB_5C</t>
  </si>
  <si>
    <t>EAST_MDB_6A</t>
  </si>
  <si>
    <t>EAST_MDB_6B</t>
  </si>
  <si>
    <t>EAST_MDB_6C</t>
  </si>
  <si>
    <t>\51G</t>
    <phoneticPr fontId="1" type="noConversion"/>
  </si>
  <si>
    <t>EAST_MBP1_ACB2</t>
    <phoneticPr fontId="1" type="noConversion"/>
  </si>
  <si>
    <t>EAST_MBP2_ACB2</t>
    <phoneticPr fontId="1" type="noConversion"/>
  </si>
  <si>
    <t>EAST_ATS</t>
  </si>
  <si>
    <t>EAST_TR_1</t>
  </si>
  <si>
    <t>EAST_TR_2</t>
  </si>
  <si>
    <t>EAST_TR_3</t>
  </si>
  <si>
    <t>EAST_TR_4</t>
  </si>
  <si>
    <t>EAST_TR_5</t>
  </si>
  <si>
    <t>EAST_TR_6</t>
  </si>
  <si>
    <t>EAST_TR_7</t>
  </si>
  <si>
    <t>EAST_TR_8</t>
  </si>
  <si>
    <t>EAST_CTTS_1</t>
  </si>
  <si>
    <t>EAST_CTTS_2</t>
  </si>
  <si>
    <t>EAST_CTTS_3</t>
  </si>
  <si>
    <t>EAST_CTTS_4</t>
  </si>
  <si>
    <t>EAST_CTTS_5</t>
  </si>
  <si>
    <t>EAST_CTTS_6</t>
  </si>
  <si>
    <t>EAST_CTTS_7</t>
  </si>
  <si>
    <t>EAST_CTTS_8</t>
  </si>
  <si>
    <t>EAST_D_TIE1</t>
  </si>
  <si>
    <t>EAST_D_TIE2</t>
  </si>
  <si>
    <t>EAST_TIE_12</t>
  </si>
  <si>
    <t>EAST_TIE_34</t>
  </si>
  <si>
    <t>EAST_TIE_56</t>
  </si>
  <si>
    <t>EAST_TIE_78</t>
  </si>
  <si>
    <t>지락
과전류</t>
    <phoneticPr fontId="1" type="noConversion"/>
  </si>
  <si>
    <t>Panel Name</t>
    <phoneticPr fontId="1" type="noConversion"/>
  </si>
  <si>
    <t>동관MainVCB</t>
  </si>
  <si>
    <t>EAST_ALTS</t>
  </si>
  <si>
    <t>ALTS3</t>
  </si>
  <si>
    <t>Main VCB</t>
  </si>
  <si>
    <t>7층MainVCB</t>
  </si>
  <si>
    <t>VCB(TR1)</t>
  </si>
  <si>
    <t>VCB(TR2)</t>
  </si>
  <si>
    <t>VCB(TR3)</t>
  </si>
  <si>
    <t>VCB(TR4)</t>
  </si>
  <si>
    <t>VCB(TR5)</t>
  </si>
  <si>
    <t>VCB(TR6)</t>
  </si>
  <si>
    <t>VCB(TR7)</t>
  </si>
  <si>
    <t>VCB(TR8)</t>
  </si>
  <si>
    <t>MDB_1A</t>
  </si>
  <si>
    <t>MDB_2A</t>
  </si>
  <si>
    <t>MDB_3A</t>
  </si>
  <si>
    <t>MDB_4A</t>
  </si>
  <si>
    <t>MDB_5A</t>
  </si>
  <si>
    <t>MDB_6A</t>
  </si>
  <si>
    <t>MDB_7A</t>
  </si>
  <si>
    <t>MDB_8A</t>
  </si>
  <si>
    <t>D_G1</t>
  </si>
  <si>
    <t>D_G2</t>
  </si>
  <si>
    <t>D_G3</t>
  </si>
  <si>
    <t>AVR2</t>
  </si>
  <si>
    <t>MBP1</t>
  </si>
  <si>
    <t>MBP2</t>
  </si>
  <si>
    <t>Mold_TR1</t>
  </si>
  <si>
    <t>Mold_TR2</t>
  </si>
  <si>
    <t>Mold_TR3</t>
  </si>
  <si>
    <t>Mold_TR4</t>
  </si>
  <si>
    <t>Mold_TR5</t>
  </si>
  <si>
    <t>Mold_TR6</t>
  </si>
  <si>
    <t>Mold_TR7</t>
  </si>
  <si>
    <t>Mold_TR8</t>
  </si>
  <si>
    <t>CTTS_1</t>
  </si>
  <si>
    <t>CTTS_2</t>
  </si>
  <si>
    <t>CTTS_3</t>
  </si>
  <si>
    <t>CTTS_4</t>
  </si>
  <si>
    <t>CTTS_5</t>
  </si>
  <si>
    <t>CTTS_6</t>
  </si>
  <si>
    <t>CTTS_7</t>
  </si>
  <si>
    <t>CTTS_8</t>
  </si>
  <si>
    <t>EAST_D_TIE1</t>
    <phoneticPr fontId="1" type="noConversion"/>
  </si>
  <si>
    <t>EAST_D_TIE2</t>
    <phoneticPr fontId="1" type="noConversion"/>
  </si>
  <si>
    <t>MDB_1C</t>
  </si>
  <si>
    <t>MDB_3C</t>
  </si>
  <si>
    <t>MDB_6C</t>
  </si>
  <si>
    <t>MDB_8B</t>
  </si>
  <si>
    <t>MDB_1B</t>
  </si>
  <si>
    <t>MDB_2B</t>
  </si>
  <si>
    <t>MDB_2C</t>
  </si>
  <si>
    <t>MDB_3B</t>
  </si>
  <si>
    <t>MDB_4B</t>
  </si>
  <si>
    <t>MDB_4C</t>
  </si>
  <si>
    <t>MDB_5B</t>
  </si>
  <si>
    <t>MDB_5C</t>
  </si>
  <si>
    <t>MDB_6B</t>
  </si>
  <si>
    <t>MDB_7B</t>
  </si>
  <si>
    <t>MDB_7C</t>
  </si>
  <si>
    <t>PLC01</t>
    <phoneticPr fontId="1" type="noConversion"/>
  </si>
  <si>
    <t>PLC02</t>
    <phoneticPr fontId="1" type="noConversion"/>
  </si>
  <si>
    <t>PLC03</t>
    <phoneticPr fontId="1" type="noConversion"/>
  </si>
  <si>
    <t>Alarm</t>
    <phoneticPr fontId="1" type="noConversion"/>
  </si>
  <si>
    <t>\TM</t>
    <phoneticPr fontId="1" type="noConversion"/>
  </si>
  <si>
    <t>기준 
Address</t>
    <phoneticPr fontId="1" type="noConversion"/>
  </si>
  <si>
    <t>기준
Address</t>
    <phoneticPr fontId="1" type="noConversion"/>
  </si>
  <si>
    <t>평균</t>
    <phoneticPr fontId="1" type="noConversion"/>
  </si>
  <si>
    <t>Project : 아산병원 통합 EPMS</t>
    <phoneticPr fontId="1" type="noConversion"/>
  </si>
  <si>
    <t>전압위상각</t>
    <phoneticPr fontId="1" type="noConversion"/>
  </si>
  <si>
    <t>전류 위상각</t>
    <phoneticPr fontId="1" type="noConversion"/>
  </si>
  <si>
    <t>Va</t>
  </si>
  <si>
    <t>Va</t>
    <phoneticPr fontId="1" type="noConversion"/>
  </si>
  <si>
    <t>Vc</t>
  </si>
  <si>
    <t>Vc</t>
    <phoneticPr fontId="1" type="noConversion"/>
  </si>
  <si>
    <t>Vb</t>
  </si>
  <si>
    <t>Vb</t>
    <phoneticPr fontId="1" type="noConversion"/>
  </si>
  <si>
    <t>Ia</t>
  </si>
  <si>
    <t>Ia</t>
    <phoneticPr fontId="1" type="noConversion"/>
  </si>
  <si>
    <t>Ib</t>
  </si>
  <si>
    <t>Ib</t>
    <phoneticPr fontId="1" type="noConversion"/>
  </si>
  <si>
    <t>Ic</t>
  </si>
  <si>
    <t>Ic</t>
    <phoneticPr fontId="1" type="noConversion"/>
  </si>
  <si>
    <t>\PI3</t>
  </si>
  <si>
    <t>\PI3</t>
    <phoneticPr fontId="1" type="noConversion"/>
  </si>
  <si>
    <t>\PI2</t>
  </si>
  <si>
    <t>\PI2</t>
    <phoneticPr fontId="1" type="noConversion"/>
  </si>
  <si>
    <t>\PI1</t>
  </si>
  <si>
    <t>\PI1</t>
    <phoneticPr fontId="1" type="noConversion"/>
  </si>
  <si>
    <t>\PV1</t>
  </si>
  <si>
    <t>\PV1</t>
    <phoneticPr fontId="1" type="noConversion"/>
  </si>
  <si>
    <t>\PV2</t>
  </si>
  <si>
    <t>\PV2</t>
    <phoneticPr fontId="1" type="noConversion"/>
  </si>
  <si>
    <t>\PV3</t>
  </si>
  <si>
    <t>\PV3</t>
    <phoneticPr fontId="1" type="noConversion"/>
  </si>
  <si>
    <t>전압 위상각</t>
    <phoneticPr fontId="1" type="noConversion"/>
  </si>
  <si>
    <t>총 
Word 수</t>
    <phoneticPr fontId="1" type="noConversion"/>
  </si>
  <si>
    <t>\VA</t>
  </si>
  <si>
    <t>L1-N</t>
  </si>
  <si>
    <t>L1-N</t>
    <phoneticPr fontId="1" type="noConversion"/>
  </si>
  <si>
    <t>L2-N</t>
  </si>
  <si>
    <t>L2-N</t>
    <phoneticPr fontId="1" type="noConversion"/>
  </si>
  <si>
    <t>L3-N</t>
  </si>
  <si>
    <t>L3-N</t>
    <phoneticPr fontId="1" type="noConversion"/>
  </si>
  <si>
    <t>\V1N</t>
  </si>
  <si>
    <t>\V1N</t>
    <phoneticPr fontId="1" type="noConversion"/>
  </si>
  <si>
    <t>\V2N</t>
  </si>
  <si>
    <t>\V2N</t>
    <phoneticPr fontId="1" type="noConversion"/>
  </si>
  <si>
    <t>\V3N</t>
  </si>
  <si>
    <t>\V3N</t>
    <phoneticPr fontId="1" type="noConversion"/>
  </si>
  <si>
    <t>전압</t>
    <phoneticPr fontId="1" type="noConversion"/>
  </si>
  <si>
    <t>TR_Alarm</t>
    <phoneticPr fontId="1" type="noConversion"/>
  </si>
  <si>
    <t>전류</t>
    <phoneticPr fontId="1" type="noConversion"/>
  </si>
  <si>
    <t>L1 고조파</t>
    <phoneticPr fontId="1" type="noConversion"/>
  </si>
  <si>
    <t>Ia THD</t>
    <phoneticPr fontId="1" type="noConversion"/>
  </si>
  <si>
    <t>Ia 3rd</t>
    <phoneticPr fontId="1" type="noConversion"/>
  </si>
  <si>
    <t>Ia 5th</t>
    <phoneticPr fontId="1" type="noConversion"/>
  </si>
  <si>
    <t>Ia 7th</t>
    <phoneticPr fontId="1" type="noConversion"/>
  </si>
  <si>
    <t>L2 고조파</t>
    <phoneticPr fontId="1" type="noConversion"/>
  </si>
  <si>
    <t>L3 고조파</t>
    <phoneticPr fontId="1" type="noConversion"/>
  </si>
  <si>
    <t>Ib THD</t>
  </si>
  <si>
    <t>Ib 3rd</t>
  </si>
  <si>
    <t>Ib 5th</t>
  </si>
  <si>
    <t>Ib 7th</t>
  </si>
  <si>
    <t>Ic THD</t>
  </si>
  <si>
    <t>Ic 3rd</t>
  </si>
  <si>
    <t>Ic 5th</t>
  </si>
  <si>
    <t>Ic 7th</t>
  </si>
  <si>
    <t>태그 명</t>
    <phoneticPr fontId="1" type="noConversion"/>
  </si>
  <si>
    <t>DB 컬럼 명</t>
    <phoneticPr fontId="1" type="noConversion"/>
  </si>
  <si>
    <t>voltage_ab</t>
  </si>
  <si>
    <t>voltage_bc</t>
  </si>
  <si>
    <t>voltage_ca</t>
    <phoneticPr fontId="1" type="noConversion"/>
  </si>
  <si>
    <t>voltage_an</t>
  </si>
  <si>
    <t>voltage_bn</t>
    <phoneticPr fontId="1" type="noConversion"/>
  </si>
  <si>
    <t>voltage_cn</t>
    <phoneticPr fontId="1" type="noConversion"/>
  </si>
  <si>
    <t>current_a</t>
  </si>
  <si>
    <t>current_b</t>
    <phoneticPr fontId="1" type="noConversion"/>
  </si>
  <si>
    <t>current_c</t>
    <phoneticPr fontId="1" type="noConversion"/>
  </si>
  <si>
    <t>power_factor</t>
    <phoneticPr fontId="1" type="noConversion"/>
  </si>
  <si>
    <t>frequency</t>
    <phoneticPr fontId="1" type="noConversion"/>
  </si>
  <si>
    <t>active_power_total</t>
  </si>
  <si>
    <t>active_energy</t>
  </si>
  <si>
    <t>reactive_energy</t>
  </si>
  <si>
    <t>reactive_power_total</t>
  </si>
  <si>
    <t>TABLE 명</t>
    <phoneticPr fontId="1" type="noConversion"/>
  </si>
  <si>
    <t>max_power</t>
  </si>
  <si>
    <t>thd_current_a</t>
  </si>
  <si>
    <t>thd_current_b</t>
    <phoneticPr fontId="1" type="noConversion"/>
  </si>
  <si>
    <t>thd_current_c</t>
    <phoneticPr fontId="1" type="noConversion"/>
  </si>
  <si>
    <t>current_h3_a</t>
  </si>
  <si>
    <t>current_h3_b</t>
    <phoneticPr fontId="1" type="noConversion"/>
  </si>
  <si>
    <t>current_h3_c</t>
    <phoneticPr fontId="1" type="noConversion"/>
  </si>
  <si>
    <t>current_h5_a</t>
    <phoneticPr fontId="1" type="noConversion"/>
  </si>
  <si>
    <t>current_h5_b</t>
    <phoneticPr fontId="1" type="noConversion"/>
  </si>
  <si>
    <t>current_h5_c</t>
    <phoneticPr fontId="1" type="noConversion"/>
  </si>
  <si>
    <t>current_h7_a</t>
    <phoneticPr fontId="1" type="noConversion"/>
  </si>
  <si>
    <t>current_h7_b</t>
    <phoneticPr fontId="1" type="noConversion"/>
  </si>
  <si>
    <t>current_h7_c</t>
    <phoneticPr fontId="1" type="noConversion"/>
  </si>
  <si>
    <t>voltage_phase_a</t>
  </si>
  <si>
    <t>voltage_phase_b</t>
  </si>
  <si>
    <t>voltage_phase_c</t>
    <phoneticPr fontId="1" type="noConversion"/>
  </si>
  <si>
    <t>current_phase_a</t>
  </si>
  <si>
    <t>current_phase_b</t>
    <phoneticPr fontId="1" type="noConversion"/>
  </si>
  <si>
    <t>current_phase_c</t>
    <phoneticPr fontId="1" type="noConversion"/>
  </si>
  <si>
    <t xml:space="preserve">harmonic_measurements </t>
    <phoneticPr fontId="1" type="noConversion"/>
  </si>
  <si>
    <t>L1 전류 고조파</t>
    <phoneticPr fontId="1" type="noConversion"/>
  </si>
  <si>
    <t>L2 전류 고조파</t>
    <phoneticPr fontId="1" type="noConversion"/>
  </si>
  <si>
    <t>L3 전류 고조파</t>
    <phoneticPr fontId="1" type="noConversion"/>
  </si>
  <si>
    <t>measurements</t>
    <phoneticPr fontId="1" type="noConversion"/>
  </si>
  <si>
    <t>alarm_log</t>
    <phoneticPr fontId="1" type="noConversion"/>
  </si>
  <si>
    <t>INSERT INTO alarm_log (
    meter_id, alarm_type, triggered_at, cleared_at, description
)
VALUES (
    101,                                             -- meter_id
    'Overheat',                                    -- alarm_type
    '2025-12-23 14:30:00',                     -- triggered_at
    NULL,                                           -- cleared_at (아직 해제되지 않음)
    '온도 센서 과열로 인한 알람 발생'      -- description
);</t>
    <phoneticPr fontId="1" type="noConversion"/>
  </si>
  <si>
    <t>DO</t>
    <phoneticPr fontId="1" type="noConversion"/>
  </si>
  <si>
    <t>경광등</t>
    <phoneticPr fontId="1" type="noConversion"/>
  </si>
  <si>
    <t>\LIGHT</t>
    <phoneticPr fontId="1" type="noConversion"/>
  </si>
  <si>
    <t>EAST_Light</t>
    <phoneticPr fontId="1" type="noConversion"/>
  </si>
  <si>
    <t>DCP</t>
    <phoneticPr fontId="1" type="noConversion"/>
  </si>
  <si>
    <t>선간평균</t>
    <phoneticPr fontId="1" type="noConversion"/>
  </si>
  <si>
    <t>\VVA</t>
    <phoneticPr fontId="1" type="noConversion"/>
  </si>
  <si>
    <t>상평균</t>
    <phoneticPr fontId="1" type="noConversion"/>
  </si>
  <si>
    <t>AN</t>
    <phoneticPr fontId="1" type="noConversion"/>
  </si>
  <si>
    <t>\AN</t>
    <phoneticPr fontId="1" type="noConversion"/>
  </si>
  <si>
    <t>PLC IO Address DI &amp; DO</t>
    <phoneticPr fontId="1" type="noConversion"/>
  </si>
  <si>
    <t>PLC IO Address AI</t>
    <phoneticPr fontId="1" type="noConversion"/>
  </si>
  <si>
    <t>HGMAP</t>
    <phoneticPr fontId="1" type="noConversion"/>
  </si>
  <si>
    <t>HGCAM</t>
    <phoneticPr fontId="1" type="noConversion"/>
  </si>
  <si>
    <t>특고압반</t>
    <phoneticPr fontId="1" type="noConversion"/>
  </si>
  <si>
    <t>저압반</t>
    <phoneticPr fontId="1" type="noConversion"/>
  </si>
  <si>
    <t>모델명</t>
    <phoneticPr fontId="1" type="noConversion"/>
  </si>
  <si>
    <t>용도</t>
    <phoneticPr fontId="1" type="noConversion"/>
  </si>
  <si>
    <t>계전기, 계측기 레지스터 번호</t>
    <phoneticPr fontId="1" type="noConversion"/>
  </si>
  <si>
    <t>x</t>
    <phoneticPr fontId="1" type="noConversion"/>
  </si>
  <si>
    <t>확인필요</t>
    <phoneticPr fontId="1" type="noConversion"/>
  </si>
  <si>
    <t>Ia 9th</t>
    <phoneticPr fontId="1" type="noConversion"/>
  </si>
  <si>
    <t>Ia 11th</t>
    <phoneticPr fontId="1" type="noConversion"/>
  </si>
  <si>
    <t>Ib 9th</t>
    <phoneticPr fontId="1" type="noConversion"/>
  </si>
  <si>
    <t>Ib 11th</t>
    <phoneticPr fontId="1" type="noConversion"/>
  </si>
  <si>
    <t>Ic 9th</t>
    <phoneticPr fontId="1" type="noConversion"/>
  </si>
  <si>
    <t>Ic 11th</t>
    <phoneticPr fontId="1" type="noConversion"/>
  </si>
  <si>
    <t>Ia_9th</t>
    <phoneticPr fontId="1" type="noConversion"/>
  </si>
  <si>
    <t>Ia_11th</t>
    <phoneticPr fontId="1" type="noConversion"/>
  </si>
  <si>
    <t>current_h9_a</t>
    <phoneticPr fontId="1" type="noConversion"/>
  </si>
  <si>
    <t>current_h11_a</t>
    <phoneticPr fontId="1" type="noConversion"/>
  </si>
  <si>
    <t>Ib_9th</t>
    <phoneticPr fontId="1" type="noConversion"/>
  </si>
  <si>
    <t>Ib_11th</t>
    <phoneticPr fontId="1" type="noConversion"/>
  </si>
  <si>
    <t>Ic_9th</t>
    <phoneticPr fontId="1" type="noConversion"/>
  </si>
  <si>
    <t>Ic_11th</t>
    <phoneticPr fontId="1" type="noConversion"/>
  </si>
  <si>
    <t>current_h9_b</t>
    <phoneticPr fontId="1" type="noConversion"/>
  </si>
  <si>
    <t>current_h11_b</t>
    <phoneticPr fontId="1" type="noConversion"/>
  </si>
  <si>
    <t>current_h9_c</t>
    <phoneticPr fontId="1" type="noConversion"/>
  </si>
  <si>
    <t>current_h11_c</t>
    <phoneticPr fontId="1" type="noConversion"/>
  </si>
  <si>
    <t>Ic 9th</t>
    <phoneticPr fontId="1" type="noConversion"/>
  </si>
  <si>
    <t>Ic 11th</t>
    <phoneticPr fontId="1" type="noConversion"/>
  </si>
  <si>
    <t>L1 전압 고조파</t>
  </si>
  <si>
    <t>L2 전압 고조파</t>
  </si>
  <si>
    <t>L3 전압 고조파</t>
  </si>
  <si>
    <t>Va THD</t>
  </si>
  <si>
    <t>Va 3rd</t>
  </si>
  <si>
    <t>Va 5th</t>
  </si>
  <si>
    <t>Va 7th</t>
  </si>
  <si>
    <t>Va 9th</t>
  </si>
  <si>
    <t>Va 11th</t>
  </si>
  <si>
    <t>Vb THD</t>
  </si>
  <si>
    <t>Vb 3rd</t>
  </si>
  <si>
    <t>Vb 5th</t>
  </si>
  <si>
    <t>Vb 7th</t>
  </si>
  <si>
    <t>Vb 9th</t>
  </si>
  <si>
    <t>Vb 11th</t>
  </si>
  <si>
    <t>Vc THD</t>
  </si>
  <si>
    <t>Vc 3rd</t>
  </si>
  <si>
    <t>Vc 5th</t>
  </si>
  <si>
    <t>Vc 7th</t>
  </si>
  <si>
    <t>Vc 9th</t>
  </si>
  <si>
    <t>Vc 11th</t>
  </si>
  <si>
    <t>\H_VA_1</t>
  </si>
  <si>
    <t>\H_VA_3</t>
  </si>
  <si>
    <t>\H_VA_5</t>
  </si>
  <si>
    <t>\H_VA_7</t>
  </si>
  <si>
    <t>\H_VA_9</t>
  </si>
  <si>
    <t>\H_VA_11</t>
  </si>
  <si>
    <t>\H_VB_1</t>
  </si>
  <si>
    <t>\H_VB_3</t>
  </si>
  <si>
    <t>\H_VB_5</t>
  </si>
  <si>
    <t>\H_VB_7</t>
  </si>
  <si>
    <t>\H_VB_11</t>
  </si>
  <si>
    <t>\H_VB_9</t>
    <phoneticPr fontId="1" type="noConversion"/>
  </si>
  <si>
    <t>\H_VC_1</t>
  </si>
  <si>
    <t>\H_VC_3</t>
  </si>
  <si>
    <t>\H_VC_5</t>
  </si>
  <si>
    <t>\H_VC_7</t>
  </si>
  <si>
    <t>\H_VC_9</t>
  </si>
  <si>
    <t>\H_VC_11</t>
  </si>
  <si>
    <t>\H_IA_1</t>
  </si>
  <si>
    <t>\H_IA_3</t>
  </si>
  <si>
    <t>\H_IA_5</t>
  </si>
  <si>
    <t>\H_IA_7</t>
  </si>
  <si>
    <t>\H_IA_9</t>
  </si>
  <si>
    <t>\H_IA_11</t>
  </si>
  <si>
    <t>\H_IB_1</t>
  </si>
  <si>
    <t>\H_IB_3</t>
  </si>
  <si>
    <t>\H_IB_5</t>
  </si>
  <si>
    <t>\H_IB_7</t>
  </si>
  <si>
    <t>\H_IB_11</t>
  </si>
  <si>
    <t>\H_IB_9</t>
    <phoneticPr fontId="1" type="noConversion"/>
  </si>
  <si>
    <t>\H_IC_1</t>
  </si>
  <si>
    <t>\H_IC_3</t>
  </si>
  <si>
    <t>\H_IC_5</t>
  </si>
  <si>
    <t>\H_IC_7</t>
  </si>
  <si>
    <t>\H_IC_9</t>
  </si>
  <si>
    <t>\H_IC_11</t>
  </si>
  <si>
    <t>address 간격</t>
    <phoneticPr fontId="1" type="noConversion"/>
  </si>
  <si>
    <t>과전류
(한시)</t>
    <phoneticPr fontId="1" type="noConversion"/>
  </si>
  <si>
    <t>과전류
(순시)</t>
    <phoneticPr fontId="1" type="noConversion"/>
  </si>
  <si>
    <t>EAST_MDB_4A</t>
    <phoneticPr fontId="1" type="noConversion"/>
  </si>
  <si>
    <t>On2/Off2</t>
    <phoneticPr fontId="1" type="noConversion"/>
  </si>
  <si>
    <t>On1/Off1</t>
    <phoneticPr fontId="1" type="noConversion"/>
  </si>
  <si>
    <t>\ST1</t>
    <phoneticPr fontId="1" type="noConversion"/>
  </si>
  <si>
    <t>\ST2</t>
    <phoneticPr fontId="1" type="noConversion"/>
  </si>
  <si>
    <t>IR</t>
    <phoneticPr fontId="1" type="noConversion"/>
  </si>
  <si>
    <t>\IR</t>
    <phoneticPr fontId="1" type="noConversion"/>
  </si>
  <si>
    <t>EAST_MDB_2C_8</t>
  </si>
  <si>
    <t>EAST_MDB_2C_8</t>
    <phoneticPr fontId="1" type="noConversion"/>
  </si>
  <si>
    <t>EAST_MDB_2C_9</t>
  </si>
  <si>
    <t>EAST_MDB_2C_9</t>
    <phoneticPr fontId="1" type="noConversion"/>
  </si>
  <si>
    <t>MDB_2D</t>
  </si>
  <si>
    <t>MDB_2D</t>
    <phoneticPr fontId="1" type="noConversion"/>
  </si>
  <si>
    <t>EAST_MDB_2C_1</t>
  </si>
  <si>
    <t>EAST_MDB_2D_1</t>
  </si>
  <si>
    <t>EAST_MDB_2D_2</t>
  </si>
  <si>
    <t>EAST_MDB_2D_3</t>
  </si>
  <si>
    <t>EAST_MDB_2D_4</t>
  </si>
  <si>
    <t>EAST_MDB_2D_5</t>
  </si>
  <si>
    <t>EAST_MDB_2D_6</t>
  </si>
  <si>
    <t>EAST_MDB_2D_7</t>
  </si>
  <si>
    <t>EAST_MDB_2D_8</t>
  </si>
  <si>
    <t>MDB_6D</t>
  </si>
  <si>
    <t>EAST_MDB_6D_1</t>
  </si>
  <si>
    <t>EAST_MDB_6D_2</t>
  </si>
  <si>
    <t>EAST_MDB_6D_3</t>
  </si>
  <si>
    <t>EAST_MDB_6D_4</t>
  </si>
  <si>
    <t>EAST_MDB_6D_5</t>
  </si>
  <si>
    <t>EAST_MDB_6C_1</t>
  </si>
  <si>
    <t>EAST_MDB_6C_6</t>
  </si>
  <si>
    <t>EAST_MDB_6C_7</t>
  </si>
  <si>
    <t>EAST_MDB_6C_8</t>
  </si>
  <si>
    <t>EAST_MDB_6C_9</t>
  </si>
  <si>
    <t>EAST_MDB_6C_10</t>
  </si>
  <si>
    <t>EAST_MDB_6B_12</t>
    <phoneticPr fontId="1" type="noConversion"/>
  </si>
  <si>
    <t>MDB_8C</t>
  </si>
  <si>
    <t>MDB_8C</t>
    <phoneticPr fontId="1" type="noConversion"/>
  </si>
  <si>
    <t>EAST_MDB_8C_1</t>
  </si>
  <si>
    <t>EAST_MDB_8C_1</t>
    <phoneticPr fontId="1" type="noConversion"/>
  </si>
  <si>
    <t>EAST_MDB_8C_2</t>
  </si>
  <si>
    <t>EAST_MDB_8C_2</t>
    <phoneticPr fontId="1" type="noConversion"/>
  </si>
  <si>
    <t>EAST_MDB_8C_3</t>
  </si>
  <si>
    <t>EAST_MDB_8C_3</t>
    <phoneticPr fontId="1" type="noConversion"/>
  </si>
  <si>
    <t>EAST_ACB_8C</t>
    <phoneticPr fontId="1" type="noConversion"/>
  </si>
  <si>
    <t>EAST_MDB_8C_4</t>
  </si>
  <si>
    <t>EAST_MDB_2D</t>
  </si>
  <si>
    <t>EAST_MDB_2D_8</t>
    <phoneticPr fontId="1" type="noConversion"/>
  </si>
  <si>
    <t>EAST_MDB_8C_4</t>
    <phoneticPr fontId="1" type="noConversion"/>
  </si>
  <si>
    <t>EAST_MDB_5B_13</t>
    <phoneticPr fontId="1" type="noConversion"/>
  </si>
  <si>
    <t>EAST_MDB_7B_11</t>
    <phoneticPr fontId="1" type="noConversion"/>
  </si>
  <si>
    <t>EAST_MDB_7B_12</t>
    <phoneticPr fontId="1" type="noConversion"/>
  </si>
  <si>
    <t>LineAverage</t>
    <phoneticPr fontId="1" type="noConversion"/>
  </si>
  <si>
    <t>PhaseAverage</t>
    <phoneticPr fontId="1" type="noConversion"/>
  </si>
  <si>
    <t>line_voltage_avg</t>
    <phoneticPr fontId="1" type="noConversion"/>
  </si>
  <si>
    <t>phase_voltage_avg</t>
    <phoneticPr fontId="1" type="noConversion"/>
  </si>
  <si>
    <t>average_current</t>
    <phoneticPr fontId="1" type="noConversion"/>
  </si>
  <si>
    <t>An</t>
    <phoneticPr fontId="1" type="noConversion"/>
  </si>
  <si>
    <t>\AN</t>
  </si>
  <si>
    <t>current_n</t>
    <phoneticPr fontId="1" type="noConversion"/>
  </si>
  <si>
    <t>전압 L1 고조파</t>
    <phoneticPr fontId="1" type="noConversion"/>
  </si>
  <si>
    <t>전압 L2 고조파</t>
    <phoneticPr fontId="1" type="noConversion"/>
  </si>
  <si>
    <t>전압 L3 고조파</t>
    <phoneticPr fontId="1" type="noConversion"/>
  </si>
  <si>
    <t>Va_9th</t>
  </si>
  <si>
    <t>Va_11th</t>
  </si>
  <si>
    <t>Vb_9th</t>
  </si>
  <si>
    <t>Vb_11th</t>
  </si>
  <si>
    <t>Vc_9th</t>
  </si>
  <si>
    <t>Vc_11th</t>
  </si>
  <si>
    <t>thd_voltage_a</t>
  </si>
  <si>
    <t>voltage_h3_a</t>
  </si>
  <si>
    <t>voltage_h5_a</t>
  </si>
  <si>
    <t>voltage_h7_a</t>
  </si>
  <si>
    <t>voltage_h9_a</t>
  </si>
  <si>
    <t>voltage_h11_a</t>
  </si>
  <si>
    <t>thd_voltage_b</t>
  </si>
  <si>
    <t>voltage_h3_b</t>
  </si>
  <si>
    <t>voltage_h5_b</t>
  </si>
  <si>
    <t>voltage_h7_b</t>
  </si>
  <si>
    <t>voltage_h9_b</t>
  </si>
  <si>
    <t>voltage_h11_b</t>
  </si>
  <si>
    <t>thd_voltage_c</t>
  </si>
  <si>
    <t>voltage_h3_c</t>
  </si>
  <si>
    <t>voltage_h5_c</t>
  </si>
  <si>
    <t>voltage_h7_c</t>
  </si>
  <si>
    <t>voltage_h9_c</t>
  </si>
  <si>
    <t>voltage_h11_c</t>
  </si>
  <si>
    <t>\H_VB_9</t>
  </si>
  <si>
    <t>\H_IB_9</t>
  </si>
  <si>
    <t>과전류(순시)</t>
    <phoneticPr fontId="1" type="noConversion"/>
  </si>
  <si>
    <t>과전류(한시)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</si>
</sst>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₩&quot;#,##0;[Red]\-&quot;₩&quot;#,##0"/>
    <numFmt numFmtId="176" formatCode="&quot;4&quot;0000"/>
    <numFmt numFmtId="177" formatCode="&quot;4&quot;00000"/>
  </numFmts>
  <fonts count="9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1" xfId="0" applyFont="1" applyBorder="1">
      <alignment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6" fontId="2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2" borderId="1" xfId="0" applyNumberFormat="1" applyFill="1" applyBorder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justify" vertical="center" wrapText="1"/>
    </xf>
    <xf numFmtId="6" fontId="2" fillId="2" borderId="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8C3B-5E6B-43D8-8EC8-90691603C43F}">
  <sheetPr>
    <pageSetUpPr fitToPage="1"/>
  </sheetPr>
  <dimension ref="A1:R240"/>
  <sheetViews>
    <sheetView tabSelected="1" workbookViewId="0">
      <pane xSplit="3" ySplit="7" topLeftCell="D85" activePane="bottomRight" state="frozen"/>
      <selection pane="topRight" activeCell="D1" sqref="D1"/>
      <selection pane="bottomLeft" activeCell="A8" sqref="A8"/>
      <selection pane="bottomRight" activeCell="L105" sqref="L105"/>
    </sheetView>
  </sheetViews>
  <sheetFormatPr defaultColWidth="9.140625" defaultRowHeight="13.5" x14ac:dyDescent="0.25"/>
  <cols>
    <col min="1" max="1" width="7.42578125" customWidth="1"/>
    <col min="2" max="2" width="8.7109375" style="1"/>
    <col min="3" max="3" width="19.42578125" style="1" customWidth="1"/>
    <col min="4" max="4" width="16.7109375" style="1" customWidth="1"/>
    <col min="15" max="15" width="11.42578125" customWidth="1"/>
    <col min="16" max="16" width="12" bestFit="1" customWidth="1"/>
    <col min="17" max="17" width="10.42578125" bestFit="1" customWidth="1"/>
    <col min="18" max="18" width="11.42578125" customWidth="1"/>
  </cols>
  <sheetData>
    <row r="1" spans="1:18" ht="20.25" x14ac:dyDescent="0.25">
      <c r="A1" s="7" t="s">
        <v>448</v>
      </c>
    </row>
    <row r="3" spans="1:18" x14ac:dyDescent="0.25">
      <c r="A3" t="s">
        <v>334</v>
      </c>
    </row>
    <row r="4" spans="1:18" ht="17.100000000000001" customHeight="1" x14ac:dyDescent="0.25">
      <c r="A4" s="35" t="s">
        <v>21</v>
      </c>
      <c r="B4" s="35" t="s">
        <v>217</v>
      </c>
      <c r="C4" s="34" t="s">
        <v>0</v>
      </c>
      <c r="D4" s="34" t="s">
        <v>265</v>
      </c>
      <c r="E4" s="36" t="s">
        <v>332</v>
      </c>
      <c r="F4" s="37" t="s">
        <v>218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11" t="s">
        <v>438</v>
      </c>
    </row>
    <row r="5" spans="1:18" x14ac:dyDescent="0.25">
      <c r="A5" s="35"/>
      <c r="B5" s="35"/>
      <c r="C5" s="34"/>
      <c r="D5" s="34"/>
      <c r="E5" s="36"/>
      <c r="F5" s="34" t="s">
        <v>541</v>
      </c>
      <c r="G5" s="34" t="s">
        <v>540</v>
      </c>
      <c r="H5" s="34" t="s">
        <v>219</v>
      </c>
      <c r="I5" s="34" t="s">
        <v>377</v>
      </c>
      <c r="J5" s="34" t="s">
        <v>17</v>
      </c>
      <c r="K5" s="34" t="s">
        <v>16</v>
      </c>
      <c r="L5" s="34" t="s">
        <v>18</v>
      </c>
      <c r="M5" s="34" t="s">
        <v>19</v>
      </c>
      <c r="N5" s="34" t="s">
        <v>20</v>
      </c>
      <c r="O5" s="36" t="s">
        <v>538</v>
      </c>
      <c r="P5" s="36" t="s">
        <v>537</v>
      </c>
      <c r="Q5" s="36" t="s">
        <v>264</v>
      </c>
      <c r="R5" s="32" t="s">
        <v>439</v>
      </c>
    </row>
    <row r="6" spans="1:18" x14ac:dyDescent="0.25">
      <c r="A6" s="35"/>
      <c r="B6" s="35"/>
      <c r="C6" s="34"/>
      <c r="D6" s="34"/>
      <c r="E6" s="36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3"/>
    </row>
    <row r="7" spans="1:18" x14ac:dyDescent="0.25">
      <c r="A7" s="35"/>
      <c r="B7" s="35"/>
      <c r="C7" s="34"/>
      <c r="D7" s="34"/>
      <c r="E7" s="36"/>
      <c r="F7" s="4" t="s">
        <v>542</v>
      </c>
      <c r="G7" s="4" t="s">
        <v>543</v>
      </c>
      <c r="H7" s="4" t="s">
        <v>220</v>
      </c>
      <c r="I7" s="4" t="s">
        <v>330</v>
      </c>
      <c r="J7" s="4" t="s">
        <v>24</v>
      </c>
      <c r="K7" s="4" t="s">
        <v>26</v>
      </c>
      <c r="L7" s="4" t="s">
        <v>25</v>
      </c>
      <c r="M7" s="4" t="s">
        <v>27</v>
      </c>
      <c r="N7" s="4" t="s">
        <v>28</v>
      </c>
      <c r="O7" s="12">
        <v>50</v>
      </c>
      <c r="P7" s="12">
        <v>51</v>
      </c>
      <c r="Q7" s="4" t="s">
        <v>238</v>
      </c>
      <c r="R7" s="11" t="s">
        <v>440</v>
      </c>
    </row>
    <row r="8" spans="1:18" x14ac:dyDescent="0.25">
      <c r="A8" s="3">
        <v>1</v>
      </c>
      <c r="B8" s="3" t="s">
        <v>326</v>
      </c>
      <c r="C8" s="3" t="s">
        <v>52</v>
      </c>
      <c r="D8" s="3" t="s">
        <v>279</v>
      </c>
      <c r="E8" s="21">
        <f>30001</f>
        <v>30001</v>
      </c>
      <c r="F8" s="22" t="str">
        <f>"4"&amp;$E8&amp;".1"</f>
        <v>430001.1</v>
      </c>
      <c r="G8" s="22"/>
      <c r="H8" s="22" t="str">
        <f>"4"&amp;$E8&amp;".3"</f>
        <v>430001.3</v>
      </c>
      <c r="I8" s="22"/>
      <c r="J8" s="22"/>
      <c r="K8" s="22"/>
      <c r="L8" s="22"/>
      <c r="M8" s="22"/>
      <c r="N8" s="22"/>
      <c r="O8" s="22" t="str">
        <f>"4"&amp;$E8&amp;".10"</f>
        <v>430001.10</v>
      </c>
      <c r="P8" s="22" t="str">
        <f>"4"&amp;$E8&amp;".11"</f>
        <v>430001.11</v>
      </c>
      <c r="Q8" s="22" t="str">
        <f>"4"&amp;$E8&amp;".12"</f>
        <v>430001.12</v>
      </c>
      <c r="R8" s="23"/>
    </row>
    <row r="9" spans="1:18" x14ac:dyDescent="0.25">
      <c r="A9" s="3">
        <v>2</v>
      </c>
      <c r="B9" s="3" t="s">
        <v>326</v>
      </c>
      <c r="C9" s="3" t="s">
        <v>53</v>
      </c>
      <c r="D9" s="3" t="s">
        <v>279</v>
      </c>
      <c r="E9" s="14">
        <f>E8+1</f>
        <v>30002</v>
      </c>
      <c r="F9" s="22" t="str">
        <f>"4"&amp;$E9&amp;".1"</f>
        <v>430002.1</v>
      </c>
      <c r="G9" s="22"/>
      <c r="H9" s="22" t="str">
        <f>"4"&amp;$E9&amp;".3"</f>
        <v>430002.3</v>
      </c>
      <c r="I9" s="22"/>
      <c r="J9" s="22"/>
      <c r="K9" s="22"/>
      <c r="L9" s="22"/>
      <c r="M9" s="22"/>
      <c r="N9" s="22"/>
      <c r="O9" s="22" t="str">
        <f>"4"&amp;$E9&amp;".10"</f>
        <v>430002.10</v>
      </c>
      <c r="P9" s="22" t="str">
        <f>"4"&amp;$E9&amp;".11"</f>
        <v>430002.11</v>
      </c>
      <c r="Q9" s="22" t="str">
        <f>"4"&amp;$E9&amp;".12"</f>
        <v>430002.12</v>
      </c>
      <c r="R9" s="22"/>
    </row>
    <row r="10" spans="1:18" x14ac:dyDescent="0.25">
      <c r="A10" s="3">
        <v>3</v>
      </c>
      <c r="B10" s="3" t="s">
        <v>326</v>
      </c>
      <c r="C10" s="3" t="s">
        <v>242</v>
      </c>
      <c r="D10" s="3" t="s">
        <v>293</v>
      </c>
      <c r="E10" s="14">
        <f t="shared" ref="E10:E75" si="0">E9+1</f>
        <v>30003</v>
      </c>
      <c r="F10" s="22"/>
      <c r="G10" s="22"/>
      <c r="H10" s="24"/>
      <c r="I10" s="22" t="str">
        <f>"4"&amp;$E10&amp;".4"</f>
        <v>430003.4</v>
      </c>
      <c r="J10" s="24"/>
      <c r="K10" s="24"/>
      <c r="L10" s="24"/>
      <c r="M10" s="24"/>
      <c r="N10" s="24"/>
      <c r="O10" s="24"/>
      <c r="P10" s="24"/>
      <c r="Q10" s="24"/>
      <c r="R10" s="22"/>
    </row>
    <row r="11" spans="1:18" x14ac:dyDescent="0.25">
      <c r="A11" s="3">
        <v>4</v>
      </c>
      <c r="B11" s="3" t="s">
        <v>326</v>
      </c>
      <c r="C11" s="3" t="s">
        <v>250</v>
      </c>
      <c r="D11" s="3" t="s">
        <v>301</v>
      </c>
      <c r="E11" s="14">
        <f t="shared" si="0"/>
        <v>30004</v>
      </c>
      <c r="F11" s="22" t="str">
        <f t="shared" ref="F11:F25" si="1">"4"&amp;$E11&amp;".1"</f>
        <v>430004.1</v>
      </c>
      <c r="G11" s="22" t="str">
        <f>"4"&amp;$E11&amp;".2"</f>
        <v>430004.2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2"/>
    </row>
    <row r="12" spans="1:18" x14ac:dyDescent="0.25">
      <c r="A12" s="3">
        <v>6</v>
      </c>
      <c r="B12" s="3" t="s">
        <v>326</v>
      </c>
      <c r="C12" s="3" t="s">
        <v>69</v>
      </c>
      <c r="D12" s="3" t="s">
        <v>315</v>
      </c>
      <c r="E12" s="14">
        <f t="shared" si="0"/>
        <v>30005</v>
      </c>
      <c r="F12" s="22" t="str">
        <f t="shared" si="1"/>
        <v>430005.1</v>
      </c>
      <c r="G12" s="22"/>
      <c r="H12" s="22" t="str">
        <f t="shared" ref="H12:H18" si="2">"4"&amp;$E12&amp;".3"</f>
        <v>430005.3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</row>
    <row r="13" spans="1:18" x14ac:dyDescent="0.25">
      <c r="A13" s="3">
        <v>7</v>
      </c>
      <c r="B13" s="3" t="s">
        <v>326</v>
      </c>
      <c r="C13" s="3" t="s">
        <v>70</v>
      </c>
      <c r="D13" s="3" t="s">
        <v>315</v>
      </c>
      <c r="E13" s="14">
        <f t="shared" si="0"/>
        <v>30006</v>
      </c>
      <c r="F13" s="22" t="str">
        <f t="shared" si="1"/>
        <v>430006.1</v>
      </c>
      <c r="G13" s="22"/>
      <c r="H13" s="22" t="str">
        <f t="shared" si="2"/>
        <v>430006.3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spans="1:18" x14ac:dyDescent="0.25">
      <c r="A14" s="3">
        <v>8</v>
      </c>
      <c r="B14" s="3" t="s">
        <v>326</v>
      </c>
      <c r="C14" s="3" t="s">
        <v>71</v>
      </c>
      <c r="D14" s="3" t="s">
        <v>315</v>
      </c>
      <c r="E14" s="14">
        <f t="shared" si="0"/>
        <v>30007</v>
      </c>
      <c r="F14" s="22" t="str">
        <f t="shared" si="1"/>
        <v>430007.1</v>
      </c>
      <c r="G14" s="22"/>
      <c r="H14" s="22" t="str">
        <f t="shared" si="2"/>
        <v>430007.3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</row>
    <row r="15" spans="1:18" x14ac:dyDescent="0.25">
      <c r="A15" s="3">
        <v>9</v>
      </c>
      <c r="B15" s="3" t="s">
        <v>326</v>
      </c>
      <c r="C15" s="3" t="s">
        <v>72</v>
      </c>
      <c r="D15" s="3" t="s">
        <v>315</v>
      </c>
      <c r="E15" s="14">
        <f t="shared" si="0"/>
        <v>30008</v>
      </c>
      <c r="F15" s="22" t="str">
        <f t="shared" si="1"/>
        <v>430008.1</v>
      </c>
      <c r="G15" s="22"/>
      <c r="H15" s="22" t="str">
        <f t="shared" si="2"/>
        <v>430008.3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 x14ac:dyDescent="0.25">
      <c r="A16" s="3">
        <v>10</v>
      </c>
      <c r="B16" s="3" t="s">
        <v>326</v>
      </c>
      <c r="C16" s="3" t="s">
        <v>73</v>
      </c>
      <c r="D16" s="3" t="s">
        <v>315</v>
      </c>
      <c r="E16" s="14">
        <f t="shared" si="0"/>
        <v>30009</v>
      </c>
      <c r="F16" s="22" t="str">
        <f t="shared" si="1"/>
        <v>430009.1</v>
      </c>
      <c r="G16" s="22"/>
      <c r="H16" s="22" t="str">
        <f t="shared" si="2"/>
        <v>430009.3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 x14ac:dyDescent="0.25">
      <c r="A17" s="3">
        <v>11</v>
      </c>
      <c r="B17" s="3" t="s">
        <v>326</v>
      </c>
      <c r="C17" s="3" t="s">
        <v>74</v>
      </c>
      <c r="D17" s="3" t="s">
        <v>315</v>
      </c>
      <c r="E17" s="14">
        <f t="shared" si="0"/>
        <v>30010</v>
      </c>
      <c r="F17" s="22" t="str">
        <f t="shared" si="1"/>
        <v>430010.1</v>
      </c>
      <c r="G17" s="22"/>
      <c r="H17" s="22" t="str">
        <f t="shared" si="2"/>
        <v>430010.3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x14ac:dyDescent="0.25">
      <c r="A18" s="3">
        <v>12</v>
      </c>
      <c r="B18" s="3" t="s">
        <v>326</v>
      </c>
      <c r="C18" s="3" t="s">
        <v>75</v>
      </c>
      <c r="D18" s="3" t="s">
        <v>315</v>
      </c>
      <c r="E18" s="14">
        <f t="shared" si="0"/>
        <v>30011</v>
      </c>
      <c r="F18" s="22" t="str">
        <f t="shared" si="1"/>
        <v>430011.1</v>
      </c>
      <c r="G18" s="22"/>
      <c r="H18" s="22" t="str">
        <f t="shared" si="2"/>
        <v>430011.3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x14ac:dyDescent="0.25">
      <c r="A19" s="3">
        <v>14</v>
      </c>
      <c r="B19" s="3" t="s">
        <v>326</v>
      </c>
      <c r="C19" s="3" t="s">
        <v>260</v>
      </c>
      <c r="D19" s="3" t="s">
        <v>311</v>
      </c>
      <c r="E19" s="14">
        <f t="shared" si="0"/>
        <v>30012</v>
      </c>
      <c r="F19" s="22" t="str">
        <f t="shared" si="1"/>
        <v>430012.1</v>
      </c>
      <c r="G19" s="22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2"/>
    </row>
    <row r="20" spans="1:18" x14ac:dyDescent="0.25">
      <c r="A20" s="3">
        <v>15</v>
      </c>
      <c r="B20" s="3" t="s">
        <v>326</v>
      </c>
      <c r="C20" s="3" t="s">
        <v>76</v>
      </c>
      <c r="D20" s="3" t="s">
        <v>311</v>
      </c>
      <c r="E20" s="14">
        <f t="shared" si="0"/>
        <v>30013</v>
      </c>
      <c r="F20" s="22" t="str">
        <f t="shared" si="1"/>
        <v>430013.1</v>
      </c>
      <c r="G20" s="22"/>
      <c r="H20" s="22" t="str">
        <f t="shared" ref="H20:H25" si="3">"4"&amp;$E20&amp;".3"</f>
        <v>430013.3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x14ac:dyDescent="0.25">
      <c r="A21" s="3">
        <v>16</v>
      </c>
      <c r="B21" s="3" t="s">
        <v>326</v>
      </c>
      <c r="C21" s="3" t="s">
        <v>77</v>
      </c>
      <c r="D21" s="3" t="s">
        <v>311</v>
      </c>
      <c r="E21" s="14">
        <f t="shared" si="0"/>
        <v>30014</v>
      </c>
      <c r="F21" s="22" t="str">
        <f t="shared" si="1"/>
        <v>430014.1</v>
      </c>
      <c r="G21" s="22"/>
      <c r="H21" s="22" t="str">
        <f t="shared" si="3"/>
        <v>430014.3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x14ac:dyDescent="0.25">
      <c r="A22" s="3">
        <v>17</v>
      </c>
      <c r="B22" s="3" t="s">
        <v>326</v>
      </c>
      <c r="C22" s="3" t="s">
        <v>78</v>
      </c>
      <c r="D22" s="3" t="s">
        <v>311</v>
      </c>
      <c r="E22" s="14">
        <f t="shared" si="0"/>
        <v>30015</v>
      </c>
      <c r="F22" s="22" t="str">
        <f t="shared" si="1"/>
        <v>430015.1</v>
      </c>
      <c r="G22" s="22"/>
      <c r="H22" s="22" t="str">
        <f t="shared" si="3"/>
        <v>430015.3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x14ac:dyDescent="0.25">
      <c r="A23" s="3">
        <v>18</v>
      </c>
      <c r="B23" s="3" t="s">
        <v>326</v>
      </c>
      <c r="C23" s="3" t="s">
        <v>79</v>
      </c>
      <c r="D23" s="3" t="s">
        <v>311</v>
      </c>
      <c r="E23" s="14">
        <f t="shared" si="0"/>
        <v>30016</v>
      </c>
      <c r="F23" s="22" t="str">
        <f t="shared" si="1"/>
        <v>430016.1</v>
      </c>
      <c r="G23" s="22"/>
      <c r="H23" s="22" t="str">
        <f t="shared" si="3"/>
        <v>430016.3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x14ac:dyDescent="0.25">
      <c r="A24" s="3">
        <v>19</v>
      </c>
      <c r="B24" s="3" t="s">
        <v>326</v>
      </c>
      <c r="C24" s="3" t="s">
        <v>80</v>
      </c>
      <c r="D24" s="3" t="s">
        <v>311</v>
      </c>
      <c r="E24" s="14">
        <f t="shared" si="0"/>
        <v>30017</v>
      </c>
      <c r="F24" s="22" t="str">
        <f t="shared" si="1"/>
        <v>430017.1</v>
      </c>
      <c r="G24" s="22"/>
      <c r="H24" s="22" t="str">
        <f t="shared" si="3"/>
        <v>430017.3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x14ac:dyDescent="0.25">
      <c r="A25" s="3">
        <v>20</v>
      </c>
      <c r="B25" s="3" t="s">
        <v>326</v>
      </c>
      <c r="C25" s="3" t="s">
        <v>54</v>
      </c>
      <c r="D25" s="3" t="s">
        <v>280</v>
      </c>
      <c r="E25" s="14">
        <f t="shared" si="0"/>
        <v>30018</v>
      </c>
      <c r="F25" s="22" t="str">
        <f t="shared" si="1"/>
        <v>430018.1</v>
      </c>
      <c r="G25" s="22"/>
      <c r="H25" s="22" t="str">
        <f t="shared" si="3"/>
        <v>430018.3</v>
      </c>
      <c r="I25" s="22"/>
      <c r="J25" s="22"/>
      <c r="K25" s="22"/>
      <c r="L25" s="22"/>
      <c r="M25" s="22"/>
      <c r="N25" s="22"/>
      <c r="O25" s="22" t="str">
        <f>"4"&amp;$E25&amp;".10"</f>
        <v>430018.10</v>
      </c>
      <c r="P25" s="22" t="str">
        <f>"4"&amp;$E25&amp;".11"</f>
        <v>430018.11</v>
      </c>
      <c r="Q25" s="22" t="str">
        <f>"4"&amp;$E25&amp;".12"</f>
        <v>430018.12</v>
      </c>
      <c r="R25" s="22"/>
    </row>
    <row r="26" spans="1:18" x14ac:dyDescent="0.25">
      <c r="A26" s="3">
        <v>22</v>
      </c>
      <c r="B26" s="3" t="s">
        <v>326</v>
      </c>
      <c r="C26" s="3" t="s">
        <v>243</v>
      </c>
      <c r="D26" s="3" t="s">
        <v>294</v>
      </c>
      <c r="E26" s="14">
        <f t="shared" si="0"/>
        <v>30019</v>
      </c>
      <c r="F26" s="22"/>
      <c r="G26" s="22"/>
      <c r="H26" s="24"/>
      <c r="I26" s="22" t="str">
        <f>"4"&amp;$E26&amp;".4"</f>
        <v>430019.4</v>
      </c>
      <c r="J26" s="24"/>
      <c r="K26" s="24"/>
      <c r="L26" s="24"/>
      <c r="M26" s="24"/>
      <c r="N26" s="24"/>
      <c r="O26" s="24"/>
      <c r="P26" s="24"/>
      <c r="Q26" s="24"/>
      <c r="R26" s="22"/>
    </row>
    <row r="27" spans="1:18" x14ac:dyDescent="0.25">
      <c r="A27" s="3">
        <v>23</v>
      </c>
      <c r="B27" s="3" t="s">
        <v>326</v>
      </c>
      <c r="C27" s="3" t="s">
        <v>251</v>
      </c>
      <c r="D27" s="3" t="s">
        <v>302</v>
      </c>
      <c r="E27" s="14">
        <f t="shared" si="0"/>
        <v>30020</v>
      </c>
      <c r="F27" s="22" t="str">
        <f t="shared" ref="F27:F60" si="4">"4"&amp;$E27&amp;".1"</f>
        <v>430020.1</v>
      </c>
      <c r="G27" s="22" t="str">
        <f>"4"&amp;$E27&amp;".2"</f>
        <v>430020.2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2"/>
    </row>
    <row r="28" spans="1:18" x14ac:dyDescent="0.25">
      <c r="A28" s="3">
        <v>24</v>
      </c>
      <c r="B28" s="3" t="s">
        <v>326</v>
      </c>
      <c r="C28" s="3" t="s">
        <v>81</v>
      </c>
      <c r="D28" s="3" t="s">
        <v>280</v>
      </c>
      <c r="E28" s="14">
        <f t="shared" si="0"/>
        <v>30021</v>
      </c>
      <c r="F28" s="22" t="str">
        <f t="shared" si="4"/>
        <v>430021.1</v>
      </c>
      <c r="G28" s="22"/>
      <c r="H28" s="22" t="str">
        <f t="shared" ref="H28:H60" si="5">"4"&amp;$E28&amp;".3"</f>
        <v>430021.3</v>
      </c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1:18" x14ac:dyDescent="0.25">
      <c r="A29" s="3">
        <v>25</v>
      </c>
      <c r="B29" s="3" t="s">
        <v>326</v>
      </c>
      <c r="C29" s="3" t="s">
        <v>82</v>
      </c>
      <c r="D29" s="3" t="s">
        <v>280</v>
      </c>
      <c r="E29" s="14">
        <f t="shared" si="0"/>
        <v>30022</v>
      </c>
      <c r="F29" s="22" t="str">
        <f t="shared" si="4"/>
        <v>430022.1</v>
      </c>
      <c r="G29" s="22"/>
      <c r="H29" s="22" t="str">
        <f t="shared" si="5"/>
        <v>430022.3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</row>
    <row r="30" spans="1:18" x14ac:dyDescent="0.25">
      <c r="A30" s="3">
        <v>26</v>
      </c>
      <c r="B30" s="3" t="s">
        <v>326</v>
      </c>
      <c r="C30" s="3" t="s">
        <v>83</v>
      </c>
      <c r="D30" s="3" t="s">
        <v>280</v>
      </c>
      <c r="E30" s="14">
        <f t="shared" si="0"/>
        <v>30023</v>
      </c>
      <c r="F30" s="22" t="str">
        <f t="shared" si="4"/>
        <v>430023.1</v>
      </c>
      <c r="G30" s="22"/>
      <c r="H30" s="22" t="str">
        <f t="shared" si="5"/>
        <v>430023.3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</row>
    <row r="31" spans="1:18" x14ac:dyDescent="0.25">
      <c r="A31" s="3">
        <v>27</v>
      </c>
      <c r="B31" s="3" t="s">
        <v>326</v>
      </c>
      <c r="C31" s="3" t="s">
        <v>84</v>
      </c>
      <c r="D31" s="3" t="s">
        <v>280</v>
      </c>
      <c r="E31" s="14">
        <f t="shared" si="0"/>
        <v>30024</v>
      </c>
      <c r="F31" s="22" t="str">
        <f t="shared" si="4"/>
        <v>430024.1</v>
      </c>
      <c r="G31" s="22"/>
      <c r="H31" s="22" t="str">
        <f t="shared" si="5"/>
        <v>430024.3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 spans="1:18" x14ac:dyDescent="0.25">
      <c r="A32" s="3">
        <v>28</v>
      </c>
      <c r="B32" s="3" t="s">
        <v>326</v>
      </c>
      <c r="C32" s="3" t="s">
        <v>85</v>
      </c>
      <c r="D32" s="3" t="s">
        <v>280</v>
      </c>
      <c r="E32" s="14">
        <f t="shared" si="0"/>
        <v>30025</v>
      </c>
      <c r="F32" s="22" t="str">
        <f t="shared" si="4"/>
        <v>430025.1</v>
      </c>
      <c r="G32" s="22"/>
      <c r="H32" s="22" t="str">
        <f t="shared" si="5"/>
        <v>430025.3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</row>
    <row r="33" spans="1:18" x14ac:dyDescent="0.25">
      <c r="A33" s="3">
        <v>30</v>
      </c>
      <c r="B33" s="3" t="s">
        <v>326</v>
      </c>
      <c r="C33" s="3" t="s">
        <v>86</v>
      </c>
      <c r="D33" s="3" t="s">
        <v>316</v>
      </c>
      <c r="E33" s="14">
        <f t="shared" si="0"/>
        <v>30026</v>
      </c>
      <c r="F33" s="22" t="str">
        <f t="shared" si="4"/>
        <v>430026.1</v>
      </c>
      <c r="G33" s="22"/>
      <c r="H33" s="22" t="str">
        <f t="shared" si="5"/>
        <v>430026.3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</row>
    <row r="34" spans="1:18" x14ac:dyDescent="0.25">
      <c r="A34" s="3">
        <v>31</v>
      </c>
      <c r="B34" s="3" t="s">
        <v>326</v>
      </c>
      <c r="C34" s="3" t="s">
        <v>87</v>
      </c>
      <c r="D34" s="3" t="s">
        <v>316</v>
      </c>
      <c r="E34" s="14">
        <f t="shared" si="0"/>
        <v>30027</v>
      </c>
      <c r="F34" s="22" t="str">
        <f t="shared" si="4"/>
        <v>430027.1</v>
      </c>
      <c r="G34" s="22"/>
      <c r="H34" s="22" t="str">
        <f t="shared" si="5"/>
        <v>430027.3</v>
      </c>
      <c r="I34" s="22"/>
      <c r="J34" s="22"/>
      <c r="K34" s="22"/>
      <c r="L34" s="22"/>
      <c r="M34" s="22"/>
      <c r="N34" s="22"/>
      <c r="O34" s="22"/>
      <c r="P34" s="22"/>
      <c r="Q34" s="22"/>
      <c r="R34" s="22"/>
    </row>
    <row r="35" spans="1:18" x14ac:dyDescent="0.25">
      <c r="A35" s="3">
        <v>32</v>
      </c>
      <c r="B35" s="3" t="s">
        <v>326</v>
      </c>
      <c r="C35" s="3" t="s">
        <v>88</v>
      </c>
      <c r="D35" s="3" t="s">
        <v>316</v>
      </c>
      <c r="E35" s="14">
        <f t="shared" si="0"/>
        <v>30028</v>
      </c>
      <c r="F35" s="22" t="str">
        <f t="shared" si="4"/>
        <v>430028.1</v>
      </c>
      <c r="G35" s="22"/>
      <c r="H35" s="22" t="str">
        <f t="shared" si="5"/>
        <v>430028.3</v>
      </c>
      <c r="I35" s="22"/>
      <c r="J35" s="22"/>
      <c r="K35" s="22"/>
      <c r="L35" s="22"/>
      <c r="M35" s="22"/>
      <c r="N35" s="22"/>
      <c r="O35" s="22"/>
      <c r="P35" s="22"/>
      <c r="Q35" s="22"/>
      <c r="R35" s="22"/>
    </row>
    <row r="36" spans="1:18" x14ac:dyDescent="0.25">
      <c r="A36" s="3">
        <v>33</v>
      </c>
      <c r="B36" s="3" t="s">
        <v>326</v>
      </c>
      <c r="C36" s="3" t="s">
        <v>89</v>
      </c>
      <c r="D36" s="3" t="s">
        <v>316</v>
      </c>
      <c r="E36" s="14">
        <f t="shared" si="0"/>
        <v>30029</v>
      </c>
      <c r="F36" s="22" t="str">
        <f t="shared" si="4"/>
        <v>430029.1</v>
      </c>
      <c r="G36" s="22"/>
      <c r="H36" s="22" t="str">
        <f t="shared" si="5"/>
        <v>430029.3</v>
      </c>
      <c r="I36" s="22"/>
      <c r="J36" s="22"/>
      <c r="K36" s="22"/>
      <c r="L36" s="22"/>
      <c r="M36" s="22"/>
      <c r="N36" s="22"/>
      <c r="O36" s="22"/>
      <c r="P36" s="22"/>
      <c r="Q36" s="22"/>
      <c r="R36" s="22"/>
    </row>
    <row r="37" spans="1:18" x14ac:dyDescent="0.25">
      <c r="A37" s="3">
        <v>34</v>
      </c>
      <c r="B37" s="3" t="s">
        <v>326</v>
      </c>
      <c r="C37" s="3" t="s">
        <v>90</v>
      </c>
      <c r="D37" s="3" t="s">
        <v>316</v>
      </c>
      <c r="E37" s="14">
        <f t="shared" si="0"/>
        <v>30030</v>
      </c>
      <c r="F37" s="22" t="str">
        <f t="shared" si="4"/>
        <v>430030.1</v>
      </c>
      <c r="G37" s="22"/>
      <c r="H37" s="22" t="str">
        <f t="shared" si="5"/>
        <v>430030.3</v>
      </c>
      <c r="I37" s="22"/>
      <c r="J37" s="22"/>
      <c r="K37" s="22"/>
      <c r="L37" s="22"/>
      <c r="M37" s="22"/>
      <c r="N37" s="22"/>
      <c r="O37" s="22"/>
      <c r="P37" s="22"/>
      <c r="Q37" s="22"/>
      <c r="R37" s="22"/>
    </row>
    <row r="38" spans="1:18" x14ac:dyDescent="0.25">
      <c r="A38" s="3">
        <v>35</v>
      </c>
      <c r="B38" s="3" t="s">
        <v>326</v>
      </c>
      <c r="C38" s="3" t="s">
        <v>91</v>
      </c>
      <c r="D38" s="3" t="s">
        <v>316</v>
      </c>
      <c r="E38" s="14">
        <f t="shared" si="0"/>
        <v>30031</v>
      </c>
      <c r="F38" s="22" t="str">
        <f t="shared" si="4"/>
        <v>430031.1</v>
      </c>
      <c r="G38" s="22"/>
      <c r="H38" s="22" t="str">
        <f t="shared" si="5"/>
        <v>430031.3</v>
      </c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1:18" x14ac:dyDescent="0.25">
      <c r="A39" s="3">
        <v>36</v>
      </c>
      <c r="B39" s="3" t="s">
        <v>326</v>
      </c>
      <c r="C39" s="3" t="s">
        <v>92</v>
      </c>
      <c r="D39" s="3" t="s">
        <v>316</v>
      </c>
      <c r="E39" s="14">
        <f t="shared" si="0"/>
        <v>30032</v>
      </c>
      <c r="F39" s="22" t="str">
        <f t="shared" si="4"/>
        <v>430032.1</v>
      </c>
      <c r="G39" s="22"/>
      <c r="H39" s="22" t="str">
        <f t="shared" si="5"/>
        <v>430032.3</v>
      </c>
      <c r="I39" s="22"/>
      <c r="J39" s="22"/>
      <c r="K39" s="22"/>
      <c r="L39" s="22"/>
      <c r="M39" s="22"/>
      <c r="N39" s="22"/>
      <c r="O39" s="22"/>
      <c r="P39" s="22"/>
      <c r="Q39" s="22"/>
      <c r="R39" s="22"/>
    </row>
    <row r="40" spans="1:18" x14ac:dyDescent="0.25">
      <c r="A40" s="3">
        <v>37</v>
      </c>
      <c r="B40" s="3" t="s">
        <v>326</v>
      </c>
      <c r="C40" s="3" t="s">
        <v>93</v>
      </c>
      <c r="D40" s="3" t="s">
        <v>316</v>
      </c>
      <c r="E40" s="14">
        <f t="shared" si="0"/>
        <v>30033</v>
      </c>
      <c r="F40" s="22" t="str">
        <f t="shared" si="4"/>
        <v>430033.1</v>
      </c>
      <c r="G40" s="22"/>
      <c r="H40" s="22" t="str">
        <f t="shared" si="5"/>
        <v>430033.3</v>
      </c>
      <c r="I40" s="22"/>
      <c r="J40" s="22"/>
      <c r="K40" s="22"/>
      <c r="L40" s="22"/>
      <c r="M40" s="22"/>
      <c r="N40" s="22"/>
      <c r="O40" s="22"/>
      <c r="P40" s="22"/>
      <c r="Q40" s="22"/>
      <c r="R40" s="22"/>
    </row>
    <row r="41" spans="1:18" x14ac:dyDescent="0.25">
      <c r="A41" s="3">
        <v>38</v>
      </c>
      <c r="B41" s="3" t="s">
        <v>326</v>
      </c>
      <c r="C41" s="3" t="s">
        <v>94</v>
      </c>
      <c r="D41" s="3" t="s">
        <v>316</v>
      </c>
      <c r="E41" s="14">
        <f t="shared" si="0"/>
        <v>30034</v>
      </c>
      <c r="F41" s="22" t="str">
        <f t="shared" si="4"/>
        <v>430034.1</v>
      </c>
      <c r="G41" s="22"/>
      <c r="H41" s="22" t="str">
        <f t="shared" si="5"/>
        <v>430034.3</v>
      </c>
      <c r="I41" s="22"/>
      <c r="J41" s="22"/>
      <c r="K41" s="22"/>
      <c r="L41" s="22"/>
      <c r="M41" s="22"/>
      <c r="N41" s="22"/>
      <c r="O41" s="22"/>
      <c r="P41" s="22"/>
      <c r="Q41" s="22"/>
      <c r="R41" s="22"/>
    </row>
    <row r="42" spans="1:18" x14ac:dyDescent="0.25">
      <c r="A42" s="3">
        <v>41</v>
      </c>
      <c r="B42" s="3" t="s">
        <v>326</v>
      </c>
      <c r="C42" s="6" t="s">
        <v>95</v>
      </c>
      <c r="D42" s="6" t="s">
        <v>317</v>
      </c>
      <c r="E42" s="17">
        <f t="shared" si="0"/>
        <v>30035</v>
      </c>
      <c r="F42" s="22" t="str">
        <f t="shared" si="4"/>
        <v>430035.1</v>
      </c>
      <c r="G42" s="22"/>
      <c r="H42" s="22" t="str">
        <f t="shared" si="5"/>
        <v>430035.3</v>
      </c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1:18" x14ac:dyDescent="0.25">
      <c r="A43" s="3">
        <v>42</v>
      </c>
      <c r="B43" s="3" t="s">
        <v>326</v>
      </c>
      <c r="C43" s="6" t="s">
        <v>96</v>
      </c>
      <c r="D43" s="6" t="s">
        <v>317</v>
      </c>
      <c r="E43" s="17">
        <f t="shared" si="0"/>
        <v>30036</v>
      </c>
      <c r="F43" s="22" t="str">
        <f t="shared" si="4"/>
        <v>430036.1</v>
      </c>
      <c r="G43" s="22"/>
      <c r="H43" s="22" t="str">
        <f t="shared" si="5"/>
        <v>430036.3</v>
      </c>
      <c r="I43" s="22"/>
      <c r="J43" s="22"/>
      <c r="K43" s="22"/>
      <c r="L43" s="22"/>
      <c r="M43" s="22"/>
      <c r="N43" s="22"/>
      <c r="O43" s="22"/>
      <c r="P43" s="22"/>
      <c r="Q43" s="22"/>
      <c r="R43" s="22"/>
    </row>
    <row r="44" spans="1:18" x14ac:dyDescent="0.25">
      <c r="A44" s="3">
        <v>43</v>
      </c>
      <c r="B44" s="3" t="s">
        <v>326</v>
      </c>
      <c r="C44" s="6" t="s">
        <v>97</v>
      </c>
      <c r="D44" s="6" t="s">
        <v>317</v>
      </c>
      <c r="E44" s="17">
        <f t="shared" si="0"/>
        <v>30037</v>
      </c>
      <c r="F44" s="22" t="str">
        <f t="shared" si="4"/>
        <v>430037.1</v>
      </c>
      <c r="G44" s="22"/>
      <c r="H44" s="22" t="str">
        <f t="shared" si="5"/>
        <v>430037.3</v>
      </c>
      <c r="I44" s="22"/>
      <c r="J44" s="22"/>
      <c r="K44" s="22"/>
      <c r="L44" s="22"/>
      <c r="M44" s="22"/>
      <c r="N44" s="22"/>
      <c r="O44" s="22"/>
      <c r="P44" s="22"/>
      <c r="Q44" s="22"/>
      <c r="R44" s="22"/>
    </row>
    <row r="45" spans="1:18" x14ac:dyDescent="0.25">
      <c r="A45" s="3">
        <v>44</v>
      </c>
      <c r="B45" s="3" t="s">
        <v>326</v>
      </c>
      <c r="C45" s="6" t="s">
        <v>98</v>
      </c>
      <c r="D45" s="6" t="s">
        <v>317</v>
      </c>
      <c r="E45" s="17">
        <f t="shared" si="0"/>
        <v>30038</v>
      </c>
      <c r="F45" s="22" t="str">
        <f t="shared" si="4"/>
        <v>430038.1</v>
      </c>
      <c r="G45" s="22"/>
      <c r="H45" s="22" t="str">
        <f t="shared" si="5"/>
        <v>430038.3</v>
      </c>
      <c r="I45" s="22"/>
      <c r="J45" s="22"/>
      <c r="K45" s="22"/>
      <c r="L45" s="22"/>
      <c r="M45" s="22"/>
      <c r="N45" s="22"/>
      <c r="O45" s="22"/>
      <c r="P45" s="22"/>
      <c r="Q45" s="22"/>
      <c r="R45" s="22"/>
    </row>
    <row r="46" spans="1:18" x14ac:dyDescent="0.25">
      <c r="A46" s="3">
        <v>45</v>
      </c>
      <c r="B46" s="3" t="s">
        <v>326</v>
      </c>
      <c r="C46" s="6" t="s">
        <v>99</v>
      </c>
      <c r="D46" s="6" t="s">
        <v>317</v>
      </c>
      <c r="E46" s="17">
        <f t="shared" si="0"/>
        <v>30039</v>
      </c>
      <c r="F46" s="22" t="str">
        <f t="shared" si="4"/>
        <v>430039.1</v>
      </c>
      <c r="G46" s="22"/>
      <c r="H46" s="22" t="str">
        <f t="shared" si="5"/>
        <v>430039.3</v>
      </c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1:18" x14ac:dyDescent="0.25">
      <c r="A47" s="3">
        <v>46</v>
      </c>
      <c r="B47" s="3" t="s">
        <v>326</v>
      </c>
      <c r="C47" s="6" t="s">
        <v>100</v>
      </c>
      <c r="D47" s="6" t="s">
        <v>317</v>
      </c>
      <c r="E47" s="17">
        <f t="shared" si="0"/>
        <v>30040</v>
      </c>
      <c r="F47" s="22" t="str">
        <f t="shared" si="4"/>
        <v>430040.1</v>
      </c>
      <c r="G47" s="22"/>
      <c r="H47" s="22" t="str">
        <f t="shared" si="5"/>
        <v>430040.3</v>
      </c>
      <c r="I47" s="22"/>
      <c r="J47" s="22"/>
      <c r="K47" s="22"/>
      <c r="L47" s="22"/>
      <c r="M47" s="22"/>
      <c r="N47" s="22"/>
      <c r="O47" s="22"/>
      <c r="P47" s="22"/>
      <c r="Q47" s="22"/>
      <c r="R47" s="22"/>
    </row>
    <row r="48" spans="1:18" x14ac:dyDescent="0.25">
      <c r="A48" s="3">
        <v>47</v>
      </c>
      <c r="B48" s="3" t="s">
        <v>326</v>
      </c>
      <c r="C48" s="6" t="s">
        <v>101</v>
      </c>
      <c r="D48" s="6" t="s">
        <v>317</v>
      </c>
      <c r="E48" s="17">
        <f t="shared" si="0"/>
        <v>30041</v>
      </c>
      <c r="F48" s="22" t="str">
        <f t="shared" si="4"/>
        <v>430041.1</v>
      </c>
      <c r="G48" s="22"/>
      <c r="H48" s="22" t="str">
        <f t="shared" si="5"/>
        <v>430041.3</v>
      </c>
      <c r="I48" s="22"/>
      <c r="J48" s="22"/>
      <c r="K48" s="22"/>
      <c r="L48" s="22"/>
      <c r="M48" s="22"/>
      <c r="N48" s="22"/>
      <c r="O48" s="22"/>
      <c r="P48" s="22"/>
      <c r="Q48" s="22"/>
      <c r="R48" s="22"/>
    </row>
    <row r="49" spans="1:18" x14ac:dyDescent="0.25">
      <c r="A49" s="3">
        <v>48</v>
      </c>
      <c r="B49" s="3" t="s">
        <v>326</v>
      </c>
      <c r="C49" s="6" t="s">
        <v>547</v>
      </c>
      <c r="D49" s="6" t="s">
        <v>317</v>
      </c>
      <c r="E49" s="17">
        <f t="shared" si="0"/>
        <v>30042</v>
      </c>
      <c r="F49" s="22" t="str">
        <f t="shared" si="4"/>
        <v>430042.1</v>
      </c>
      <c r="G49" s="22"/>
      <c r="H49" s="22" t="str">
        <f t="shared" si="5"/>
        <v>430042.3</v>
      </c>
      <c r="I49" s="22"/>
      <c r="J49" s="22"/>
      <c r="K49" s="22"/>
      <c r="L49" s="22"/>
      <c r="M49" s="22"/>
      <c r="N49" s="22"/>
      <c r="O49" s="22"/>
      <c r="P49" s="22"/>
      <c r="Q49" s="22"/>
      <c r="R49" s="22"/>
    </row>
    <row r="50" spans="1:18" x14ac:dyDescent="0.25">
      <c r="A50" s="3">
        <v>49</v>
      </c>
      <c r="B50" s="3" t="s">
        <v>326</v>
      </c>
      <c r="C50" s="6" t="s">
        <v>549</v>
      </c>
      <c r="D50" s="6" t="s">
        <v>317</v>
      </c>
      <c r="E50" s="17">
        <f t="shared" si="0"/>
        <v>30043</v>
      </c>
      <c r="F50" s="22" t="str">
        <f t="shared" si="4"/>
        <v>430043.1</v>
      </c>
      <c r="G50" s="22"/>
      <c r="H50" s="22" t="str">
        <f t="shared" si="5"/>
        <v>430043.3</v>
      </c>
      <c r="I50" s="22"/>
      <c r="J50" s="22"/>
      <c r="K50" s="22"/>
      <c r="L50" s="22"/>
      <c r="M50" s="22"/>
      <c r="N50" s="22"/>
      <c r="O50" s="22"/>
      <c r="P50" s="22"/>
      <c r="Q50" s="22"/>
      <c r="R50" s="22"/>
    </row>
    <row r="51" spans="1:18" x14ac:dyDescent="0.25">
      <c r="A51" s="3">
        <v>50</v>
      </c>
      <c r="B51" s="3" t="s">
        <v>326</v>
      </c>
      <c r="C51" s="6" t="s">
        <v>553</v>
      </c>
      <c r="D51" s="6" t="s">
        <v>551</v>
      </c>
      <c r="E51" s="17">
        <f t="shared" si="0"/>
        <v>30044</v>
      </c>
      <c r="F51" s="22" t="str">
        <f t="shared" si="4"/>
        <v>430044.1</v>
      </c>
      <c r="G51" s="22"/>
      <c r="H51" s="22" t="str">
        <f t="shared" si="5"/>
        <v>430044.3</v>
      </c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1:18" x14ac:dyDescent="0.25">
      <c r="A52" s="3">
        <v>51</v>
      </c>
      <c r="B52" s="3" t="s">
        <v>326</v>
      </c>
      <c r="C52" s="6" t="s">
        <v>554</v>
      </c>
      <c r="D52" s="6" t="s">
        <v>551</v>
      </c>
      <c r="E52" s="17">
        <f t="shared" si="0"/>
        <v>30045</v>
      </c>
      <c r="F52" s="22" t="str">
        <f t="shared" si="4"/>
        <v>430045.1</v>
      </c>
      <c r="G52" s="22"/>
      <c r="H52" s="22" t="str">
        <f t="shared" si="5"/>
        <v>430045.3</v>
      </c>
      <c r="I52" s="22"/>
      <c r="J52" s="22"/>
      <c r="K52" s="22"/>
      <c r="L52" s="22"/>
      <c r="M52" s="22"/>
      <c r="N52" s="22"/>
      <c r="O52" s="22"/>
      <c r="P52" s="22"/>
      <c r="Q52" s="22"/>
      <c r="R52" s="22"/>
    </row>
    <row r="53" spans="1:18" x14ac:dyDescent="0.25">
      <c r="A53" s="3">
        <v>52</v>
      </c>
      <c r="B53" s="3" t="s">
        <v>326</v>
      </c>
      <c r="C53" s="6" t="s">
        <v>555</v>
      </c>
      <c r="D53" s="6" t="s">
        <v>551</v>
      </c>
      <c r="E53" s="17">
        <f t="shared" si="0"/>
        <v>30046</v>
      </c>
      <c r="F53" s="22" t="str">
        <f t="shared" si="4"/>
        <v>430046.1</v>
      </c>
      <c r="G53" s="22"/>
      <c r="H53" s="22" t="str">
        <f t="shared" si="5"/>
        <v>430046.3</v>
      </c>
      <c r="I53" s="22"/>
      <c r="J53" s="22"/>
      <c r="K53" s="22"/>
      <c r="L53" s="22"/>
      <c r="M53" s="22"/>
      <c r="N53" s="22"/>
      <c r="O53" s="22"/>
      <c r="P53" s="22"/>
      <c r="Q53" s="22"/>
      <c r="R53" s="22"/>
    </row>
    <row r="54" spans="1:18" x14ac:dyDescent="0.25">
      <c r="A54" s="3">
        <v>53</v>
      </c>
      <c r="B54" s="3" t="s">
        <v>326</v>
      </c>
      <c r="C54" s="6" t="s">
        <v>556</v>
      </c>
      <c r="D54" s="6" t="s">
        <v>551</v>
      </c>
      <c r="E54" s="17">
        <f t="shared" si="0"/>
        <v>30047</v>
      </c>
      <c r="F54" s="22" t="str">
        <f t="shared" si="4"/>
        <v>430047.1</v>
      </c>
      <c r="G54" s="22"/>
      <c r="H54" s="22" t="str">
        <f t="shared" si="5"/>
        <v>430047.3</v>
      </c>
      <c r="I54" s="22"/>
      <c r="J54" s="22"/>
      <c r="K54" s="22"/>
      <c r="L54" s="22"/>
      <c r="M54" s="22"/>
      <c r="N54" s="22"/>
      <c r="O54" s="22"/>
      <c r="P54" s="22"/>
      <c r="Q54" s="22"/>
      <c r="R54" s="22"/>
    </row>
    <row r="55" spans="1:18" x14ac:dyDescent="0.25">
      <c r="A55" s="3">
        <v>54</v>
      </c>
      <c r="B55" s="3" t="s">
        <v>326</v>
      </c>
      <c r="C55" s="6" t="s">
        <v>557</v>
      </c>
      <c r="D55" s="6" t="s">
        <v>551</v>
      </c>
      <c r="E55" s="17">
        <f t="shared" si="0"/>
        <v>30048</v>
      </c>
      <c r="F55" s="22" t="str">
        <f t="shared" si="4"/>
        <v>430048.1</v>
      </c>
      <c r="G55" s="22"/>
      <c r="H55" s="22" t="str">
        <f t="shared" si="5"/>
        <v>430048.3</v>
      </c>
      <c r="I55" s="22"/>
      <c r="J55" s="22"/>
      <c r="K55" s="22"/>
      <c r="L55" s="22"/>
      <c r="M55" s="22"/>
      <c r="N55" s="22"/>
      <c r="O55" s="22"/>
      <c r="P55" s="22"/>
      <c r="Q55" s="22"/>
      <c r="R55" s="22"/>
    </row>
    <row r="56" spans="1:18" x14ac:dyDescent="0.25">
      <c r="A56" s="3">
        <v>55</v>
      </c>
      <c r="B56" s="3" t="s">
        <v>326</v>
      </c>
      <c r="C56" s="6" t="s">
        <v>558</v>
      </c>
      <c r="D56" s="6" t="s">
        <v>551</v>
      </c>
      <c r="E56" s="17">
        <f t="shared" si="0"/>
        <v>30049</v>
      </c>
      <c r="F56" s="22" t="str">
        <f t="shared" si="4"/>
        <v>430049.1</v>
      </c>
      <c r="G56" s="22"/>
      <c r="H56" s="22" t="str">
        <f t="shared" si="5"/>
        <v>430049.3</v>
      </c>
      <c r="I56" s="22"/>
      <c r="J56" s="22"/>
      <c r="K56" s="22"/>
      <c r="L56" s="22"/>
      <c r="M56" s="22"/>
      <c r="N56" s="22"/>
      <c r="O56" s="22"/>
      <c r="P56" s="22"/>
      <c r="Q56" s="22"/>
      <c r="R56" s="22"/>
    </row>
    <row r="57" spans="1:18" x14ac:dyDescent="0.25">
      <c r="A57" s="3">
        <v>56</v>
      </c>
      <c r="B57" s="3" t="s">
        <v>326</v>
      </c>
      <c r="C57" s="6" t="s">
        <v>559</v>
      </c>
      <c r="D57" s="6" t="s">
        <v>551</v>
      </c>
      <c r="E57" s="17">
        <f t="shared" si="0"/>
        <v>30050</v>
      </c>
      <c r="F57" s="22" t="str">
        <f t="shared" si="4"/>
        <v>430050.1</v>
      </c>
      <c r="G57" s="22"/>
      <c r="H57" s="22" t="str">
        <f t="shared" si="5"/>
        <v>430050.3</v>
      </c>
      <c r="I57" s="22"/>
      <c r="J57" s="22"/>
      <c r="K57" s="22"/>
      <c r="L57" s="22"/>
      <c r="M57" s="22"/>
      <c r="N57" s="22"/>
      <c r="O57" s="22"/>
      <c r="P57" s="22"/>
      <c r="Q57" s="22"/>
      <c r="R57" s="22"/>
    </row>
    <row r="58" spans="1:18" x14ac:dyDescent="0.25">
      <c r="A58" s="3">
        <v>57</v>
      </c>
      <c r="B58" s="3" t="s">
        <v>326</v>
      </c>
      <c r="C58" s="6" t="s">
        <v>560</v>
      </c>
      <c r="D58" s="6" t="s">
        <v>551</v>
      </c>
      <c r="E58" s="17">
        <f t="shared" si="0"/>
        <v>30051</v>
      </c>
      <c r="F58" s="22" t="str">
        <f t="shared" si="4"/>
        <v>430051.1</v>
      </c>
      <c r="G58" s="22"/>
      <c r="H58" s="22" t="str">
        <f t="shared" si="5"/>
        <v>430051.3</v>
      </c>
      <c r="I58" s="22"/>
      <c r="J58" s="22"/>
      <c r="K58" s="22"/>
      <c r="L58" s="22"/>
      <c r="M58" s="22"/>
      <c r="N58" s="22"/>
      <c r="O58" s="22"/>
      <c r="P58" s="22"/>
      <c r="Q58" s="22"/>
      <c r="R58" s="22"/>
    </row>
    <row r="59" spans="1:18" x14ac:dyDescent="0.25">
      <c r="A59" s="3">
        <v>58</v>
      </c>
      <c r="B59" s="3" t="s">
        <v>326</v>
      </c>
      <c r="C59" s="3" t="s">
        <v>55</v>
      </c>
      <c r="D59" s="3" t="s">
        <v>281</v>
      </c>
      <c r="E59" s="14">
        <f t="shared" si="0"/>
        <v>30052</v>
      </c>
      <c r="F59" s="22" t="str">
        <f t="shared" si="4"/>
        <v>430052.1</v>
      </c>
      <c r="G59" s="22"/>
      <c r="H59" s="22" t="str">
        <f t="shared" si="5"/>
        <v>430052.3</v>
      </c>
      <c r="I59" s="22"/>
      <c r="J59" s="22"/>
      <c r="K59" s="22"/>
      <c r="L59" s="22"/>
      <c r="M59" s="22"/>
      <c r="N59" s="22"/>
      <c r="O59" s="22" t="str">
        <f t="shared" ref="O59:O60" si="6">"4"&amp;$E59&amp;".10"</f>
        <v>430052.10</v>
      </c>
      <c r="P59" s="22" t="str">
        <f t="shared" ref="P59:P60" si="7">"4"&amp;$E59&amp;".11"</f>
        <v>430052.11</v>
      </c>
      <c r="Q59" s="22" t="str">
        <f t="shared" ref="Q59:Q60" si="8">"4"&amp;$E59&amp;".12"</f>
        <v>430052.12</v>
      </c>
      <c r="R59" s="22"/>
    </row>
    <row r="60" spans="1:18" x14ac:dyDescent="0.25">
      <c r="A60" s="3">
        <v>59</v>
      </c>
      <c r="B60" s="3" t="s">
        <v>326</v>
      </c>
      <c r="C60" s="3" t="s">
        <v>56</v>
      </c>
      <c r="D60" s="3" t="s">
        <v>281</v>
      </c>
      <c r="E60" s="14">
        <f t="shared" si="0"/>
        <v>30053</v>
      </c>
      <c r="F60" s="22" t="str">
        <f t="shared" si="4"/>
        <v>430053.1</v>
      </c>
      <c r="G60" s="22"/>
      <c r="H60" s="22" t="str">
        <f t="shared" si="5"/>
        <v>430053.3</v>
      </c>
      <c r="I60" s="22"/>
      <c r="J60" s="22"/>
      <c r="K60" s="22"/>
      <c r="L60" s="22"/>
      <c r="M60" s="22"/>
      <c r="N60" s="22"/>
      <c r="O60" s="22" t="str">
        <f t="shared" si="6"/>
        <v>430053.10</v>
      </c>
      <c r="P60" s="22" t="str">
        <f t="shared" si="7"/>
        <v>430053.11</v>
      </c>
      <c r="Q60" s="22" t="str">
        <f t="shared" si="8"/>
        <v>430053.12</v>
      </c>
      <c r="R60" s="22"/>
    </row>
    <row r="61" spans="1:18" x14ac:dyDescent="0.25">
      <c r="A61" s="3">
        <v>60</v>
      </c>
      <c r="B61" s="3" t="s">
        <v>326</v>
      </c>
      <c r="C61" s="3" t="s">
        <v>244</v>
      </c>
      <c r="D61" s="3" t="s">
        <v>295</v>
      </c>
      <c r="E61" s="14">
        <f t="shared" si="0"/>
        <v>30054</v>
      </c>
      <c r="F61" s="22"/>
      <c r="G61" s="22"/>
      <c r="H61" s="24"/>
      <c r="I61" s="22" t="str">
        <f>"4"&amp;$E61&amp;".4"</f>
        <v>430054.4</v>
      </c>
      <c r="J61" s="24"/>
      <c r="K61" s="24"/>
      <c r="L61" s="24"/>
      <c r="M61" s="24"/>
      <c r="N61" s="24"/>
      <c r="O61" s="24"/>
      <c r="P61" s="24"/>
      <c r="Q61" s="24"/>
      <c r="R61" s="22"/>
    </row>
    <row r="62" spans="1:18" x14ac:dyDescent="0.25">
      <c r="A62" s="3">
        <v>61</v>
      </c>
      <c r="B62" s="3" t="s">
        <v>326</v>
      </c>
      <c r="C62" s="3" t="s">
        <v>252</v>
      </c>
      <c r="D62" s="3" t="s">
        <v>303</v>
      </c>
      <c r="E62" s="14">
        <f t="shared" si="0"/>
        <v>30055</v>
      </c>
      <c r="F62" s="22" t="str">
        <f t="shared" ref="F62:F79" si="9">"4"&amp;$E62&amp;".1"</f>
        <v>430055.1</v>
      </c>
      <c r="G62" s="22" t="str">
        <f>"4"&amp;$E62&amp;".2"</f>
        <v>430055.2</v>
      </c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2"/>
    </row>
    <row r="63" spans="1:18" x14ac:dyDescent="0.25">
      <c r="A63" s="3">
        <v>62</v>
      </c>
      <c r="B63" s="3" t="s">
        <v>326</v>
      </c>
      <c r="C63" s="3" t="s">
        <v>102</v>
      </c>
      <c r="D63" s="3" t="s">
        <v>318</v>
      </c>
      <c r="E63" s="14">
        <f t="shared" si="0"/>
        <v>30056</v>
      </c>
      <c r="F63" s="22" t="str">
        <f t="shared" si="9"/>
        <v>430056.1</v>
      </c>
      <c r="G63" s="22"/>
      <c r="H63" s="22" t="str">
        <f t="shared" ref="H63:H72" si="10">"4"&amp;$E63&amp;".3"</f>
        <v>430056.3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</row>
    <row r="64" spans="1:18" x14ac:dyDescent="0.25">
      <c r="A64" s="3">
        <v>63</v>
      </c>
      <c r="B64" s="3" t="s">
        <v>326</v>
      </c>
      <c r="C64" s="3" t="s">
        <v>103</v>
      </c>
      <c r="D64" s="3" t="s">
        <v>318</v>
      </c>
      <c r="E64" s="14">
        <f t="shared" si="0"/>
        <v>30057</v>
      </c>
      <c r="F64" s="22" t="str">
        <f t="shared" si="9"/>
        <v>430057.1</v>
      </c>
      <c r="G64" s="22"/>
      <c r="H64" s="22" t="str">
        <f t="shared" si="10"/>
        <v>430057.3</v>
      </c>
      <c r="I64" s="22"/>
      <c r="J64" s="22"/>
      <c r="K64" s="22"/>
      <c r="L64" s="22"/>
      <c r="M64" s="22"/>
      <c r="N64" s="22"/>
      <c r="O64" s="22"/>
      <c r="P64" s="22"/>
      <c r="Q64" s="22"/>
      <c r="R64" s="22"/>
    </row>
    <row r="65" spans="1:18" x14ac:dyDescent="0.25">
      <c r="A65" s="3">
        <v>64</v>
      </c>
      <c r="B65" s="3" t="s">
        <v>326</v>
      </c>
      <c r="C65" s="3" t="s">
        <v>104</v>
      </c>
      <c r="D65" s="3" t="s">
        <v>318</v>
      </c>
      <c r="E65" s="14">
        <f t="shared" si="0"/>
        <v>30058</v>
      </c>
      <c r="F65" s="22" t="str">
        <f t="shared" si="9"/>
        <v>430058.1</v>
      </c>
      <c r="G65" s="22"/>
      <c r="H65" s="22" t="str">
        <f t="shared" si="10"/>
        <v>430058.3</v>
      </c>
      <c r="I65" s="22"/>
      <c r="J65" s="22"/>
      <c r="K65" s="22"/>
      <c r="L65" s="22"/>
      <c r="M65" s="22"/>
      <c r="N65" s="22"/>
      <c r="O65" s="22"/>
      <c r="P65" s="22"/>
      <c r="Q65" s="22"/>
      <c r="R65" s="22"/>
    </row>
    <row r="66" spans="1:18" x14ac:dyDescent="0.25">
      <c r="A66" s="3">
        <v>65</v>
      </c>
      <c r="B66" s="3" t="s">
        <v>326</v>
      </c>
      <c r="C66" s="3" t="s">
        <v>105</v>
      </c>
      <c r="D66" s="3" t="s">
        <v>318</v>
      </c>
      <c r="E66" s="14">
        <f t="shared" si="0"/>
        <v>30059</v>
      </c>
      <c r="F66" s="22" t="str">
        <f t="shared" si="9"/>
        <v>430059.1</v>
      </c>
      <c r="G66" s="22"/>
      <c r="H66" s="22" t="str">
        <f t="shared" si="10"/>
        <v>430059.3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</row>
    <row r="67" spans="1:18" x14ac:dyDescent="0.25">
      <c r="A67" s="3">
        <v>66</v>
      </c>
      <c r="B67" s="3" t="s">
        <v>326</v>
      </c>
      <c r="C67" s="3" t="s">
        <v>106</v>
      </c>
      <c r="D67" s="3" t="s">
        <v>318</v>
      </c>
      <c r="E67" s="14">
        <f t="shared" si="0"/>
        <v>30060</v>
      </c>
      <c r="F67" s="22" t="str">
        <f t="shared" si="9"/>
        <v>430060.1</v>
      </c>
      <c r="G67" s="22"/>
      <c r="H67" s="22" t="str">
        <f t="shared" si="10"/>
        <v>430060.3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</row>
    <row r="68" spans="1:18" x14ac:dyDescent="0.25">
      <c r="A68" s="3">
        <v>67</v>
      </c>
      <c r="B68" s="3" t="s">
        <v>326</v>
      </c>
      <c r="C68" s="3" t="s">
        <v>107</v>
      </c>
      <c r="D68" s="3" t="s">
        <v>318</v>
      </c>
      <c r="E68" s="14">
        <f t="shared" si="0"/>
        <v>30061</v>
      </c>
      <c r="F68" s="22" t="str">
        <f t="shared" si="9"/>
        <v>430061.1</v>
      </c>
      <c r="G68" s="22"/>
      <c r="H68" s="22" t="str">
        <f t="shared" si="10"/>
        <v>430061.3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</row>
    <row r="69" spans="1:18" x14ac:dyDescent="0.25">
      <c r="A69" s="3">
        <v>68</v>
      </c>
      <c r="B69" s="3" t="s">
        <v>326</v>
      </c>
      <c r="C69" s="3" t="s">
        <v>108</v>
      </c>
      <c r="D69" s="3" t="s">
        <v>318</v>
      </c>
      <c r="E69" s="14">
        <f t="shared" si="0"/>
        <v>30062</v>
      </c>
      <c r="F69" s="22" t="str">
        <f t="shared" si="9"/>
        <v>430062.1</v>
      </c>
      <c r="G69" s="22"/>
      <c r="H69" s="22" t="str">
        <f t="shared" si="10"/>
        <v>430062.3</v>
      </c>
      <c r="I69" s="22"/>
      <c r="J69" s="22"/>
      <c r="K69" s="22"/>
      <c r="L69" s="22"/>
      <c r="M69" s="22"/>
      <c r="N69" s="22"/>
      <c r="O69" s="22"/>
      <c r="P69" s="22"/>
      <c r="Q69" s="22"/>
      <c r="R69" s="22"/>
    </row>
    <row r="70" spans="1:18" x14ac:dyDescent="0.25">
      <c r="A70" s="3">
        <v>69</v>
      </c>
      <c r="B70" s="3" t="s">
        <v>326</v>
      </c>
      <c r="C70" s="3" t="s">
        <v>109</v>
      </c>
      <c r="D70" s="3" t="s">
        <v>318</v>
      </c>
      <c r="E70" s="14">
        <f t="shared" si="0"/>
        <v>30063</v>
      </c>
      <c r="F70" s="22" t="str">
        <f t="shared" si="9"/>
        <v>430063.1</v>
      </c>
      <c r="G70" s="22"/>
      <c r="H70" s="22" t="str">
        <f t="shared" si="10"/>
        <v>430063.3</v>
      </c>
      <c r="I70" s="22"/>
      <c r="J70" s="22"/>
      <c r="K70" s="22"/>
      <c r="L70" s="22"/>
      <c r="M70" s="22"/>
      <c r="N70" s="22"/>
      <c r="O70" s="22"/>
      <c r="P70" s="22"/>
      <c r="Q70" s="22"/>
      <c r="R70" s="22"/>
    </row>
    <row r="71" spans="1:18" x14ac:dyDescent="0.25">
      <c r="A71" s="3">
        <v>70</v>
      </c>
      <c r="B71" s="3" t="s">
        <v>326</v>
      </c>
      <c r="C71" s="3" t="s">
        <v>110</v>
      </c>
      <c r="D71" s="3" t="s">
        <v>318</v>
      </c>
      <c r="E71" s="14">
        <f t="shared" si="0"/>
        <v>30064</v>
      </c>
      <c r="F71" s="22" t="str">
        <f t="shared" si="9"/>
        <v>430064.1</v>
      </c>
      <c r="G71" s="22"/>
      <c r="H71" s="22" t="str">
        <f t="shared" si="10"/>
        <v>430064.3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</row>
    <row r="72" spans="1:18" x14ac:dyDescent="0.25">
      <c r="A72" s="3">
        <v>71</v>
      </c>
      <c r="B72" s="3" t="s">
        <v>326</v>
      </c>
      <c r="C72" s="3" t="s">
        <v>111</v>
      </c>
      <c r="D72" s="3" t="s">
        <v>318</v>
      </c>
      <c r="E72" s="14">
        <f t="shared" si="0"/>
        <v>30065</v>
      </c>
      <c r="F72" s="22" t="str">
        <f t="shared" si="9"/>
        <v>430065.1</v>
      </c>
      <c r="G72" s="22"/>
      <c r="H72" s="22" t="str">
        <f t="shared" si="10"/>
        <v>430065.3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</row>
    <row r="73" spans="1:18" x14ac:dyDescent="0.25">
      <c r="A73" s="3">
        <v>72</v>
      </c>
      <c r="B73" s="3" t="s">
        <v>326</v>
      </c>
      <c r="C73" s="3" t="s">
        <v>261</v>
      </c>
      <c r="D73" s="3" t="s">
        <v>312</v>
      </c>
      <c r="E73" s="14">
        <f t="shared" si="0"/>
        <v>30066</v>
      </c>
      <c r="F73" s="22" t="str">
        <f t="shared" si="9"/>
        <v>430066.1</v>
      </c>
      <c r="G73" s="22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2"/>
    </row>
    <row r="74" spans="1:18" x14ac:dyDescent="0.25">
      <c r="A74" s="3">
        <v>73</v>
      </c>
      <c r="B74" s="3" t="s">
        <v>326</v>
      </c>
      <c r="C74" s="3" t="s">
        <v>112</v>
      </c>
      <c r="D74" s="3" t="s">
        <v>312</v>
      </c>
      <c r="E74" s="14">
        <f t="shared" si="0"/>
        <v>30067</v>
      </c>
      <c r="F74" s="22" t="str">
        <f t="shared" si="9"/>
        <v>430067.1</v>
      </c>
      <c r="G74" s="22"/>
      <c r="H74" s="22" t="str">
        <f t="shared" ref="H74:H79" si="11">"4"&amp;$E74&amp;".3"</f>
        <v>430067.3</v>
      </c>
      <c r="I74" s="22"/>
      <c r="J74" s="22"/>
      <c r="K74" s="22"/>
      <c r="L74" s="22"/>
      <c r="M74" s="22"/>
      <c r="N74" s="22"/>
      <c r="O74" s="22"/>
      <c r="P74" s="22"/>
      <c r="Q74" s="22"/>
      <c r="R74" s="22"/>
    </row>
    <row r="75" spans="1:18" x14ac:dyDescent="0.25">
      <c r="A75" s="3">
        <v>74</v>
      </c>
      <c r="B75" s="3" t="s">
        <v>326</v>
      </c>
      <c r="C75" s="3" t="s">
        <v>113</v>
      </c>
      <c r="D75" s="3" t="s">
        <v>312</v>
      </c>
      <c r="E75" s="14">
        <f t="shared" si="0"/>
        <v>30068</v>
      </c>
      <c r="F75" s="22" t="str">
        <f t="shared" si="9"/>
        <v>430068.1</v>
      </c>
      <c r="G75" s="22"/>
      <c r="H75" s="22" t="str">
        <f t="shared" si="11"/>
        <v>430068.3</v>
      </c>
      <c r="I75" s="22"/>
      <c r="J75" s="22"/>
      <c r="K75" s="22"/>
      <c r="L75" s="22"/>
      <c r="M75" s="22"/>
      <c r="N75" s="22"/>
      <c r="O75" s="22"/>
      <c r="P75" s="22"/>
      <c r="Q75" s="22"/>
      <c r="R75" s="22"/>
    </row>
    <row r="76" spans="1:18" x14ac:dyDescent="0.25">
      <c r="A76" s="3">
        <v>75</v>
      </c>
      <c r="B76" s="3" t="s">
        <v>326</v>
      </c>
      <c r="C76" s="3" t="s">
        <v>114</v>
      </c>
      <c r="D76" s="3" t="s">
        <v>312</v>
      </c>
      <c r="E76" s="14">
        <f t="shared" ref="E76:E87" si="12">E75+1</f>
        <v>30069</v>
      </c>
      <c r="F76" s="22" t="str">
        <f t="shared" si="9"/>
        <v>430069.1</v>
      </c>
      <c r="G76" s="22"/>
      <c r="H76" s="22" t="str">
        <f t="shared" si="11"/>
        <v>430069.3</v>
      </c>
      <c r="I76" s="22"/>
      <c r="J76" s="22"/>
      <c r="K76" s="22"/>
      <c r="L76" s="22"/>
      <c r="M76" s="22"/>
      <c r="N76" s="22"/>
      <c r="O76" s="22"/>
      <c r="P76" s="22"/>
      <c r="Q76" s="22"/>
      <c r="R76" s="22"/>
    </row>
    <row r="77" spans="1:18" x14ac:dyDescent="0.25">
      <c r="A77" s="3">
        <v>76</v>
      </c>
      <c r="B77" s="3" t="s">
        <v>326</v>
      </c>
      <c r="C77" s="3" t="s">
        <v>115</v>
      </c>
      <c r="D77" s="3" t="s">
        <v>312</v>
      </c>
      <c r="E77" s="14">
        <f t="shared" si="12"/>
        <v>30070</v>
      </c>
      <c r="F77" s="22" t="str">
        <f t="shared" si="9"/>
        <v>430070.1</v>
      </c>
      <c r="G77" s="22"/>
      <c r="H77" s="22" t="str">
        <f t="shared" si="11"/>
        <v>430070.3</v>
      </c>
      <c r="I77" s="22"/>
      <c r="J77" s="22"/>
      <c r="K77" s="22"/>
      <c r="L77" s="22"/>
      <c r="M77" s="22"/>
      <c r="N77" s="22"/>
      <c r="O77" s="22"/>
      <c r="P77" s="22"/>
      <c r="Q77" s="22"/>
      <c r="R77" s="22"/>
    </row>
    <row r="78" spans="1:18" x14ac:dyDescent="0.25">
      <c r="A78" s="3">
        <v>77</v>
      </c>
      <c r="B78" s="3" t="s">
        <v>326</v>
      </c>
      <c r="C78" s="3" t="s">
        <v>116</v>
      </c>
      <c r="D78" s="3" t="s">
        <v>312</v>
      </c>
      <c r="E78" s="14">
        <f t="shared" si="12"/>
        <v>30071</v>
      </c>
      <c r="F78" s="22" t="str">
        <f t="shared" si="9"/>
        <v>430071.1</v>
      </c>
      <c r="G78" s="22"/>
      <c r="H78" s="22" t="str">
        <f t="shared" si="11"/>
        <v>430071.3</v>
      </c>
      <c r="I78" s="22"/>
      <c r="J78" s="22"/>
      <c r="K78" s="22"/>
      <c r="L78" s="22"/>
      <c r="M78" s="22"/>
      <c r="N78" s="22"/>
      <c r="O78" s="22"/>
      <c r="P78" s="22"/>
      <c r="Q78" s="22"/>
      <c r="R78" s="22"/>
    </row>
    <row r="79" spans="1:18" x14ac:dyDescent="0.25">
      <c r="A79" s="3">
        <v>78</v>
      </c>
      <c r="B79" s="3" t="s">
        <v>326</v>
      </c>
      <c r="C79" s="3" t="s">
        <v>57</v>
      </c>
      <c r="D79" s="3" t="s">
        <v>282</v>
      </c>
      <c r="E79" s="14">
        <f t="shared" si="12"/>
        <v>30072</v>
      </c>
      <c r="F79" s="22" t="str">
        <f t="shared" si="9"/>
        <v>430072.1</v>
      </c>
      <c r="G79" s="22"/>
      <c r="H79" s="22" t="str">
        <f t="shared" si="11"/>
        <v>430072.3</v>
      </c>
      <c r="I79" s="22"/>
      <c r="J79" s="22"/>
      <c r="K79" s="22"/>
      <c r="L79" s="22"/>
      <c r="M79" s="22"/>
      <c r="N79" s="22"/>
      <c r="O79" s="22" t="str">
        <f>"4"&amp;$E79&amp;".10"</f>
        <v>430072.10</v>
      </c>
      <c r="P79" s="22" t="str">
        <f>"4"&amp;$E79&amp;".11"</f>
        <v>430072.11</v>
      </c>
      <c r="Q79" s="22" t="str">
        <f>"4"&amp;$E79&amp;".12"</f>
        <v>430072.12</v>
      </c>
      <c r="R79" s="22"/>
    </row>
    <row r="80" spans="1:18" x14ac:dyDescent="0.25">
      <c r="A80" s="3">
        <v>79</v>
      </c>
      <c r="B80" s="3" t="s">
        <v>326</v>
      </c>
      <c r="C80" s="3" t="s">
        <v>245</v>
      </c>
      <c r="D80" s="3" t="s">
        <v>296</v>
      </c>
      <c r="E80" s="14">
        <f t="shared" si="12"/>
        <v>30073</v>
      </c>
      <c r="F80" s="22"/>
      <c r="G80" s="22"/>
      <c r="H80" s="24"/>
      <c r="I80" s="22" t="str">
        <f>"4"&amp;$E80&amp;".4"</f>
        <v>430073.4</v>
      </c>
      <c r="J80" s="24"/>
      <c r="K80" s="24"/>
      <c r="L80" s="24"/>
      <c r="M80" s="24"/>
      <c r="N80" s="24"/>
      <c r="O80" s="24"/>
      <c r="P80" s="24"/>
      <c r="Q80" s="24"/>
      <c r="R80" s="22"/>
    </row>
    <row r="81" spans="1:18" x14ac:dyDescent="0.25">
      <c r="A81" s="3">
        <v>80</v>
      </c>
      <c r="B81" s="3" t="s">
        <v>326</v>
      </c>
      <c r="C81" s="3" t="s">
        <v>253</v>
      </c>
      <c r="D81" s="3" t="s">
        <v>304</v>
      </c>
      <c r="E81" s="14">
        <f t="shared" si="12"/>
        <v>30074</v>
      </c>
      <c r="F81" s="22" t="str">
        <f t="shared" ref="F81:F82" si="13">"4"&amp;$E81&amp;".1"</f>
        <v>430074.1</v>
      </c>
      <c r="G81" s="22" t="str">
        <f>"4"&amp;$E81&amp;".2"</f>
        <v>430074.2</v>
      </c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2"/>
    </row>
    <row r="82" spans="1:18" x14ac:dyDescent="0.25">
      <c r="A82" s="3">
        <v>81</v>
      </c>
      <c r="B82" s="3" t="s">
        <v>326</v>
      </c>
      <c r="C82" s="3" t="s">
        <v>58</v>
      </c>
      <c r="D82" s="3" t="s">
        <v>283</v>
      </c>
      <c r="E82" s="14">
        <f t="shared" si="12"/>
        <v>30075</v>
      </c>
      <c r="F82" s="22" t="str">
        <f t="shared" si="13"/>
        <v>430075.1</v>
      </c>
      <c r="G82" s="22"/>
      <c r="H82" s="22" t="str">
        <f>"4"&amp;$E82&amp;".3"</f>
        <v>430075.3</v>
      </c>
      <c r="I82" s="22"/>
      <c r="J82" s="22"/>
      <c r="K82" s="22"/>
      <c r="L82" s="22"/>
      <c r="M82" s="22"/>
      <c r="N82" s="22"/>
      <c r="O82" s="22" t="str">
        <f>"4"&amp;$E82&amp;".10"</f>
        <v>430075.10</v>
      </c>
      <c r="P82" s="22" t="str">
        <f>"4"&amp;$E82&amp;".11"</f>
        <v>430075.11</v>
      </c>
      <c r="Q82" s="22" t="str">
        <f>"4"&amp;$E82&amp;".12"</f>
        <v>430075.12</v>
      </c>
      <c r="R82" s="22"/>
    </row>
    <row r="83" spans="1:18" x14ac:dyDescent="0.25">
      <c r="A83" s="3">
        <v>82</v>
      </c>
      <c r="B83" s="3" t="s">
        <v>326</v>
      </c>
      <c r="C83" s="3" t="s">
        <v>246</v>
      </c>
      <c r="D83" s="3" t="s">
        <v>297</v>
      </c>
      <c r="E83" s="14">
        <f t="shared" si="12"/>
        <v>30076</v>
      </c>
      <c r="F83" s="22"/>
      <c r="G83" s="22"/>
      <c r="H83" s="24"/>
      <c r="I83" s="22" t="str">
        <f>"4"&amp;$E83&amp;".4"</f>
        <v>430076.4</v>
      </c>
      <c r="J83" s="24"/>
      <c r="K83" s="24"/>
      <c r="L83" s="24"/>
      <c r="M83" s="24"/>
      <c r="N83" s="24"/>
      <c r="O83" s="24"/>
      <c r="P83" s="24"/>
      <c r="Q83" s="24"/>
      <c r="R83" s="22"/>
    </row>
    <row r="84" spans="1:18" x14ac:dyDescent="0.25">
      <c r="A84" s="3">
        <v>83</v>
      </c>
      <c r="B84" s="3" t="s">
        <v>326</v>
      </c>
      <c r="C84" s="3" t="s">
        <v>254</v>
      </c>
      <c r="D84" s="3" t="s">
        <v>305</v>
      </c>
      <c r="E84" s="14">
        <f t="shared" si="12"/>
        <v>30077</v>
      </c>
      <c r="F84" s="22" t="str">
        <f t="shared" ref="F84:F85" si="14">"4"&amp;$E84&amp;".1"</f>
        <v>430077.1</v>
      </c>
      <c r="G84" s="22" t="str">
        <f>"4"&amp;$E84&amp;".2"</f>
        <v>430077.2</v>
      </c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2"/>
    </row>
    <row r="85" spans="1:18" x14ac:dyDescent="0.25">
      <c r="A85" s="3">
        <v>84</v>
      </c>
      <c r="B85" s="3" t="s">
        <v>326</v>
      </c>
      <c r="C85" s="3" t="s">
        <v>59</v>
      </c>
      <c r="D85" s="3" t="s">
        <v>284</v>
      </c>
      <c r="E85" s="14">
        <f t="shared" si="12"/>
        <v>30078</v>
      </c>
      <c r="F85" s="22" t="str">
        <f t="shared" si="14"/>
        <v>430078.1</v>
      </c>
      <c r="G85" s="22"/>
      <c r="H85" s="22" t="str">
        <f>"4"&amp;$E85&amp;".3"</f>
        <v>430078.3</v>
      </c>
      <c r="I85" s="22"/>
      <c r="J85" s="22"/>
      <c r="K85" s="22"/>
      <c r="L85" s="22"/>
      <c r="M85" s="22"/>
      <c r="N85" s="22"/>
      <c r="O85" s="22" t="str">
        <f>"4"&amp;$E85&amp;".10"</f>
        <v>430078.10</v>
      </c>
      <c r="P85" s="22" t="str">
        <f>"4"&amp;$E85&amp;".11"</f>
        <v>430078.11</v>
      </c>
      <c r="Q85" s="22" t="str">
        <f>"4"&amp;$E85&amp;".12"</f>
        <v>430078.12</v>
      </c>
      <c r="R85" s="22"/>
    </row>
    <row r="86" spans="1:18" x14ac:dyDescent="0.25">
      <c r="A86" s="3">
        <v>85</v>
      </c>
      <c r="B86" s="3" t="s">
        <v>326</v>
      </c>
      <c r="C86" s="3" t="s">
        <v>247</v>
      </c>
      <c r="D86" s="3" t="s">
        <v>298</v>
      </c>
      <c r="E86" s="14">
        <f t="shared" si="12"/>
        <v>30079</v>
      </c>
      <c r="F86" s="22"/>
      <c r="G86" s="22"/>
      <c r="H86" s="24"/>
      <c r="I86" s="22" t="str">
        <f>"4"&amp;$E86&amp;".4"</f>
        <v>430079.4</v>
      </c>
      <c r="J86" s="24"/>
      <c r="K86" s="24"/>
      <c r="L86" s="24"/>
      <c r="M86" s="24"/>
      <c r="N86" s="24"/>
      <c r="O86" s="24"/>
      <c r="P86" s="24"/>
      <c r="Q86" s="24"/>
      <c r="R86" s="22"/>
    </row>
    <row r="87" spans="1:18" x14ac:dyDescent="0.25">
      <c r="A87" s="3">
        <v>86</v>
      </c>
      <c r="B87" s="3" t="s">
        <v>326</v>
      </c>
      <c r="C87" s="3" t="s">
        <v>255</v>
      </c>
      <c r="D87" s="3" t="s">
        <v>306</v>
      </c>
      <c r="E87" s="14">
        <f t="shared" si="12"/>
        <v>30080</v>
      </c>
      <c r="F87" s="22" t="str">
        <f t="shared" ref="F87:F88" si="15">"4"&amp;$E87&amp;".1"</f>
        <v>430080.1</v>
      </c>
      <c r="G87" s="22" t="str">
        <f>"4"&amp;$E87&amp;".2"</f>
        <v>430080.2</v>
      </c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2"/>
    </row>
    <row r="88" spans="1:18" x14ac:dyDescent="0.25">
      <c r="A88" s="13">
        <v>1</v>
      </c>
      <c r="B88" s="13" t="s">
        <v>327</v>
      </c>
      <c r="C88" s="13" t="s">
        <v>60</v>
      </c>
      <c r="D88" s="13" t="s">
        <v>285</v>
      </c>
      <c r="E88" s="18">
        <f>E8</f>
        <v>30001</v>
      </c>
      <c r="F88" s="25" t="str">
        <f t="shared" si="15"/>
        <v>430001.1</v>
      </c>
      <c r="G88" s="25"/>
      <c r="H88" s="25" t="str">
        <f>"4"&amp;$E88&amp;".3"</f>
        <v>430001.3</v>
      </c>
      <c r="I88" s="25"/>
      <c r="J88" s="25"/>
      <c r="K88" s="25"/>
      <c r="L88" s="25"/>
      <c r="M88" s="25"/>
      <c r="N88" s="25"/>
      <c r="O88" s="25" t="str">
        <f>"4"&amp;$E88&amp;".10"</f>
        <v>430001.10</v>
      </c>
      <c r="P88" s="25" t="str">
        <f>"4"&amp;$E88&amp;".11"</f>
        <v>430001.11</v>
      </c>
      <c r="Q88" s="25" t="str">
        <f>"4"&amp;$E88&amp;".12"</f>
        <v>430001.12</v>
      </c>
      <c r="R88" s="26"/>
    </row>
    <row r="89" spans="1:18" x14ac:dyDescent="0.25">
      <c r="A89" s="3">
        <v>2</v>
      </c>
      <c r="B89" s="3" t="s">
        <v>327</v>
      </c>
      <c r="C89" s="3" t="s">
        <v>248</v>
      </c>
      <c r="D89" s="3" t="s">
        <v>299</v>
      </c>
      <c r="E89" s="14">
        <f t="shared" ref="E89:E154" si="16">E88+1</f>
        <v>30002</v>
      </c>
      <c r="F89" s="22"/>
      <c r="G89" s="22"/>
      <c r="H89" s="24"/>
      <c r="I89" s="22" t="str">
        <f>"4"&amp;$E89&amp;".4"</f>
        <v>430002.4</v>
      </c>
      <c r="J89" s="24"/>
      <c r="K89" s="24"/>
      <c r="L89" s="24"/>
      <c r="M89" s="24"/>
      <c r="N89" s="24"/>
      <c r="O89" s="24"/>
      <c r="P89" s="24"/>
      <c r="Q89" s="24"/>
      <c r="R89" s="22"/>
    </row>
    <row r="90" spans="1:18" x14ac:dyDescent="0.25">
      <c r="A90" s="3">
        <v>3</v>
      </c>
      <c r="B90" s="3" t="s">
        <v>327</v>
      </c>
      <c r="C90" s="3" t="s">
        <v>256</v>
      </c>
      <c r="D90" s="3" t="s">
        <v>307</v>
      </c>
      <c r="E90" s="14">
        <f t="shared" si="16"/>
        <v>30003</v>
      </c>
      <c r="F90" s="22" t="str">
        <f t="shared" ref="F90:F94" si="17">"4"&amp;$E90&amp;".1"</f>
        <v>430003.1</v>
      </c>
      <c r="G90" s="22" t="str">
        <f>"4"&amp;$E90&amp;".2"</f>
        <v>430003.2</v>
      </c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2"/>
    </row>
    <row r="91" spans="1:18" x14ac:dyDescent="0.25">
      <c r="A91" s="3">
        <v>4</v>
      </c>
      <c r="B91" s="3" t="s">
        <v>327</v>
      </c>
      <c r="C91" s="3" t="s">
        <v>63</v>
      </c>
      <c r="D91" s="3" t="s">
        <v>287</v>
      </c>
      <c r="E91" s="14">
        <f t="shared" si="16"/>
        <v>30004</v>
      </c>
      <c r="F91" s="22" t="str">
        <f t="shared" si="17"/>
        <v>430004.1</v>
      </c>
      <c r="G91" s="22"/>
      <c r="H91" s="22" t="str">
        <f t="shared" ref="H91:H94" si="18">"4"&amp;$E91&amp;".3"</f>
        <v>430004.3</v>
      </c>
      <c r="I91" s="22"/>
      <c r="J91" s="22" t="str">
        <f>"4"&amp;$E91&amp;".5"</f>
        <v>430004.5</v>
      </c>
      <c r="K91" s="22" t="str">
        <f>"4"&amp;$E91&amp;".6"</f>
        <v>430004.6</v>
      </c>
      <c r="L91" s="22" t="str">
        <f>"4"&amp;$E91&amp;".7"</f>
        <v>430004.7</v>
      </c>
      <c r="M91" s="22" t="str">
        <f>"4"&amp;$E91&amp;".8"</f>
        <v>430004.8</v>
      </c>
      <c r="N91" s="22" t="str">
        <f>"4"&amp;$E91&amp;".9"</f>
        <v>430004.9</v>
      </c>
      <c r="O91" s="22"/>
      <c r="P91" s="22"/>
      <c r="Q91" s="22"/>
      <c r="R91" s="22"/>
    </row>
    <row r="92" spans="1:18" x14ac:dyDescent="0.25">
      <c r="A92" s="3">
        <v>5</v>
      </c>
      <c r="B92" s="3" t="s">
        <v>327</v>
      </c>
      <c r="C92" s="3" t="s">
        <v>61</v>
      </c>
      <c r="D92" s="3" t="s">
        <v>286</v>
      </c>
      <c r="E92" s="14">
        <f t="shared" si="16"/>
        <v>30005</v>
      </c>
      <c r="F92" s="22" t="str">
        <f t="shared" si="17"/>
        <v>430005.1</v>
      </c>
      <c r="G92" s="22"/>
      <c r="H92" s="22" t="str">
        <f t="shared" si="18"/>
        <v>430005.3</v>
      </c>
      <c r="I92" s="22"/>
      <c r="J92" s="22"/>
      <c r="K92" s="22"/>
      <c r="L92" s="22"/>
      <c r="M92" s="22"/>
      <c r="N92" s="22"/>
      <c r="O92" s="22" t="str">
        <f t="shared" ref="O92:O94" si="19">"4"&amp;$E92&amp;".10"</f>
        <v>430005.10</v>
      </c>
      <c r="P92" s="22" t="str">
        <f t="shared" ref="P92:P94" si="20">"4"&amp;$E92&amp;".11"</f>
        <v>430005.11</v>
      </c>
      <c r="Q92" s="22" t="str">
        <f t="shared" ref="Q92:Q94" si="21">"4"&amp;$E92&amp;".12"</f>
        <v>430005.12</v>
      </c>
      <c r="R92" s="22"/>
    </row>
    <row r="93" spans="1:18" x14ac:dyDescent="0.25">
      <c r="A93" s="3">
        <v>6</v>
      </c>
      <c r="B93" s="3" t="s">
        <v>327</v>
      </c>
      <c r="C93" s="3" t="s">
        <v>62</v>
      </c>
      <c r="D93" s="3" t="s">
        <v>286</v>
      </c>
      <c r="E93" s="14">
        <f t="shared" si="16"/>
        <v>30006</v>
      </c>
      <c r="F93" s="22" t="str">
        <f t="shared" si="17"/>
        <v>430006.1</v>
      </c>
      <c r="G93" s="22"/>
      <c r="H93" s="22" t="str">
        <f t="shared" si="18"/>
        <v>430006.3</v>
      </c>
      <c r="I93" s="22"/>
      <c r="J93" s="22"/>
      <c r="K93" s="22"/>
      <c r="L93" s="22"/>
      <c r="M93" s="22"/>
      <c r="N93" s="22"/>
      <c r="O93" s="22" t="str">
        <f t="shared" si="19"/>
        <v>430006.10</v>
      </c>
      <c r="P93" s="22" t="str">
        <f t="shared" si="20"/>
        <v>430006.11</v>
      </c>
      <c r="Q93" s="22" t="str">
        <f t="shared" si="21"/>
        <v>430006.12</v>
      </c>
      <c r="R93" s="22"/>
    </row>
    <row r="94" spans="1:18" x14ac:dyDescent="0.25">
      <c r="A94" s="3">
        <v>7</v>
      </c>
      <c r="B94" s="3" t="s">
        <v>327</v>
      </c>
      <c r="C94" s="6" t="s">
        <v>582</v>
      </c>
      <c r="D94" s="6" t="s">
        <v>575</v>
      </c>
      <c r="E94" s="17">
        <f t="shared" si="16"/>
        <v>30007</v>
      </c>
      <c r="F94" s="22" t="str">
        <f t="shared" si="17"/>
        <v>430007.1</v>
      </c>
      <c r="G94" s="22"/>
      <c r="H94" s="22" t="str">
        <f t="shared" si="18"/>
        <v>430007.3</v>
      </c>
      <c r="I94" s="22"/>
      <c r="J94" s="22"/>
      <c r="K94" s="22"/>
      <c r="L94" s="22"/>
      <c r="M94" s="22"/>
      <c r="N94" s="22"/>
      <c r="O94" s="22" t="str">
        <f t="shared" si="19"/>
        <v>430007.10</v>
      </c>
      <c r="P94" s="22" t="str">
        <f t="shared" si="20"/>
        <v>430007.11</v>
      </c>
      <c r="Q94" s="22" t="str">
        <f t="shared" si="21"/>
        <v>430007.12</v>
      </c>
      <c r="R94" s="22"/>
    </row>
    <row r="95" spans="1:18" x14ac:dyDescent="0.25">
      <c r="A95" s="3">
        <v>8</v>
      </c>
      <c r="B95" s="3" t="s">
        <v>327</v>
      </c>
      <c r="C95" s="3" t="s">
        <v>249</v>
      </c>
      <c r="D95" s="3" t="s">
        <v>300</v>
      </c>
      <c r="E95" s="14">
        <f t="shared" si="16"/>
        <v>30008</v>
      </c>
      <c r="F95" s="22"/>
      <c r="G95" s="22"/>
      <c r="H95" s="24"/>
      <c r="I95" s="22" t="str">
        <f>"4"&amp;$E95&amp;".4"</f>
        <v>430008.4</v>
      </c>
      <c r="J95" s="24"/>
      <c r="K95" s="24"/>
      <c r="L95" s="24"/>
      <c r="M95" s="24"/>
      <c r="N95" s="24"/>
      <c r="O95" s="24"/>
      <c r="P95" s="24"/>
      <c r="Q95" s="24"/>
      <c r="R95" s="22"/>
    </row>
    <row r="96" spans="1:18" x14ac:dyDescent="0.25">
      <c r="A96" s="3">
        <v>9</v>
      </c>
      <c r="B96" s="3" t="s">
        <v>327</v>
      </c>
      <c r="C96" s="3" t="s">
        <v>257</v>
      </c>
      <c r="D96" s="3" t="s">
        <v>308</v>
      </c>
      <c r="E96" s="14">
        <f t="shared" si="16"/>
        <v>30009</v>
      </c>
      <c r="F96" s="22" t="str">
        <f t="shared" ref="F96:F160" si="22">"4"&amp;$E96&amp;".1"</f>
        <v>430009.1</v>
      </c>
      <c r="G96" s="22" t="str">
        <f>"4"&amp;$E96&amp;".2"</f>
        <v>430009.2</v>
      </c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2"/>
    </row>
    <row r="97" spans="1:18" x14ac:dyDescent="0.25">
      <c r="A97" s="3">
        <v>10</v>
      </c>
      <c r="B97" s="3" t="s">
        <v>327</v>
      </c>
      <c r="C97" s="3" t="s">
        <v>258</v>
      </c>
      <c r="D97" s="3" t="s">
        <v>309</v>
      </c>
      <c r="E97" s="14">
        <f t="shared" si="16"/>
        <v>30010</v>
      </c>
      <c r="F97" s="22" t="str">
        <f t="shared" si="22"/>
        <v>430010.1</v>
      </c>
      <c r="G97" s="22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2"/>
    </row>
    <row r="98" spans="1:18" x14ac:dyDescent="0.25">
      <c r="A98" s="3">
        <v>11</v>
      </c>
      <c r="B98" s="3" t="s">
        <v>327</v>
      </c>
      <c r="C98" s="3" t="s">
        <v>64</v>
      </c>
      <c r="D98" s="3" t="s">
        <v>288</v>
      </c>
      <c r="E98" s="14">
        <f t="shared" si="16"/>
        <v>30011</v>
      </c>
      <c r="F98" s="22" t="str">
        <f t="shared" si="22"/>
        <v>430011.1</v>
      </c>
      <c r="G98" s="22"/>
      <c r="H98" s="22" t="str">
        <f>"4"&amp;$E98&amp;".3"</f>
        <v>430011.3</v>
      </c>
      <c r="I98" s="22"/>
      <c r="J98" s="22" t="str">
        <f>"4"&amp;$E98&amp;".5"</f>
        <v>430011.5</v>
      </c>
      <c r="K98" s="22" t="str">
        <f>"4"&amp;$E98&amp;".6"</f>
        <v>430011.6</v>
      </c>
      <c r="L98" s="22" t="str">
        <f>"4"&amp;$E98&amp;".7"</f>
        <v>430011.7</v>
      </c>
      <c r="M98" s="22" t="str">
        <f>"4"&amp;$E98&amp;".8"</f>
        <v>430011.8</v>
      </c>
      <c r="N98" s="22" t="str">
        <f>"4"&amp;$E98&amp;".9"</f>
        <v>430011.9</v>
      </c>
      <c r="O98" s="22"/>
      <c r="P98" s="22"/>
      <c r="Q98" s="22"/>
      <c r="R98" s="22"/>
    </row>
    <row r="99" spans="1:18" x14ac:dyDescent="0.25">
      <c r="A99" s="3">
        <v>12</v>
      </c>
      <c r="B99" s="3" t="s">
        <v>327</v>
      </c>
      <c r="C99" s="3" t="s">
        <v>259</v>
      </c>
      <c r="D99" s="3" t="s">
        <v>310</v>
      </c>
      <c r="E99" s="14">
        <f t="shared" si="16"/>
        <v>30012</v>
      </c>
      <c r="F99" s="22" t="str">
        <f t="shared" si="22"/>
        <v>430012.1</v>
      </c>
      <c r="G99" s="22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2"/>
    </row>
    <row r="100" spans="1:18" x14ac:dyDescent="0.25">
      <c r="A100" s="3">
        <v>13</v>
      </c>
      <c r="B100" s="3" t="s">
        <v>327</v>
      </c>
      <c r="C100" s="3" t="s">
        <v>65</v>
      </c>
      <c r="D100" s="3" t="s">
        <v>289</v>
      </c>
      <c r="E100" s="14">
        <f t="shared" si="16"/>
        <v>30013</v>
      </c>
      <c r="F100" s="22" t="str">
        <f t="shared" si="22"/>
        <v>430013.1</v>
      </c>
      <c r="G100" s="22"/>
      <c r="H100" s="22" t="str">
        <f t="shared" ref="H100:H101" si="23">"4"&amp;$E100&amp;".3"</f>
        <v>430013.3</v>
      </c>
      <c r="I100" s="22"/>
      <c r="J100" s="22" t="str">
        <f>"4"&amp;$E100&amp;".5"</f>
        <v>430013.5</v>
      </c>
      <c r="K100" s="22" t="str">
        <f>"4"&amp;$E100&amp;".6"</f>
        <v>430013.6</v>
      </c>
      <c r="L100" s="22" t="str">
        <f>"4"&amp;$E100&amp;".7"</f>
        <v>430013.7</v>
      </c>
      <c r="M100" s="22" t="str">
        <f>"4"&amp;$E100&amp;".8"</f>
        <v>430013.8</v>
      </c>
      <c r="N100" s="22" t="str">
        <f>"4"&amp;$E100&amp;".9"</f>
        <v>430013.9</v>
      </c>
      <c r="O100" s="22"/>
      <c r="P100" s="22"/>
      <c r="Q100" s="22"/>
      <c r="R100" s="22"/>
    </row>
    <row r="101" spans="1:18" x14ac:dyDescent="0.25">
      <c r="A101" s="3">
        <v>14</v>
      </c>
      <c r="B101" s="3" t="s">
        <v>327</v>
      </c>
      <c r="C101" s="3" t="s">
        <v>66</v>
      </c>
      <c r="D101" s="3" t="s">
        <v>290</v>
      </c>
      <c r="E101" s="14">
        <f t="shared" si="16"/>
        <v>30014</v>
      </c>
      <c r="F101" s="22" t="str">
        <f t="shared" si="22"/>
        <v>430014.1</v>
      </c>
      <c r="G101" s="22"/>
      <c r="H101" s="22" t="str">
        <f t="shared" si="23"/>
        <v>430014.3</v>
      </c>
      <c r="I101" s="22"/>
      <c r="J101" s="22"/>
      <c r="K101" s="22"/>
      <c r="L101" s="22"/>
      <c r="M101" s="22"/>
      <c r="N101" s="22"/>
      <c r="O101" s="22"/>
      <c r="P101" s="22"/>
      <c r="Q101" s="22"/>
      <c r="R101" s="22"/>
    </row>
    <row r="102" spans="1:18" x14ac:dyDescent="0.25">
      <c r="A102" s="3">
        <v>15</v>
      </c>
      <c r="B102" s="3" t="s">
        <v>327</v>
      </c>
      <c r="C102" s="3" t="s">
        <v>241</v>
      </c>
      <c r="D102" s="3" t="s">
        <v>290</v>
      </c>
      <c r="E102" s="14">
        <f t="shared" si="16"/>
        <v>30015</v>
      </c>
      <c r="F102" s="22" t="str">
        <f t="shared" si="22"/>
        <v>430015.1</v>
      </c>
      <c r="G102" s="22" t="str">
        <f>"4"&amp;$E102&amp;".2"</f>
        <v>430015.2</v>
      </c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2"/>
    </row>
    <row r="103" spans="1:18" x14ac:dyDescent="0.25">
      <c r="A103" s="3">
        <v>16</v>
      </c>
      <c r="B103" s="3" t="s">
        <v>327</v>
      </c>
      <c r="C103" s="48" t="s">
        <v>67</v>
      </c>
      <c r="D103" s="48" t="s">
        <v>291</v>
      </c>
      <c r="E103" s="14">
        <f t="shared" si="16"/>
        <v>30016</v>
      </c>
      <c r="F103" s="22" t="str">
        <f t="shared" si="22"/>
        <v>430016.1</v>
      </c>
      <c r="G103" s="22"/>
      <c r="H103" s="22" t="str">
        <f t="shared" ref="H103:H167" si="24">"4"&amp;$E103&amp;".3"</f>
        <v>430016.3</v>
      </c>
      <c r="I103" s="22"/>
      <c r="J103" s="22"/>
      <c r="K103" s="22"/>
      <c r="L103" s="22"/>
      <c r="M103" s="22"/>
      <c r="N103" s="22"/>
      <c r="O103" s="49" t="str">
        <f t="shared" ref="O103" si="25">"4"&amp;$E103&amp;".10"</f>
        <v>430016.10</v>
      </c>
      <c r="P103" s="49" t="str">
        <f t="shared" ref="P103" si="26">"4"&amp;$E103&amp;".11"</f>
        <v>430016.11</v>
      </c>
      <c r="Q103" s="49" t="str">
        <f t="shared" ref="Q103" si="27">"4"&amp;$E103&amp;".12"</f>
        <v>430016.12</v>
      </c>
      <c r="R103" s="22"/>
    </row>
    <row r="104" spans="1:18" x14ac:dyDescent="0.25">
      <c r="A104" s="3">
        <v>17</v>
      </c>
      <c r="B104" s="3" t="s">
        <v>327</v>
      </c>
      <c r="C104" s="3" t="s">
        <v>239</v>
      </c>
      <c r="D104" s="3" t="s">
        <v>291</v>
      </c>
      <c r="E104" s="14">
        <f t="shared" si="16"/>
        <v>30017</v>
      </c>
      <c r="F104" s="22" t="str">
        <f t="shared" si="22"/>
        <v>430017.1</v>
      </c>
      <c r="G104" s="22"/>
      <c r="H104" s="22" t="str">
        <f t="shared" si="24"/>
        <v>430017.3</v>
      </c>
      <c r="I104" s="22"/>
      <c r="J104" s="22"/>
      <c r="K104" s="22"/>
      <c r="L104" s="22"/>
      <c r="M104" s="22"/>
      <c r="N104" s="22"/>
      <c r="O104" s="22"/>
      <c r="P104" s="22"/>
      <c r="Q104" s="22"/>
      <c r="R104" s="22"/>
    </row>
    <row r="105" spans="1:18" x14ac:dyDescent="0.25">
      <c r="A105" s="3">
        <v>18</v>
      </c>
      <c r="B105" s="3" t="s">
        <v>327</v>
      </c>
      <c r="C105" s="48" t="s">
        <v>68</v>
      </c>
      <c r="D105" s="48" t="s">
        <v>292</v>
      </c>
      <c r="E105" s="14">
        <f t="shared" si="16"/>
        <v>30018</v>
      </c>
      <c r="F105" s="22" t="str">
        <f t="shared" si="22"/>
        <v>430018.1</v>
      </c>
      <c r="G105" s="22"/>
      <c r="H105" s="22" t="str">
        <f t="shared" si="24"/>
        <v>430018.3</v>
      </c>
      <c r="I105" s="22"/>
      <c r="J105" s="22"/>
      <c r="K105" s="22"/>
      <c r="L105" s="22"/>
      <c r="M105" s="22"/>
      <c r="N105" s="22"/>
      <c r="O105" s="49" t="str">
        <f t="shared" ref="O105" si="28">"4"&amp;$E105&amp;".10"</f>
        <v>430018.10</v>
      </c>
      <c r="P105" s="49" t="str">
        <f t="shared" ref="P105" si="29">"4"&amp;$E105&amp;".11"</f>
        <v>430018.11</v>
      </c>
      <c r="Q105" s="49" t="str">
        <f t="shared" ref="Q105" si="30">"4"&amp;$E105&amp;".12"</f>
        <v>430018.12</v>
      </c>
      <c r="R105" s="22"/>
    </row>
    <row r="106" spans="1:18" x14ac:dyDescent="0.25">
      <c r="A106" s="3">
        <v>19</v>
      </c>
      <c r="B106" s="3" t="s">
        <v>327</v>
      </c>
      <c r="C106" s="3" t="s">
        <v>240</v>
      </c>
      <c r="D106" s="3" t="s">
        <v>292</v>
      </c>
      <c r="E106" s="14">
        <f t="shared" si="16"/>
        <v>30019</v>
      </c>
      <c r="F106" s="22" t="str">
        <f t="shared" si="22"/>
        <v>430019.1</v>
      </c>
      <c r="G106" s="22"/>
      <c r="H106" s="22" t="str">
        <f t="shared" si="24"/>
        <v>430019.3</v>
      </c>
      <c r="I106" s="22"/>
      <c r="J106" s="22"/>
      <c r="K106" s="22"/>
      <c r="L106" s="22"/>
      <c r="M106" s="22"/>
      <c r="N106" s="22"/>
      <c r="O106" s="22"/>
      <c r="P106" s="22"/>
      <c r="Q106" s="22"/>
      <c r="R106" s="22"/>
    </row>
    <row r="107" spans="1:18" x14ac:dyDescent="0.25">
      <c r="A107" s="3">
        <v>20</v>
      </c>
      <c r="B107" s="3" t="s">
        <v>327</v>
      </c>
      <c r="C107" s="3" t="s">
        <v>117</v>
      </c>
      <c r="D107" s="3" t="s">
        <v>282</v>
      </c>
      <c r="E107" s="14">
        <f t="shared" si="16"/>
        <v>30020</v>
      </c>
      <c r="F107" s="22" t="str">
        <f t="shared" si="22"/>
        <v>430020.1</v>
      </c>
      <c r="G107" s="22"/>
      <c r="H107" s="22" t="str">
        <f t="shared" si="24"/>
        <v>430020.3</v>
      </c>
      <c r="I107" s="22"/>
      <c r="J107" s="22"/>
      <c r="K107" s="22"/>
      <c r="L107" s="22"/>
      <c r="M107" s="22"/>
      <c r="N107" s="22"/>
      <c r="O107" s="22"/>
      <c r="P107" s="22"/>
      <c r="Q107" s="22"/>
      <c r="R107" s="22"/>
    </row>
    <row r="108" spans="1:18" x14ac:dyDescent="0.25">
      <c r="A108" s="3">
        <v>21</v>
      </c>
      <c r="B108" s="3" t="s">
        <v>327</v>
      </c>
      <c r="C108" s="3" t="s">
        <v>118</v>
      </c>
      <c r="D108" s="3" t="s">
        <v>282</v>
      </c>
      <c r="E108" s="14">
        <f t="shared" si="16"/>
        <v>30021</v>
      </c>
      <c r="F108" s="22" t="str">
        <f t="shared" si="22"/>
        <v>430021.1</v>
      </c>
      <c r="G108" s="22"/>
      <c r="H108" s="22" t="str">
        <f t="shared" si="24"/>
        <v>430021.3</v>
      </c>
      <c r="I108" s="22"/>
      <c r="J108" s="22"/>
      <c r="K108" s="22"/>
      <c r="L108" s="22"/>
      <c r="M108" s="22"/>
      <c r="N108" s="22"/>
      <c r="O108" s="22"/>
      <c r="P108" s="22"/>
      <c r="Q108" s="22"/>
      <c r="R108" s="22"/>
    </row>
    <row r="109" spans="1:18" x14ac:dyDescent="0.25">
      <c r="A109" s="3">
        <v>22</v>
      </c>
      <c r="B109" s="3" t="s">
        <v>327</v>
      </c>
      <c r="C109" s="3" t="s">
        <v>119</v>
      </c>
      <c r="D109" s="3" t="s">
        <v>282</v>
      </c>
      <c r="E109" s="14">
        <f t="shared" si="16"/>
        <v>30022</v>
      </c>
      <c r="F109" s="22" t="str">
        <f t="shared" si="22"/>
        <v>430022.1</v>
      </c>
      <c r="G109" s="22"/>
      <c r="H109" s="22" t="str">
        <f t="shared" si="24"/>
        <v>430022.3</v>
      </c>
      <c r="I109" s="22"/>
      <c r="J109" s="22"/>
      <c r="K109" s="22"/>
      <c r="L109" s="22"/>
      <c r="M109" s="22"/>
      <c r="N109" s="22"/>
      <c r="O109" s="22"/>
      <c r="P109" s="22"/>
      <c r="Q109" s="22"/>
      <c r="R109" s="22"/>
    </row>
    <row r="110" spans="1:18" x14ac:dyDescent="0.25">
      <c r="A110" s="3">
        <v>23</v>
      </c>
      <c r="B110" s="3" t="s">
        <v>327</v>
      </c>
      <c r="C110" s="3" t="s">
        <v>120</v>
      </c>
      <c r="D110" s="3" t="s">
        <v>319</v>
      </c>
      <c r="E110" s="14">
        <f t="shared" si="16"/>
        <v>30023</v>
      </c>
      <c r="F110" s="22" t="str">
        <f t="shared" si="22"/>
        <v>430023.1</v>
      </c>
      <c r="G110" s="22"/>
      <c r="H110" s="22" t="str">
        <f t="shared" si="24"/>
        <v>430023.3</v>
      </c>
      <c r="I110" s="22"/>
      <c r="J110" s="22"/>
      <c r="K110" s="22"/>
      <c r="L110" s="22"/>
      <c r="M110" s="22"/>
      <c r="N110" s="22"/>
      <c r="O110" s="22"/>
      <c r="P110" s="22"/>
      <c r="Q110" s="22"/>
      <c r="R110" s="22"/>
    </row>
    <row r="111" spans="1:18" x14ac:dyDescent="0.25">
      <c r="A111" s="3">
        <v>24</v>
      </c>
      <c r="B111" s="3" t="s">
        <v>327</v>
      </c>
      <c r="C111" s="3" t="s">
        <v>121</v>
      </c>
      <c r="D111" s="3" t="s">
        <v>319</v>
      </c>
      <c r="E111" s="14">
        <f t="shared" si="16"/>
        <v>30024</v>
      </c>
      <c r="F111" s="22" t="str">
        <f t="shared" si="22"/>
        <v>430024.1</v>
      </c>
      <c r="G111" s="22"/>
      <c r="H111" s="22" t="str">
        <f t="shared" si="24"/>
        <v>430024.3</v>
      </c>
      <c r="I111" s="22"/>
      <c r="J111" s="22"/>
      <c r="K111" s="22"/>
      <c r="L111" s="22"/>
      <c r="M111" s="22"/>
      <c r="N111" s="22"/>
      <c r="O111" s="22"/>
      <c r="P111" s="22"/>
      <c r="Q111" s="22"/>
      <c r="R111" s="22"/>
    </row>
    <row r="112" spans="1:18" x14ac:dyDescent="0.25">
      <c r="A112" s="3">
        <v>25</v>
      </c>
      <c r="B112" s="3" t="s">
        <v>327</v>
      </c>
      <c r="C112" s="3" t="s">
        <v>122</v>
      </c>
      <c r="D112" s="3" t="s">
        <v>319</v>
      </c>
      <c r="E112" s="14">
        <f t="shared" si="16"/>
        <v>30025</v>
      </c>
      <c r="F112" s="22" t="str">
        <f t="shared" si="22"/>
        <v>430025.1</v>
      </c>
      <c r="G112" s="22"/>
      <c r="H112" s="22" t="str">
        <f t="shared" si="24"/>
        <v>430025.3</v>
      </c>
      <c r="I112" s="22"/>
      <c r="J112" s="22"/>
      <c r="K112" s="22"/>
      <c r="L112" s="22"/>
      <c r="M112" s="22"/>
      <c r="N112" s="22"/>
      <c r="O112" s="22"/>
      <c r="P112" s="22"/>
      <c r="Q112" s="22"/>
      <c r="R112" s="22"/>
    </row>
    <row r="113" spans="1:18" x14ac:dyDescent="0.25">
      <c r="A113" s="3">
        <v>26</v>
      </c>
      <c r="B113" s="3" t="s">
        <v>327</v>
      </c>
      <c r="C113" s="3" t="s">
        <v>123</v>
      </c>
      <c r="D113" s="3" t="s">
        <v>319</v>
      </c>
      <c r="E113" s="14">
        <f t="shared" si="16"/>
        <v>30026</v>
      </c>
      <c r="F113" s="22" t="str">
        <f t="shared" si="22"/>
        <v>430026.1</v>
      </c>
      <c r="G113" s="22"/>
      <c r="H113" s="22" t="str">
        <f t="shared" si="24"/>
        <v>430026.3</v>
      </c>
      <c r="I113" s="22"/>
      <c r="J113" s="22"/>
      <c r="K113" s="22"/>
      <c r="L113" s="22"/>
      <c r="M113" s="22"/>
      <c r="N113" s="22"/>
      <c r="O113" s="22"/>
      <c r="P113" s="22"/>
      <c r="Q113" s="22"/>
      <c r="R113" s="22"/>
    </row>
    <row r="114" spans="1:18" x14ac:dyDescent="0.25">
      <c r="A114" s="3">
        <v>27</v>
      </c>
      <c r="B114" s="3" t="s">
        <v>327</v>
      </c>
      <c r="C114" s="3" t="s">
        <v>124</v>
      </c>
      <c r="D114" s="3" t="s">
        <v>319</v>
      </c>
      <c r="E114" s="14">
        <f t="shared" si="16"/>
        <v>30027</v>
      </c>
      <c r="F114" s="22" t="str">
        <f t="shared" si="22"/>
        <v>430027.1</v>
      </c>
      <c r="G114" s="22"/>
      <c r="H114" s="22" t="str">
        <f t="shared" si="24"/>
        <v>430027.3</v>
      </c>
      <c r="I114" s="22"/>
      <c r="J114" s="22"/>
      <c r="K114" s="22"/>
      <c r="L114" s="22"/>
      <c r="M114" s="22"/>
      <c r="N114" s="22"/>
      <c r="O114" s="22"/>
      <c r="P114" s="22"/>
      <c r="Q114" s="22"/>
      <c r="R114" s="22"/>
    </row>
    <row r="115" spans="1:18" x14ac:dyDescent="0.25">
      <c r="A115" s="3">
        <v>28</v>
      </c>
      <c r="B115" s="3" t="s">
        <v>327</v>
      </c>
      <c r="C115" s="3" t="s">
        <v>125</v>
      </c>
      <c r="D115" s="3" t="s">
        <v>319</v>
      </c>
      <c r="E115" s="14">
        <f t="shared" si="16"/>
        <v>30028</v>
      </c>
      <c r="F115" s="22" t="str">
        <f t="shared" si="22"/>
        <v>430028.1</v>
      </c>
      <c r="G115" s="22"/>
      <c r="H115" s="22" t="str">
        <f t="shared" si="24"/>
        <v>430028.3</v>
      </c>
      <c r="I115" s="22"/>
      <c r="J115" s="22"/>
      <c r="K115" s="22"/>
      <c r="L115" s="22"/>
      <c r="M115" s="22"/>
      <c r="N115" s="22"/>
      <c r="O115" s="22"/>
      <c r="P115" s="22"/>
      <c r="Q115" s="22"/>
      <c r="R115" s="22"/>
    </row>
    <row r="116" spans="1:18" x14ac:dyDescent="0.25">
      <c r="A116" s="3">
        <v>29</v>
      </c>
      <c r="B116" s="3" t="s">
        <v>327</v>
      </c>
      <c r="C116" s="3" t="s">
        <v>126</v>
      </c>
      <c r="D116" s="3" t="s">
        <v>319</v>
      </c>
      <c r="E116" s="14">
        <f t="shared" si="16"/>
        <v>30029</v>
      </c>
      <c r="F116" s="22" t="str">
        <f t="shared" si="22"/>
        <v>430029.1</v>
      </c>
      <c r="G116" s="22"/>
      <c r="H116" s="22" t="str">
        <f t="shared" si="24"/>
        <v>430029.3</v>
      </c>
      <c r="I116" s="22"/>
      <c r="J116" s="22"/>
      <c r="K116" s="22"/>
      <c r="L116" s="22"/>
      <c r="M116" s="22"/>
      <c r="N116" s="22"/>
      <c r="O116" s="22"/>
      <c r="P116" s="22"/>
      <c r="Q116" s="22"/>
      <c r="R116" s="22"/>
    </row>
    <row r="117" spans="1:18" x14ac:dyDescent="0.25">
      <c r="A117" s="3">
        <v>30</v>
      </c>
      <c r="B117" s="3" t="s">
        <v>327</v>
      </c>
      <c r="C117" s="3" t="s">
        <v>127</v>
      </c>
      <c r="D117" s="3" t="s">
        <v>319</v>
      </c>
      <c r="E117" s="14">
        <f t="shared" si="16"/>
        <v>30030</v>
      </c>
      <c r="F117" s="22" t="str">
        <f t="shared" si="22"/>
        <v>430030.1</v>
      </c>
      <c r="G117" s="22"/>
      <c r="H117" s="22" t="str">
        <f t="shared" si="24"/>
        <v>430030.3</v>
      </c>
      <c r="I117" s="22"/>
      <c r="J117" s="22"/>
      <c r="K117" s="22"/>
      <c r="L117" s="22"/>
      <c r="M117" s="22"/>
      <c r="N117" s="22"/>
      <c r="O117" s="22"/>
      <c r="P117" s="22"/>
      <c r="Q117" s="22"/>
      <c r="R117" s="22"/>
    </row>
    <row r="118" spans="1:18" x14ac:dyDescent="0.25">
      <c r="A118" s="3">
        <v>31</v>
      </c>
      <c r="B118" s="3" t="s">
        <v>327</v>
      </c>
      <c r="C118" s="3" t="s">
        <v>128</v>
      </c>
      <c r="D118" s="3" t="s">
        <v>320</v>
      </c>
      <c r="E118" s="14">
        <f t="shared" si="16"/>
        <v>30031</v>
      </c>
      <c r="F118" s="22" t="str">
        <f t="shared" si="22"/>
        <v>430031.1</v>
      </c>
      <c r="G118" s="22"/>
      <c r="H118" s="22" t="str">
        <f t="shared" si="24"/>
        <v>430031.3</v>
      </c>
      <c r="I118" s="22"/>
      <c r="J118" s="22"/>
      <c r="K118" s="22"/>
      <c r="L118" s="22"/>
      <c r="M118" s="22"/>
      <c r="N118" s="22"/>
      <c r="O118" s="22"/>
      <c r="P118" s="22"/>
      <c r="Q118" s="22"/>
      <c r="R118" s="22"/>
    </row>
    <row r="119" spans="1:18" x14ac:dyDescent="0.25">
      <c r="A119" s="3">
        <v>32</v>
      </c>
      <c r="B119" s="3" t="s">
        <v>327</v>
      </c>
      <c r="C119" s="3" t="s">
        <v>129</v>
      </c>
      <c r="D119" s="3" t="s">
        <v>320</v>
      </c>
      <c r="E119" s="14">
        <f t="shared" si="16"/>
        <v>30032</v>
      </c>
      <c r="F119" s="22" t="str">
        <f t="shared" si="22"/>
        <v>430032.1</v>
      </c>
      <c r="G119" s="22"/>
      <c r="H119" s="22" t="str">
        <f t="shared" si="24"/>
        <v>430032.3</v>
      </c>
      <c r="I119" s="22"/>
      <c r="J119" s="22"/>
      <c r="K119" s="22"/>
      <c r="L119" s="22"/>
      <c r="M119" s="22"/>
      <c r="N119" s="22"/>
      <c r="O119" s="22"/>
      <c r="P119" s="22"/>
      <c r="Q119" s="22"/>
      <c r="R119" s="22"/>
    </row>
    <row r="120" spans="1:18" x14ac:dyDescent="0.25">
      <c r="A120" s="3">
        <v>33</v>
      </c>
      <c r="B120" s="3" t="s">
        <v>327</v>
      </c>
      <c r="C120" s="3" t="s">
        <v>130</v>
      </c>
      <c r="D120" s="3" t="s">
        <v>320</v>
      </c>
      <c r="E120" s="14">
        <f t="shared" si="16"/>
        <v>30033</v>
      </c>
      <c r="F120" s="22" t="str">
        <f t="shared" si="22"/>
        <v>430033.1</v>
      </c>
      <c r="G120" s="22"/>
      <c r="H120" s="22" t="str">
        <f t="shared" si="24"/>
        <v>430033.3</v>
      </c>
      <c r="I120" s="22"/>
      <c r="J120" s="22"/>
      <c r="K120" s="22"/>
      <c r="L120" s="22"/>
      <c r="M120" s="22"/>
      <c r="N120" s="22"/>
      <c r="O120" s="22"/>
      <c r="P120" s="22"/>
      <c r="Q120" s="22"/>
      <c r="R120" s="22"/>
    </row>
    <row r="121" spans="1:18" x14ac:dyDescent="0.25">
      <c r="A121" s="3">
        <v>34</v>
      </c>
      <c r="B121" s="3" t="s">
        <v>327</v>
      </c>
      <c r="C121" s="3" t="s">
        <v>131</v>
      </c>
      <c r="D121" s="3" t="s">
        <v>320</v>
      </c>
      <c r="E121" s="14">
        <f t="shared" si="16"/>
        <v>30034</v>
      </c>
      <c r="F121" s="22" t="str">
        <f t="shared" si="22"/>
        <v>430034.1</v>
      </c>
      <c r="G121" s="22"/>
      <c r="H121" s="22" t="str">
        <f t="shared" si="24"/>
        <v>430034.3</v>
      </c>
      <c r="I121" s="22"/>
      <c r="J121" s="22"/>
      <c r="K121" s="22"/>
      <c r="L121" s="22"/>
      <c r="M121" s="22"/>
      <c r="N121" s="22"/>
      <c r="O121" s="22"/>
      <c r="P121" s="22"/>
      <c r="Q121" s="22"/>
      <c r="R121" s="22"/>
    </row>
    <row r="122" spans="1:18" x14ac:dyDescent="0.25">
      <c r="A122" s="3">
        <v>35</v>
      </c>
      <c r="B122" s="3" t="s">
        <v>327</v>
      </c>
      <c r="C122" s="3" t="s">
        <v>132</v>
      </c>
      <c r="D122" s="3" t="s">
        <v>320</v>
      </c>
      <c r="E122" s="14">
        <f t="shared" si="16"/>
        <v>30035</v>
      </c>
      <c r="F122" s="22" t="str">
        <f t="shared" si="22"/>
        <v>430035.1</v>
      </c>
      <c r="G122" s="22"/>
      <c r="H122" s="22" t="str">
        <f t="shared" si="24"/>
        <v>430035.3</v>
      </c>
      <c r="I122" s="22"/>
      <c r="J122" s="22"/>
      <c r="K122" s="22"/>
      <c r="L122" s="22"/>
      <c r="M122" s="22"/>
      <c r="N122" s="22"/>
      <c r="O122" s="22"/>
      <c r="P122" s="22"/>
      <c r="Q122" s="22"/>
      <c r="R122" s="22"/>
    </row>
    <row r="123" spans="1:18" x14ac:dyDescent="0.25">
      <c r="A123" s="3">
        <v>36</v>
      </c>
      <c r="B123" s="3" t="s">
        <v>327</v>
      </c>
      <c r="C123" s="3" t="s">
        <v>133</v>
      </c>
      <c r="D123" s="3" t="s">
        <v>320</v>
      </c>
      <c r="E123" s="14">
        <f t="shared" si="16"/>
        <v>30036</v>
      </c>
      <c r="F123" s="22" t="str">
        <f t="shared" si="22"/>
        <v>430036.1</v>
      </c>
      <c r="G123" s="22"/>
      <c r="H123" s="22" t="str">
        <f t="shared" si="24"/>
        <v>430036.3</v>
      </c>
      <c r="I123" s="22"/>
      <c r="J123" s="22"/>
      <c r="K123" s="22"/>
      <c r="L123" s="22"/>
      <c r="M123" s="22"/>
      <c r="N123" s="22"/>
      <c r="O123" s="22"/>
      <c r="P123" s="22"/>
      <c r="Q123" s="22"/>
      <c r="R123" s="22"/>
    </row>
    <row r="124" spans="1:18" x14ac:dyDescent="0.25">
      <c r="A124" s="3">
        <v>37</v>
      </c>
      <c r="B124" s="3" t="s">
        <v>327</v>
      </c>
      <c r="C124" s="3" t="s">
        <v>134</v>
      </c>
      <c r="D124" s="3" t="s">
        <v>320</v>
      </c>
      <c r="E124" s="14">
        <f t="shared" si="16"/>
        <v>30037</v>
      </c>
      <c r="F124" s="22" t="str">
        <f t="shared" si="22"/>
        <v>430037.1</v>
      </c>
      <c r="G124" s="22"/>
      <c r="H124" s="22" t="str">
        <f t="shared" si="24"/>
        <v>430037.3</v>
      </c>
      <c r="I124" s="22"/>
      <c r="J124" s="22"/>
      <c r="K124" s="22"/>
      <c r="L124" s="22"/>
      <c r="M124" s="22"/>
      <c r="N124" s="22"/>
      <c r="O124" s="22"/>
      <c r="P124" s="22"/>
      <c r="Q124" s="22"/>
      <c r="R124" s="22"/>
    </row>
    <row r="125" spans="1:18" x14ac:dyDescent="0.25">
      <c r="A125" s="3">
        <v>38</v>
      </c>
      <c r="B125" s="3" t="s">
        <v>327</v>
      </c>
      <c r="C125" s="3" t="s">
        <v>135</v>
      </c>
      <c r="D125" s="3" t="s">
        <v>320</v>
      </c>
      <c r="E125" s="14">
        <f t="shared" si="16"/>
        <v>30038</v>
      </c>
      <c r="F125" s="22" t="str">
        <f t="shared" si="22"/>
        <v>430038.1</v>
      </c>
      <c r="G125" s="22"/>
      <c r="H125" s="22" t="str">
        <f t="shared" si="24"/>
        <v>430038.3</v>
      </c>
      <c r="I125" s="22"/>
      <c r="J125" s="22"/>
      <c r="K125" s="22"/>
      <c r="L125" s="22"/>
      <c r="M125" s="22"/>
      <c r="N125" s="22"/>
      <c r="O125" s="22"/>
      <c r="P125" s="22"/>
      <c r="Q125" s="22"/>
      <c r="R125" s="22"/>
    </row>
    <row r="126" spans="1:18" x14ac:dyDescent="0.25">
      <c r="A126" s="3">
        <v>39</v>
      </c>
      <c r="B126" s="3" t="s">
        <v>327</v>
      </c>
      <c r="C126" s="3" t="s">
        <v>136</v>
      </c>
      <c r="D126" s="3" t="s">
        <v>320</v>
      </c>
      <c r="E126" s="14">
        <f t="shared" si="16"/>
        <v>30039</v>
      </c>
      <c r="F126" s="22" t="str">
        <f t="shared" si="22"/>
        <v>430039.1</v>
      </c>
      <c r="G126" s="22"/>
      <c r="H126" s="22" t="str">
        <f t="shared" si="24"/>
        <v>430039.3</v>
      </c>
      <c r="I126" s="22"/>
      <c r="J126" s="22"/>
      <c r="K126" s="22"/>
      <c r="L126" s="22"/>
      <c r="M126" s="22"/>
      <c r="N126" s="22"/>
      <c r="O126" s="22"/>
      <c r="P126" s="22"/>
      <c r="Q126" s="22"/>
      <c r="R126" s="22"/>
    </row>
    <row r="127" spans="1:18" x14ac:dyDescent="0.25">
      <c r="A127" s="3">
        <v>40</v>
      </c>
      <c r="B127" s="3" t="s">
        <v>327</v>
      </c>
      <c r="C127" s="3" t="s">
        <v>137</v>
      </c>
      <c r="D127" s="3" t="s">
        <v>320</v>
      </c>
      <c r="E127" s="14">
        <f t="shared" si="16"/>
        <v>30040</v>
      </c>
      <c r="F127" s="22" t="str">
        <f t="shared" si="22"/>
        <v>430040.1</v>
      </c>
      <c r="G127" s="22"/>
      <c r="H127" s="22" t="str">
        <f t="shared" si="24"/>
        <v>430040.3</v>
      </c>
      <c r="I127" s="22"/>
      <c r="J127" s="22"/>
      <c r="K127" s="22"/>
      <c r="L127" s="22"/>
      <c r="M127" s="22"/>
      <c r="N127" s="22"/>
      <c r="O127" s="22"/>
      <c r="P127" s="22"/>
      <c r="Q127" s="22"/>
      <c r="R127" s="22"/>
    </row>
    <row r="128" spans="1:18" x14ac:dyDescent="0.25">
      <c r="A128" s="3">
        <v>41</v>
      </c>
      <c r="B128" s="3" t="s">
        <v>327</v>
      </c>
      <c r="C128" s="3" t="s">
        <v>138</v>
      </c>
      <c r="D128" s="3" t="s">
        <v>283</v>
      </c>
      <c r="E128" s="14">
        <f t="shared" si="16"/>
        <v>30041</v>
      </c>
      <c r="F128" s="22" t="str">
        <f t="shared" si="22"/>
        <v>430041.1</v>
      </c>
      <c r="G128" s="22"/>
      <c r="H128" s="22" t="str">
        <f t="shared" si="24"/>
        <v>430041.3</v>
      </c>
      <c r="I128" s="22"/>
      <c r="J128" s="22"/>
      <c r="K128" s="22"/>
      <c r="L128" s="22"/>
      <c r="M128" s="22"/>
      <c r="N128" s="22"/>
      <c r="O128" s="22"/>
      <c r="P128" s="22"/>
      <c r="Q128" s="22"/>
      <c r="R128" s="22"/>
    </row>
    <row r="129" spans="1:18" x14ac:dyDescent="0.25">
      <c r="A129" s="3">
        <v>42</v>
      </c>
      <c r="B129" s="3" t="s">
        <v>327</v>
      </c>
      <c r="C129" s="3" t="s">
        <v>139</v>
      </c>
      <c r="D129" s="3" t="s">
        <v>283</v>
      </c>
      <c r="E129" s="14">
        <f t="shared" si="16"/>
        <v>30042</v>
      </c>
      <c r="F129" s="22" t="str">
        <f t="shared" si="22"/>
        <v>430042.1</v>
      </c>
      <c r="G129" s="22"/>
      <c r="H129" s="22" t="str">
        <f t="shared" si="24"/>
        <v>430042.3</v>
      </c>
      <c r="I129" s="22"/>
      <c r="J129" s="22"/>
      <c r="K129" s="22"/>
      <c r="L129" s="22"/>
      <c r="M129" s="22"/>
      <c r="N129" s="22"/>
      <c r="O129" s="22"/>
      <c r="P129" s="22"/>
      <c r="Q129" s="22"/>
      <c r="R129" s="22"/>
    </row>
    <row r="130" spans="1:18" x14ac:dyDescent="0.25">
      <c r="A130" s="3">
        <v>43</v>
      </c>
      <c r="B130" s="3" t="s">
        <v>327</v>
      </c>
      <c r="C130" s="3" t="s">
        <v>140</v>
      </c>
      <c r="D130" s="3" t="s">
        <v>283</v>
      </c>
      <c r="E130" s="14">
        <f t="shared" si="16"/>
        <v>30043</v>
      </c>
      <c r="F130" s="22" t="str">
        <f t="shared" si="22"/>
        <v>430043.1</v>
      </c>
      <c r="G130" s="22"/>
      <c r="H130" s="22" t="str">
        <f t="shared" si="24"/>
        <v>430043.3</v>
      </c>
      <c r="I130" s="22"/>
      <c r="J130" s="22"/>
      <c r="K130" s="22"/>
      <c r="L130" s="22"/>
      <c r="M130" s="22"/>
      <c r="N130" s="22"/>
      <c r="O130" s="22"/>
      <c r="P130" s="22"/>
      <c r="Q130" s="22"/>
      <c r="R130" s="22"/>
    </row>
    <row r="131" spans="1:18" x14ac:dyDescent="0.25">
      <c r="A131" s="3">
        <v>44</v>
      </c>
      <c r="B131" s="3" t="s">
        <v>327</v>
      </c>
      <c r="C131" s="3" t="s">
        <v>141</v>
      </c>
      <c r="D131" s="3" t="s">
        <v>283</v>
      </c>
      <c r="E131" s="14">
        <f t="shared" si="16"/>
        <v>30044</v>
      </c>
      <c r="F131" s="22" t="str">
        <f t="shared" si="22"/>
        <v>430044.1</v>
      </c>
      <c r="G131" s="22"/>
      <c r="H131" s="22" t="str">
        <f t="shared" si="24"/>
        <v>430044.3</v>
      </c>
      <c r="I131" s="22"/>
      <c r="J131" s="22"/>
      <c r="K131" s="22"/>
      <c r="L131" s="22"/>
      <c r="M131" s="22"/>
      <c r="N131" s="22"/>
      <c r="O131" s="22"/>
      <c r="P131" s="22"/>
      <c r="Q131" s="22"/>
      <c r="R131" s="22"/>
    </row>
    <row r="132" spans="1:18" x14ac:dyDescent="0.25">
      <c r="A132" s="3">
        <v>45</v>
      </c>
      <c r="B132" s="3" t="s">
        <v>327</v>
      </c>
      <c r="C132" s="3" t="s">
        <v>142</v>
      </c>
      <c r="D132" s="3" t="s">
        <v>321</v>
      </c>
      <c r="E132" s="14">
        <f t="shared" si="16"/>
        <v>30045</v>
      </c>
      <c r="F132" s="22" t="str">
        <f t="shared" si="22"/>
        <v>430045.1</v>
      </c>
      <c r="G132" s="22"/>
      <c r="H132" s="22" t="str">
        <f t="shared" si="24"/>
        <v>430045.3</v>
      </c>
      <c r="I132" s="22"/>
      <c r="J132" s="22"/>
      <c r="K132" s="22"/>
      <c r="L132" s="22"/>
      <c r="M132" s="22"/>
      <c r="N132" s="22"/>
      <c r="O132" s="22"/>
      <c r="P132" s="22"/>
      <c r="Q132" s="22"/>
      <c r="R132" s="22"/>
    </row>
    <row r="133" spans="1:18" x14ac:dyDescent="0.25">
      <c r="A133" s="3">
        <v>46</v>
      </c>
      <c r="B133" s="3" t="s">
        <v>327</v>
      </c>
      <c r="C133" s="3" t="s">
        <v>143</v>
      </c>
      <c r="D133" s="3" t="s">
        <v>321</v>
      </c>
      <c r="E133" s="14">
        <f t="shared" si="16"/>
        <v>30046</v>
      </c>
      <c r="F133" s="22" t="str">
        <f t="shared" si="22"/>
        <v>430046.1</v>
      </c>
      <c r="G133" s="22"/>
      <c r="H133" s="22" t="str">
        <f t="shared" si="24"/>
        <v>430046.3</v>
      </c>
      <c r="I133" s="22"/>
      <c r="J133" s="22"/>
      <c r="K133" s="22"/>
      <c r="L133" s="22"/>
      <c r="M133" s="22"/>
      <c r="N133" s="22"/>
      <c r="O133" s="22"/>
      <c r="P133" s="22"/>
      <c r="Q133" s="22"/>
      <c r="R133" s="22"/>
    </row>
    <row r="134" spans="1:18" x14ac:dyDescent="0.25">
      <c r="A134" s="3">
        <v>47</v>
      </c>
      <c r="B134" s="3" t="s">
        <v>327</v>
      </c>
      <c r="C134" s="3" t="s">
        <v>144</v>
      </c>
      <c r="D134" s="3" t="s">
        <v>321</v>
      </c>
      <c r="E134" s="14">
        <f t="shared" si="16"/>
        <v>30047</v>
      </c>
      <c r="F134" s="22" t="str">
        <f t="shared" si="22"/>
        <v>430047.1</v>
      </c>
      <c r="G134" s="22"/>
      <c r="H134" s="22" t="str">
        <f t="shared" si="24"/>
        <v>430047.3</v>
      </c>
      <c r="I134" s="22"/>
      <c r="J134" s="22"/>
      <c r="K134" s="22"/>
      <c r="L134" s="22"/>
      <c r="M134" s="22"/>
      <c r="N134" s="22"/>
      <c r="O134" s="22"/>
      <c r="P134" s="22"/>
      <c r="Q134" s="22"/>
      <c r="R134" s="22"/>
    </row>
    <row r="135" spans="1:18" x14ac:dyDescent="0.25">
      <c r="A135" s="3">
        <v>48</v>
      </c>
      <c r="B135" s="3" t="s">
        <v>327</v>
      </c>
      <c r="C135" s="3" t="s">
        <v>145</v>
      </c>
      <c r="D135" s="3" t="s">
        <v>321</v>
      </c>
      <c r="E135" s="14">
        <f t="shared" si="16"/>
        <v>30048</v>
      </c>
      <c r="F135" s="22" t="str">
        <f t="shared" si="22"/>
        <v>430048.1</v>
      </c>
      <c r="G135" s="22"/>
      <c r="H135" s="22" t="str">
        <f t="shared" si="24"/>
        <v>430048.3</v>
      </c>
      <c r="I135" s="22"/>
      <c r="J135" s="22"/>
      <c r="K135" s="22"/>
      <c r="L135" s="22"/>
      <c r="M135" s="22"/>
      <c r="N135" s="22"/>
      <c r="O135" s="22"/>
      <c r="P135" s="22"/>
      <c r="Q135" s="22"/>
      <c r="R135" s="22"/>
    </row>
    <row r="136" spans="1:18" x14ac:dyDescent="0.25">
      <c r="A136" s="3">
        <v>49</v>
      </c>
      <c r="B136" s="3" t="s">
        <v>327</v>
      </c>
      <c r="C136" s="3" t="s">
        <v>146</v>
      </c>
      <c r="D136" s="3" t="s">
        <v>321</v>
      </c>
      <c r="E136" s="14">
        <f t="shared" si="16"/>
        <v>30049</v>
      </c>
      <c r="F136" s="22" t="str">
        <f t="shared" si="22"/>
        <v>430049.1</v>
      </c>
      <c r="G136" s="22"/>
      <c r="H136" s="22" t="str">
        <f t="shared" si="24"/>
        <v>430049.3</v>
      </c>
      <c r="I136" s="22"/>
      <c r="J136" s="22"/>
      <c r="K136" s="22"/>
      <c r="L136" s="22"/>
      <c r="M136" s="22"/>
      <c r="N136" s="22"/>
      <c r="O136" s="22"/>
      <c r="P136" s="22"/>
      <c r="Q136" s="22"/>
      <c r="R136" s="22"/>
    </row>
    <row r="137" spans="1:18" x14ac:dyDescent="0.25">
      <c r="A137" s="3">
        <v>50</v>
      </c>
      <c r="B137" s="3" t="s">
        <v>327</v>
      </c>
      <c r="C137" s="3" t="s">
        <v>147</v>
      </c>
      <c r="D137" s="3" t="s">
        <v>321</v>
      </c>
      <c r="E137" s="14">
        <f t="shared" si="16"/>
        <v>30050</v>
      </c>
      <c r="F137" s="22" t="str">
        <f t="shared" si="22"/>
        <v>430050.1</v>
      </c>
      <c r="G137" s="22"/>
      <c r="H137" s="22" t="str">
        <f t="shared" si="24"/>
        <v>430050.3</v>
      </c>
      <c r="I137" s="22"/>
      <c r="J137" s="22"/>
      <c r="K137" s="22"/>
      <c r="L137" s="22"/>
      <c r="M137" s="22"/>
      <c r="N137" s="22"/>
      <c r="O137" s="22"/>
      <c r="P137" s="22"/>
      <c r="Q137" s="22"/>
      <c r="R137" s="22"/>
    </row>
    <row r="138" spans="1:18" x14ac:dyDescent="0.25">
      <c r="A138" s="3">
        <v>51</v>
      </c>
      <c r="B138" s="3" t="s">
        <v>327</v>
      </c>
      <c r="C138" s="3" t="s">
        <v>148</v>
      </c>
      <c r="D138" s="3" t="s">
        <v>321</v>
      </c>
      <c r="E138" s="14">
        <f t="shared" si="16"/>
        <v>30051</v>
      </c>
      <c r="F138" s="22" t="str">
        <f t="shared" si="22"/>
        <v>430051.1</v>
      </c>
      <c r="G138" s="22"/>
      <c r="H138" s="22" t="str">
        <f t="shared" si="24"/>
        <v>430051.3</v>
      </c>
      <c r="I138" s="22"/>
      <c r="J138" s="22"/>
      <c r="K138" s="22"/>
      <c r="L138" s="22"/>
      <c r="M138" s="22"/>
      <c r="N138" s="22"/>
      <c r="O138" s="22"/>
      <c r="P138" s="22"/>
      <c r="Q138" s="22"/>
      <c r="R138" s="22"/>
    </row>
    <row r="139" spans="1:18" x14ac:dyDescent="0.25">
      <c r="A139" s="3">
        <v>52</v>
      </c>
      <c r="B139" s="3" t="s">
        <v>327</v>
      </c>
      <c r="C139" s="3" t="s">
        <v>149</v>
      </c>
      <c r="D139" s="3" t="s">
        <v>321</v>
      </c>
      <c r="E139" s="14">
        <f t="shared" si="16"/>
        <v>30052</v>
      </c>
      <c r="F139" s="22" t="str">
        <f t="shared" si="22"/>
        <v>430052.1</v>
      </c>
      <c r="G139" s="22"/>
      <c r="H139" s="22" t="str">
        <f t="shared" si="24"/>
        <v>430052.3</v>
      </c>
      <c r="I139" s="22"/>
      <c r="J139" s="22"/>
      <c r="K139" s="22"/>
      <c r="L139" s="22"/>
      <c r="M139" s="22"/>
      <c r="N139" s="22"/>
      <c r="O139" s="22"/>
      <c r="P139" s="22"/>
      <c r="Q139" s="22"/>
      <c r="R139" s="22"/>
    </row>
    <row r="140" spans="1:18" x14ac:dyDescent="0.25">
      <c r="A140" s="3">
        <v>53</v>
      </c>
      <c r="B140" s="3" t="s">
        <v>327</v>
      </c>
      <c r="C140" s="3" t="s">
        <v>150</v>
      </c>
      <c r="D140" s="3" t="s">
        <v>321</v>
      </c>
      <c r="E140" s="14">
        <f t="shared" si="16"/>
        <v>30053</v>
      </c>
      <c r="F140" s="22" t="str">
        <f t="shared" si="22"/>
        <v>430053.1</v>
      </c>
      <c r="G140" s="22"/>
      <c r="H140" s="22" t="str">
        <f t="shared" si="24"/>
        <v>430053.3</v>
      </c>
      <c r="I140" s="22"/>
      <c r="J140" s="22"/>
      <c r="K140" s="22"/>
      <c r="L140" s="22"/>
      <c r="M140" s="22"/>
      <c r="N140" s="22"/>
      <c r="O140" s="22"/>
      <c r="P140" s="22"/>
      <c r="Q140" s="22"/>
      <c r="R140" s="22"/>
    </row>
    <row r="141" spans="1:18" x14ac:dyDescent="0.25">
      <c r="A141" s="3">
        <v>54</v>
      </c>
      <c r="B141" s="3" t="s">
        <v>327</v>
      </c>
      <c r="C141" s="3" t="s">
        <v>151</v>
      </c>
      <c r="D141" s="3" t="s">
        <v>321</v>
      </c>
      <c r="E141" s="14">
        <f t="shared" si="16"/>
        <v>30054</v>
      </c>
      <c r="F141" s="22" t="str">
        <f t="shared" si="22"/>
        <v>430054.1</v>
      </c>
      <c r="G141" s="22"/>
      <c r="H141" s="22" t="str">
        <f t="shared" si="24"/>
        <v>430054.3</v>
      </c>
      <c r="I141" s="22"/>
      <c r="J141" s="22"/>
      <c r="K141" s="22"/>
      <c r="L141" s="22"/>
      <c r="M141" s="22"/>
      <c r="N141" s="22"/>
      <c r="O141" s="22"/>
      <c r="P141" s="22"/>
      <c r="Q141" s="22"/>
      <c r="R141" s="22"/>
    </row>
    <row r="142" spans="1:18" x14ac:dyDescent="0.25">
      <c r="A142" s="3">
        <v>55</v>
      </c>
      <c r="B142" s="3" t="s">
        <v>327</v>
      </c>
      <c r="C142" s="3" t="s">
        <v>152</v>
      </c>
      <c r="D142" s="3" t="s">
        <v>321</v>
      </c>
      <c r="E142" s="14">
        <f t="shared" si="16"/>
        <v>30055</v>
      </c>
      <c r="F142" s="22" t="str">
        <f t="shared" si="22"/>
        <v>430055.1</v>
      </c>
      <c r="G142" s="22"/>
      <c r="H142" s="22" t="str">
        <f t="shared" si="24"/>
        <v>430055.3</v>
      </c>
      <c r="I142" s="22"/>
      <c r="J142" s="22"/>
      <c r="K142" s="22"/>
      <c r="L142" s="22"/>
      <c r="M142" s="22"/>
      <c r="N142" s="22"/>
      <c r="O142" s="22"/>
      <c r="P142" s="22"/>
      <c r="Q142" s="22"/>
      <c r="R142" s="22"/>
    </row>
    <row r="143" spans="1:18" x14ac:dyDescent="0.25">
      <c r="A143" s="3">
        <v>56</v>
      </c>
      <c r="B143" s="3" t="s">
        <v>327</v>
      </c>
      <c r="C143" s="3" t="s">
        <v>153</v>
      </c>
      <c r="D143" s="3" t="s">
        <v>321</v>
      </c>
      <c r="E143" s="14">
        <f t="shared" si="16"/>
        <v>30056</v>
      </c>
      <c r="F143" s="22" t="str">
        <f t="shared" si="22"/>
        <v>430056.1</v>
      </c>
      <c r="G143" s="22"/>
      <c r="H143" s="22" t="str">
        <f t="shared" si="24"/>
        <v>430056.3</v>
      </c>
      <c r="I143" s="22"/>
      <c r="J143" s="22"/>
      <c r="K143" s="22"/>
      <c r="L143" s="22"/>
      <c r="M143" s="22"/>
      <c r="N143" s="22"/>
      <c r="O143" s="22"/>
      <c r="P143" s="22"/>
      <c r="Q143" s="22"/>
      <c r="R143" s="22"/>
    </row>
    <row r="144" spans="1:18" x14ac:dyDescent="0.25">
      <c r="A144" s="3">
        <v>57</v>
      </c>
      <c r="B144" s="3" t="s">
        <v>327</v>
      </c>
      <c r="C144" s="6" t="s">
        <v>587</v>
      </c>
      <c r="D144" s="6" t="s">
        <v>321</v>
      </c>
      <c r="E144" s="17">
        <f t="shared" si="16"/>
        <v>30057</v>
      </c>
      <c r="F144" s="22" t="str">
        <f t="shared" si="22"/>
        <v>430057.1</v>
      </c>
      <c r="G144" s="22"/>
      <c r="H144" s="22" t="str">
        <f t="shared" si="24"/>
        <v>430057.3</v>
      </c>
      <c r="I144" s="22"/>
      <c r="J144" s="22"/>
      <c r="K144" s="22"/>
      <c r="L144" s="22"/>
      <c r="M144" s="22"/>
      <c r="N144" s="22"/>
      <c r="O144" s="22"/>
      <c r="P144" s="22"/>
      <c r="Q144" s="22"/>
      <c r="R144" s="22"/>
    </row>
    <row r="145" spans="1:18" x14ac:dyDescent="0.25">
      <c r="A145" s="3">
        <v>58</v>
      </c>
      <c r="B145" s="3" t="s">
        <v>327</v>
      </c>
      <c r="C145" s="3" t="s">
        <v>154</v>
      </c>
      <c r="D145" s="3" t="s">
        <v>322</v>
      </c>
      <c r="E145" s="14">
        <f t="shared" si="16"/>
        <v>30058</v>
      </c>
      <c r="F145" s="22" t="str">
        <f t="shared" si="22"/>
        <v>430058.1</v>
      </c>
      <c r="G145" s="22"/>
      <c r="H145" s="22" t="str">
        <f t="shared" si="24"/>
        <v>430058.3</v>
      </c>
      <c r="I145" s="22"/>
      <c r="J145" s="22"/>
      <c r="K145" s="22"/>
      <c r="L145" s="22"/>
      <c r="M145" s="22"/>
      <c r="N145" s="22"/>
      <c r="O145" s="22"/>
      <c r="P145" s="22"/>
      <c r="Q145" s="22"/>
      <c r="R145" s="22"/>
    </row>
    <row r="146" spans="1:18" x14ac:dyDescent="0.25">
      <c r="A146" s="3">
        <v>59</v>
      </c>
      <c r="B146" s="3" t="s">
        <v>327</v>
      </c>
      <c r="C146" s="3" t="s">
        <v>155</v>
      </c>
      <c r="D146" s="3" t="s">
        <v>322</v>
      </c>
      <c r="E146" s="14">
        <f t="shared" si="16"/>
        <v>30059</v>
      </c>
      <c r="F146" s="22" t="str">
        <f t="shared" si="22"/>
        <v>430059.1</v>
      </c>
      <c r="G146" s="22"/>
      <c r="H146" s="22" t="str">
        <f t="shared" si="24"/>
        <v>430059.3</v>
      </c>
      <c r="I146" s="22"/>
      <c r="J146" s="22"/>
      <c r="K146" s="22"/>
      <c r="L146" s="22"/>
      <c r="M146" s="22"/>
      <c r="N146" s="22"/>
      <c r="O146" s="22"/>
      <c r="P146" s="22"/>
      <c r="Q146" s="22"/>
      <c r="R146" s="22"/>
    </row>
    <row r="147" spans="1:18" x14ac:dyDescent="0.25">
      <c r="A147" s="3">
        <v>60</v>
      </c>
      <c r="B147" s="3" t="s">
        <v>327</v>
      </c>
      <c r="C147" s="3" t="s">
        <v>156</v>
      </c>
      <c r="D147" s="3" t="s">
        <v>322</v>
      </c>
      <c r="E147" s="14">
        <f t="shared" si="16"/>
        <v>30060</v>
      </c>
      <c r="F147" s="22" t="str">
        <f t="shared" si="22"/>
        <v>430060.1</v>
      </c>
      <c r="G147" s="22"/>
      <c r="H147" s="22" t="str">
        <f t="shared" si="24"/>
        <v>430060.3</v>
      </c>
      <c r="I147" s="22"/>
      <c r="J147" s="22"/>
      <c r="K147" s="22"/>
      <c r="L147" s="22"/>
      <c r="M147" s="22"/>
      <c r="N147" s="22"/>
      <c r="O147" s="22"/>
      <c r="P147" s="22"/>
      <c r="Q147" s="22"/>
      <c r="R147" s="22"/>
    </row>
    <row r="148" spans="1:18" x14ac:dyDescent="0.25">
      <c r="A148" s="3">
        <v>61</v>
      </c>
      <c r="B148" s="3" t="s">
        <v>327</v>
      </c>
      <c r="C148" s="3" t="s">
        <v>157</v>
      </c>
      <c r="D148" s="3" t="s">
        <v>322</v>
      </c>
      <c r="E148" s="14">
        <f t="shared" si="16"/>
        <v>30061</v>
      </c>
      <c r="F148" s="22" t="str">
        <f t="shared" si="22"/>
        <v>430061.1</v>
      </c>
      <c r="G148" s="22"/>
      <c r="H148" s="22" t="str">
        <f t="shared" si="24"/>
        <v>430061.3</v>
      </c>
      <c r="I148" s="22"/>
      <c r="J148" s="22"/>
      <c r="K148" s="22"/>
      <c r="L148" s="22"/>
      <c r="M148" s="22"/>
      <c r="N148" s="22"/>
      <c r="O148" s="22"/>
      <c r="P148" s="22"/>
      <c r="Q148" s="22"/>
      <c r="R148" s="22"/>
    </row>
    <row r="149" spans="1:18" x14ac:dyDescent="0.25">
      <c r="A149" s="3">
        <v>62</v>
      </c>
      <c r="B149" s="3" t="s">
        <v>327</v>
      </c>
      <c r="C149" s="3" t="s">
        <v>158</v>
      </c>
      <c r="D149" s="3" t="s">
        <v>322</v>
      </c>
      <c r="E149" s="14">
        <f t="shared" si="16"/>
        <v>30062</v>
      </c>
      <c r="F149" s="22" t="str">
        <f t="shared" si="22"/>
        <v>430062.1</v>
      </c>
      <c r="G149" s="22"/>
      <c r="H149" s="22" t="str">
        <f t="shared" si="24"/>
        <v>430062.3</v>
      </c>
      <c r="I149" s="22"/>
      <c r="J149" s="22"/>
      <c r="K149" s="22"/>
      <c r="L149" s="22"/>
      <c r="M149" s="22"/>
      <c r="N149" s="22"/>
      <c r="O149" s="22"/>
      <c r="P149" s="22"/>
      <c r="Q149" s="22"/>
      <c r="R149" s="22"/>
    </row>
    <row r="150" spans="1:18" x14ac:dyDescent="0.25">
      <c r="A150" s="3">
        <v>63</v>
      </c>
      <c r="B150" s="3" t="s">
        <v>327</v>
      </c>
      <c r="C150" s="3" t="s">
        <v>159</v>
      </c>
      <c r="D150" s="3" t="s">
        <v>322</v>
      </c>
      <c r="E150" s="14">
        <f t="shared" si="16"/>
        <v>30063</v>
      </c>
      <c r="F150" s="22" t="str">
        <f t="shared" si="22"/>
        <v>430063.1</v>
      </c>
      <c r="G150" s="22"/>
      <c r="H150" s="22" t="str">
        <f t="shared" si="24"/>
        <v>430063.3</v>
      </c>
      <c r="I150" s="22"/>
      <c r="J150" s="22"/>
      <c r="K150" s="22"/>
      <c r="L150" s="22"/>
      <c r="M150" s="22"/>
      <c r="N150" s="22"/>
      <c r="O150" s="22"/>
      <c r="P150" s="22"/>
      <c r="Q150" s="22"/>
      <c r="R150" s="22"/>
    </row>
    <row r="151" spans="1:18" x14ac:dyDescent="0.25">
      <c r="A151" s="3">
        <v>64</v>
      </c>
      <c r="B151" s="3" t="s">
        <v>327</v>
      </c>
      <c r="C151" s="3" t="s">
        <v>160</v>
      </c>
      <c r="D151" s="3" t="s">
        <v>322</v>
      </c>
      <c r="E151" s="14">
        <f t="shared" si="16"/>
        <v>30064</v>
      </c>
      <c r="F151" s="22" t="str">
        <f t="shared" si="22"/>
        <v>430064.1</v>
      </c>
      <c r="G151" s="22"/>
      <c r="H151" s="22" t="str">
        <f t="shared" si="24"/>
        <v>430064.3</v>
      </c>
      <c r="I151" s="22"/>
      <c r="J151" s="22"/>
      <c r="K151" s="22"/>
      <c r="L151" s="22"/>
      <c r="M151" s="22"/>
      <c r="N151" s="22"/>
      <c r="O151" s="22"/>
      <c r="P151" s="22"/>
      <c r="Q151" s="22"/>
      <c r="R151" s="22"/>
    </row>
    <row r="152" spans="1:18" x14ac:dyDescent="0.25">
      <c r="A152" s="3">
        <v>65</v>
      </c>
      <c r="B152" s="3" t="s">
        <v>327</v>
      </c>
      <c r="C152" s="3" t="s">
        <v>161</v>
      </c>
      <c r="D152" s="3" t="s">
        <v>322</v>
      </c>
      <c r="E152" s="14">
        <f t="shared" si="16"/>
        <v>30065</v>
      </c>
      <c r="F152" s="22" t="str">
        <f t="shared" si="22"/>
        <v>430065.1</v>
      </c>
      <c r="G152" s="22"/>
      <c r="H152" s="22" t="str">
        <f t="shared" si="24"/>
        <v>430065.3</v>
      </c>
      <c r="I152" s="22"/>
      <c r="J152" s="22"/>
      <c r="K152" s="22"/>
      <c r="L152" s="22"/>
      <c r="M152" s="22"/>
      <c r="N152" s="22"/>
      <c r="O152" s="22"/>
      <c r="P152" s="22"/>
      <c r="Q152" s="22"/>
      <c r="R152" s="22"/>
    </row>
    <row r="153" spans="1:18" x14ac:dyDescent="0.25">
      <c r="A153" s="3">
        <v>66</v>
      </c>
      <c r="B153" s="3" t="s">
        <v>327</v>
      </c>
      <c r="C153" s="3" t="s">
        <v>162</v>
      </c>
      <c r="D153" s="3" t="s">
        <v>322</v>
      </c>
      <c r="E153" s="14">
        <f t="shared" si="16"/>
        <v>30066</v>
      </c>
      <c r="F153" s="22" t="str">
        <f t="shared" si="22"/>
        <v>430066.1</v>
      </c>
      <c r="G153" s="22"/>
      <c r="H153" s="22" t="str">
        <f t="shared" si="24"/>
        <v>430066.3</v>
      </c>
      <c r="I153" s="22"/>
      <c r="J153" s="22"/>
      <c r="K153" s="22"/>
      <c r="L153" s="22"/>
      <c r="M153" s="22"/>
      <c r="N153" s="22"/>
      <c r="O153" s="22"/>
      <c r="P153" s="22"/>
      <c r="Q153" s="22"/>
      <c r="R153" s="22"/>
    </row>
    <row r="154" spans="1:18" x14ac:dyDescent="0.25">
      <c r="A154" s="3">
        <v>67</v>
      </c>
      <c r="B154" s="3" t="s">
        <v>327</v>
      </c>
      <c r="C154" s="3" t="s">
        <v>163</v>
      </c>
      <c r="D154" s="3" t="s">
        <v>322</v>
      </c>
      <c r="E154" s="14">
        <f t="shared" si="16"/>
        <v>30067</v>
      </c>
      <c r="F154" s="22" t="str">
        <f t="shared" si="22"/>
        <v>430067.1</v>
      </c>
      <c r="G154" s="22"/>
      <c r="H154" s="22" t="str">
        <f t="shared" si="24"/>
        <v>430067.3</v>
      </c>
      <c r="I154" s="22"/>
      <c r="J154" s="22"/>
      <c r="K154" s="22"/>
      <c r="L154" s="22"/>
      <c r="M154" s="22"/>
      <c r="N154" s="22"/>
      <c r="O154" s="22"/>
      <c r="P154" s="22"/>
      <c r="Q154" s="22"/>
      <c r="R154" s="22"/>
    </row>
    <row r="155" spans="1:18" x14ac:dyDescent="0.25">
      <c r="A155" s="3">
        <v>68</v>
      </c>
      <c r="B155" s="3" t="s">
        <v>327</v>
      </c>
      <c r="C155" s="3" t="s">
        <v>164</v>
      </c>
      <c r="D155" s="3" t="s">
        <v>284</v>
      </c>
      <c r="E155" s="14">
        <f t="shared" ref="E155:E186" si="31">E154+1</f>
        <v>30068</v>
      </c>
      <c r="F155" s="22" t="str">
        <f t="shared" si="22"/>
        <v>430068.1</v>
      </c>
      <c r="G155" s="22"/>
      <c r="H155" s="22" t="str">
        <f t="shared" si="24"/>
        <v>430068.3</v>
      </c>
      <c r="I155" s="22"/>
      <c r="J155" s="22"/>
      <c r="K155" s="22"/>
      <c r="L155" s="22"/>
      <c r="M155" s="22"/>
      <c r="N155" s="22"/>
      <c r="O155" s="22"/>
      <c r="P155" s="22"/>
      <c r="Q155" s="22"/>
      <c r="R155" s="22"/>
    </row>
    <row r="156" spans="1:18" x14ac:dyDescent="0.25">
      <c r="A156" s="3">
        <v>69</v>
      </c>
      <c r="B156" s="3" t="s">
        <v>327</v>
      </c>
      <c r="C156" s="3" t="s">
        <v>165</v>
      </c>
      <c r="D156" s="3" t="s">
        <v>284</v>
      </c>
      <c r="E156" s="14">
        <f t="shared" si="31"/>
        <v>30069</v>
      </c>
      <c r="F156" s="22" t="str">
        <f t="shared" si="22"/>
        <v>430069.1</v>
      </c>
      <c r="G156" s="22"/>
      <c r="H156" s="22" t="str">
        <f t="shared" si="24"/>
        <v>430069.3</v>
      </c>
      <c r="I156" s="22"/>
      <c r="J156" s="22"/>
      <c r="K156" s="22"/>
      <c r="L156" s="22"/>
      <c r="M156" s="22"/>
      <c r="N156" s="22"/>
      <c r="O156" s="22"/>
      <c r="P156" s="22"/>
      <c r="Q156" s="22"/>
      <c r="R156" s="22"/>
    </row>
    <row r="157" spans="1:18" x14ac:dyDescent="0.25">
      <c r="A157" s="3">
        <v>70</v>
      </c>
      <c r="B157" s="3" t="s">
        <v>327</v>
      </c>
      <c r="C157" s="3" t="s">
        <v>166</v>
      </c>
      <c r="D157" s="3" t="s">
        <v>284</v>
      </c>
      <c r="E157" s="14">
        <f t="shared" si="31"/>
        <v>30070</v>
      </c>
      <c r="F157" s="22" t="str">
        <f t="shared" si="22"/>
        <v>430070.1</v>
      </c>
      <c r="G157" s="22"/>
      <c r="H157" s="22" t="str">
        <f t="shared" si="24"/>
        <v>430070.3</v>
      </c>
      <c r="I157" s="22"/>
      <c r="J157" s="22"/>
      <c r="K157" s="22"/>
      <c r="L157" s="22"/>
      <c r="M157" s="22"/>
      <c r="N157" s="22"/>
      <c r="O157" s="22"/>
      <c r="P157" s="22"/>
      <c r="Q157" s="22"/>
      <c r="R157" s="22"/>
    </row>
    <row r="158" spans="1:18" x14ac:dyDescent="0.25">
      <c r="A158" s="3">
        <v>71</v>
      </c>
      <c r="B158" s="3" t="s">
        <v>327</v>
      </c>
      <c r="C158" s="3" t="s">
        <v>167</v>
      </c>
      <c r="D158" s="3" t="s">
        <v>284</v>
      </c>
      <c r="E158" s="14">
        <f t="shared" si="31"/>
        <v>30071</v>
      </c>
      <c r="F158" s="22" t="str">
        <f t="shared" si="22"/>
        <v>430071.1</v>
      </c>
      <c r="G158" s="22"/>
      <c r="H158" s="22" t="str">
        <f t="shared" si="24"/>
        <v>430071.3</v>
      </c>
      <c r="I158" s="22"/>
      <c r="J158" s="22"/>
      <c r="K158" s="22"/>
      <c r="L158" s="22"/>
      <c r="M158" s="22"/>
      <c r="N158" s="22"/>
      <c r="O158" s="22"/>
      <c r="P158" s="22"/>
      <c r="Q158" s="22"/>
      <c r="R158" s="22"/>
    </row>
    <row r="159" spans="1:18" x14ac:dyDescent="0.25">
      <c r="A159" s="3">
        <v>72</v>
      </c>
      <c r="B159" s="3" t="s">
        <v>327</v>
      </c>
      <c r="C159" s="3" t="s">
        <v>168</v>
      </c>
      <c r="D159" s="3" t="s">
        <v>323</v>
      </c>
      <c r="E159" s="14">
        <f t="shared" si="31"/>
        <v>30072</v>
      </c>
      <c r="F159" s="22" t="str">
        <f t="shared" si="22"/>
        <v>430072.1</v>
      </c>
      <c r="G159" s="22"/>
      <c r="H159" s="22" t="str">
        <f t="shared" si="24"/>
        <v>430072.3</v>
      </c>
      <c r="I159" s="22"/>
      <c r="J159" s="22"/>
      <c r="K159" s="22"/>
      <c r="L159" s="22"/>
      <c r="M159" s="22"/>
      <c r="N159" s="22"/>
      <c r="O159" s="22"/>
      <c r="P159" s="22"/>
      <c r="Q159" s="22"/>
      <c r="R159" s="22"/>
    </row>
    <row r="160" spans="1:18" x14ac:dyDescent="0.25">
      <c r="A160" s="3">
        <v>73</v>
      </c>
      <c r="B160" s="3" t="s">
        <v>327</v>
      </c>
      <c r="C160" s="3" t="s">
        <v>169</v>
      </c>
      <c r="D160" s="3" t="s">
        <v>323</v>
      </c>
      <c r="E160" s="14">
        <f t="shared" si="31"/>
        <v>30073</v>
      </c>
      <c r="F160" s="22" t="str">
        <f t="shared" si="22"/>
        <v>430073.1</v>
      </c>
      <c r="G160" s="22"/>
      <c r="H160" s="22" t="str">
        <f t="shared" si="24"/>
        <v>430073.3</v>
      </c>
      <c r="I160" s="22"/>
      <c r="J160" s="22"/>
      <c r="K160" s="22"/>
      <c r="L160" s="22"/>
      <c r="M160" s="22"/>
      <c r="N160" s="22"/>
      <c r="O160" s="22"/>
      <c r="P160" s="22"/>
      <c r="Q160" s="22"/>
      <c r="R160" s="22"/>
    </row>
    <row r="161" spans="1:18" x14ac:dyDescent="0.25">
      <c r="A161" s="3">
        <v>74</v>
      </c>
      <c r="B161" s="3" t="s">
        <v>327</v>
      </c>
      <c r="C161" s="3" t="s">
        <v>170</v>
      </c>
      <c r="D161" s="3" t="s">
        <v>323</v>
      </c>
      <c r="E161" s="14">
        <f t="shared" si="31"/>
        <v>30074</v>
      </c>
      <c r="F161" s="22" t="str">
        <f t="shared" ref="F161:F226" si="32">"4"&amp;$E161&amp;".1"</f>
        <v>430074.1</v>
      </c>
      <c r="G161" s="22"/>
      <c r="H161" s="22" t="str">
        <f t="shared" si="24"/>
        <v>430074.3</v>
      </c>
      <c r="I161" s="22"/>
      <c r="J161" s="22"/>
      <c r="K161" s="22"/>
      <c r="L161" s="22"/>
      <c r="M161" s="22"/>
      <c r="N161" s="22"/>
      <c r="O161" s="22"/>
      <c r="P161" s="22"/>
      <c r="Q161" s="22"/>
      <c r="R161" s="22"/>
    </row>
    <row r="162" spans="1:18" x14ac:dyDescent="0.25">
      <c r="A162" s="3">
        <v>75</v>
      </c>
      <c r="B162" s="3" t="s">
        <v>327</v>
      </c>
      <c r="C162" s="3" t="s">
        <v>171</v>
      </c>
      <c r="D162" s="3" t="s">
        <v>323</v>
      </c>
      <c r="E162" s="14">
        <f t="shared" si="31"/>
        <v>30075</v>
      </c>
      <c r="F162" s="22" t="str">
        <f t="shared" si="32"/>
        <v>430075.1</v>
      </c>
      <c r="G162" s="22"/>
      <c r="H162" s="22" t="str">
        <f t="shared" si="24"/>
        <v>430075.3</v>
      </c>
      <c r="I162" s="22"/>
      <c r="J162" s="22"/>
      <c r="K162" s="22"/>
      <c r="L162" s="22"/>
      <c r="M162" s="22"/>
      <c r="N162" s="22"/>
      <c r="O162" s="22"/>
      <c r="P162" s="22"/>
      <c r="Q162" s="22"/>
      <c r="R162" s="22"/>
    </row>
    <row r="163" spans="1:18" x14ac:dyDescent="0.25">
      <c r="A163" s="3">
        <v>76</v>
      </c>
      <c r="B163" s="3" t="s">
        <v>327</v>
      </c>
      <c r="C163" s="3" t="s">
        <v>172</v>
      </c>
      <c r="D163" s="3" t="s">
        <v>323</v>
      </c>
      <c r="E163" s="14">
        <f t="shared" si="31"/>
        <v>30076</v>
      </c>
      <c r="F163" s="22" t="str">
        <f t="shared" si="32"/>
        <v>430076.1</v>
      </c>
      <c r="G163" s="22"/>
      <c r="H163" s="22" t="str">
        <f t="shared" si="24"/>
        <v>430076.3</v>
      </c>
      <c r="I163" s="22"/>
      <c r="J163" s="22"/>
      <c r="K163" s="22"/>
      <c r="L163" s="22"/>
      <c r="M163" s="22"/>
      <c r="N163" s="22"/>
      <c r="O163" s="22"/>
      <c r="P163" s="22"/>
      <c r="Q163" s="22"/>
      <c r="R163" s="22"/>
    </row>
    <row r="164" spans="1:18" x14ac:dyDescent="0.25">
      <c r="A164" s="3">
        <v>77</v>
      </c>
      <c r="B164" s="3" t="s">
        <v>327</v>
      </c>
      <c r="C164" s="3" t="s">
        <v>173</v>
      </c>
      <c r="D164" s="3" t="s">
        <v>323</v>
      </c>
      <c r="E164" s="14">
        <f t="shared" si="31"/>
        <v>30077</v>
      </c>
      <c r="F164" s="22" t="str">
        <f t="shared" si="32"/>
        <v>430077.1</v>
      </c>
      <c r="G164" s="22"/>
      <c r="H164" s="22" t="str">
        <f t="shared" si="24"/>
        <v>430077.3</v>
      </c>
      <c r="I164" s="22"/>
      <c r="J164" s="22"/>
      <c r="K164" s="22"/>
      <c r="L164" s="22"/>
      <c r="M164" s="22"/>
      <c r="N164" s="22"/>
      <c r="O164" s="22"/>
      <c r="P164" s="22"/>
      <c r="Q164" s="22"/>
      <c r="R164" s="22"/>
    </row>
    <row r="165" spans="1:18" x14ac:dyDescent="0.25">
      <c r="A165" s="3">
        <v>78</v>
      </c>
      <c r="B165" s="3" t="s">
        <v>327</v>
      </c>
      <c r="C165" s="3" t="s">
        <v>174</v>
      </c>
      <c r="D165" s="3" t="s">
        <v>323</v>
      </c>
      <c r="E165" s="14">
        <f t="shared" si="31"/>
        <v>30078</v>
      </c>
      <c r="F165" s="22" t="str">
        <f t="shared" si="32"/>
        <v>430078.1</v>
      </c>
      <c r="G165" s="22"/>
      <c r="H165" s="22" t="str">
        <f t="shared" si="24"/>
        <v>430078.3</v>
      </c>
      <c r="I165" s="22"/>
      <c r="J165" s="22"/>
      <c r="K165" s="22"/>
      <c r="L165" s="22"/>
      <c r="M165" s="22"/>
      <c r="N165" s="22"/>
      <c r="O165" s="22"/>
      <c r="P165" s="22"/>
      <c r="Q165" s="22"/>
      <c r="R165" s="22"/>
    </row>
    <row r="166" spans="1:18" x14ac:dyDescent="0.25">
      <c r="A166" s="3">
        <v>79</v>
      </c>
      <c r="B166" s="3" t="s">
        <v>327</v>
      </c>
      <c r="C166" s="3" t="s">
        <v>175</v>
      </c>
      <c r="D166" s="3" t="s">
        <v>323</v>
      </c>
      <c r="E166" s="14">
        <f t="shared" si="31"/>
        <v>30079</v>
      </c>
      <c r="F166" s="22" t="str">
        <f t="shared" si="32"/>
        <v>430079.1</v>
      </c>
      <c r="G166" s="22"/>
      <c r="H166" s="22" t="str">
        <f t="shared" si="24"/>
        <v>430079.3</v>
      </c>
      <c r="I166" s="22"/>
      <c r="J166" s="22"/>
      <c r="K166" s="22"/>
      <c r="L166" s="22"/>
      <c r="M166" s="22"/>
      <c r="N166" s="22"/>
      <c r="O166" s="22"/>
      <c r="P166" s="22"/>
      <c r="Q166" s="22"/>
      <c r="R166" s="22"/>
    </row>
    <row r="167" spans="1:18" x14ac:dyDescent="0.25">
      <c r="A167" s="3">
        <v>80</v>
      </c>
      <c r="B167" s="3" t="s">
        <v>327</v>
      </c>
      <c r="C167" s="3" t="s">
        <v>176</v>
      </c>
      <c r="D167" s="3" t="s">
        <v>323</v>
      </c>
      <c r="E167" s="14">
        <f t="shared" si="31"/>
        <v>30080</v>
      </c>
      <c r="F167" s="22" t="str">
        <f t="shared" si="32"/>
        <v>430080.1</v>
      </c>
      <c r="G167" s="22"/>
      <c r="H167" s="22" t="str">
        <f t="shared" si="24"/>
        <v>430080.3</v>
      </c>
      <c r="I167" s="22"/>
      <c r="J167" s="22"/>
      <c r="K167" s="22"/>
      <c r="L167" s="22"/>
      <c r="M167" s="22"/>
      <c r="N167" s="22"/>
      <c r="O167" s="22"/>
      <c r="P167" s="22"/>
      <c r="Q167" s="22"/>
      <c r="R167" s="22"/>
    </row>
    <row r="168" spans="1:18" x14ac:dyDescent="0.25">
      <c r="A168" s="3">
        <v>81</v>
      </c>
      <c r="B168" s="3" t="s">
        <v>327</v>
      </c>
      <c r="C168" s="3" t="s">
        <v>177</v>
      </c>
      <c r="D168" s="3" t="s">
        <v>323</v>
      </c>
      <c r="E168" s="14">
        <f t="shared" si="31"/>
        <v>30081</v>
      </c>
      <c r="F168" s="22" t="str">
        <f t="shared" si="32"/>
        <v>430081.1</v>
      </c>
      <c r="G168" s="22"/>
      <c r="H168" s="22" t="str">
        <f t="shared" ref="H168:H180" si="33">"4"&amp;$E168&amp;".3"</f>
        <v>430081.3</v>
      </c>
      <c r="I168" s="22"/>
      <c r="J168" s="22"/>
      <c r="K168" s="22"/>
      <c r="L168" s="22"/>
      <c r="M168" s="22"/>
      <c r="N168" s="22"/>
      <c r="O168" s="22"/>
      <c r="P168" s="22"/>
      <c r="Q168" s="22"/>
      <c r="R168" s="22"/>
    </row>
    <row r="169" spans="1:18" x14ac:dyDescent="0.25">
      <c r="A169" s="3">
        <v>82</v>
      </c>
      <c r="B169" s="3" t="s">
        <v>327</v>
      </c>
      <c r="C169" s="3" t="s">
        <v>178</v>
      </c>
      <c r="D169" s="3" t="s">
        <v>323</v>
      </c>
      <c r="E169" s="14">
        <f t="shared" si="31"/>
        <v>30082</v>
      </c>
      <c r="F169" s="22" t="str">
        <f t="shared" si="32"/>
        <v>430082.1</v>
      </c>
      <c r="G169" s="22"/>
      <c r="H169" s="22" t="str">
        <f t="shared" si="33"/>
        <v>430082.3</v>
      </c>
      <c r="I169" s="22"/>
      <c r="J169" s="22"/>
      <c r="K169" s="22"/>
      <c r="L169" s="22"/>
      <c r="M169" s="22"/>
      <c r="N169" s="22"/>
      <c r="O169" s="22"/>
      <c r="P169" s="22"/>
      <c r="Q169" s="22"/>
      <c r="R169" s="22"/>
    </row>
    <row r="170" spans="1:18" x14ac:dyDescent="0.25">
      <c r="A170" s="3">
        <v>83</v>
      </c>
      <c r="B170" s="3" t="s">
        <v>327</v>
      </c>
      <c r="C170" s="6" t="s">
        <v>573</v>
      </c>
      <c r="D170" s="6" t="s">
        <v>323</v>
      </c>
      <c r="E170" s="17">
        <f t="shared" si="31"/>
        <v>30083</v>
      </c>
      <c r="F170" s="22" t="str">
        <f t="shared" si="32"/>
        <v>430083.1</v>
      </c>
      <c r="G170" s="22"/>
      <c r="H170" s="22" t="str">
        <f t="shared" si="33"/>
        <v>430083.3</v>
      </c>
      <c r="I170" s="22"/>
      <c r="J170" s="22"/>
      <c r="K170" s="22"/>
      <c r="L170" s="22"/>
      <c r="M170" s="22"/>
      <c r="N170" s="22"/>
      <c r="O170" s="22"/>
      <c r="P170" s="22"/>
      <c r="Q170" s="22"/>
      <c r="R170" s="22"/>
    </row>
    <row r="171" spans="1:18" x14ac:dyDescent="0.25">
      <c r="A171" s="3">
        <v>84</v>
      </c>
      <c r="B171" s="3" t="s">
        <v>327</v>
      </c>
      <c r="C171" s="6" t="s">
        <v>567</v>
      </c>
      <c r="D171" s="6" t="s">
        <v>313</v>
      </c>
      <c r="E171" s="17">
        <f t="shared" si="31"/>
        <v>30084</v>
      </c>
      <c r="F171" s="22" t="str">
        <f t="shared" si="32"/>
        <v>430084.1</v>
      </c>
      <c r="G171" s="22"/>
      <c r="H171" s="22" t="str">
        <f t="shared" si="33"/>
        <v>430084.3</v>
      </c>
      <c r="I171" s="22"/>
      <c r="J171" s="22"/>
      <c r="K171" s="22"/>
      <c r="L171" s="22"/>
      <c r="M171" s="22"/>
      <c r="N171" s="22"/>
      <c r="O171" s="22"/>
      <c r="P171" s="22"/>
      <c r="Q171" s="22"/>
      <c r="R171" s="22"/>
    </row>
    <row r="172" spans="1:18" x14ac:dyDescent="0.25">
      <c r="A172" s="3">
        <v>85</v>
      </c>
      <c r="B172" s="3" t="s">
        <v>327</v>
      </c>
      <c r="C172" s="6" t="s">
        <v>179</v>
      </c>
      <c r="D172" s="6" t="s">
        <v>313</v>
      </c>
      <c r="E172" s="17">
        <f t="shared" si="31"/>
        <v>30085</v>
      </c>
      <c r="F172" s="22" t="str">
        <f t="shared" si="32"/>
        <v>430085.1</v>
      </c>
      <c r="G172" s="22"/>
      <c r="H172" s="22" t="str">
        <f t="shared" si="33"/>
        <v>430085.3</v>
      </c>
      <c r="I172" s="22"/>
      <c r="J172" s="22"/>
      <c r="K172" s="22"/>
      <c r="L172" s="22"/>
      <c r="M172" s="22"/>
      <c r="N172" s="22"/>
      <c r="O172" s="22"/>
      <c r="P172" s="22"/>
      <c r="Q172" s="22"/>
      <c r="R172" s="22"/>
    </row>
    <row r="173" spans="1:18" x14ac:dyDescent="0.25">
      <c r="A173" s="3">
        <v>86</v>
      </c>
      <c r="B173" s="3" t="s">
        <v>327</v>
      </c>
      <c r="C173" s="6" t="s">
        <v>180</v>
      </c>
      <c r="D173" s="6" t="s">
        <v>313</v>
      </c>
      <c r="E173" s="17">
        <f t="shared" si="31"/>
        <v>30086</v>
      </c>
      <c r="F173" s="22" t="str">
        <f t="shared" si="32"/>
        <v>430086.1</v>
      </c>
      <c r="G173" s="22"/>
      <c r="H173" s="22" t="str">
        <f t="shared" si="33"/>
        <v>430086.3</v>
      </c>
      <c r="I173" s="22"/>
      <c r="J173" s="22"/>
      <c r="K173" s="22"/>
      <c r="L173" s="22"/>
      <c r="M173" s="22"/>
      <c r="N173" s="22"/>
      <c r="O173" s="22"/>
      <c r="P173" s="22"/>
      <c r="Q173" s="22"/>
      <c r="R173" s="22"/>
    </row>
    <row r="174" spans="1:18" x14ac:dyDescent="0.25">
      <c r="A174" s="3">
        <v>87</v>
      </c>
      <c r="B174" s="3" t="s">
        <v>327</v>
      </c>
      <c r="C174" s="6" t="s">
        <v>181</v>
      </c>
      <c r="D174" s="6" t="s">
        <v>313</v>
      </c>
      <c r="E174" s="17">
        <f t="shared" si="31"/>
        <v>30087</v>
      </c>
      <c r="F174" s="22" t="str">
        <f t="shared" si="32"/>
        <v>430087.1</v>
      </c>
      <c r="G174" s="22"/>
      <c r="H174" s="22" t="str">
        <f t="shared" si="33"/>
        <v>430087.3</v>
      </c>
      <c r="I174" s="22"/>
      <c r="J174" s="22"/>
      <c r="K174" s="22"/>
      <c r="L174" s="22"/>
      <c r="M174" s="22"/>
      <c r="N174" s="22"/>
      <c r="O174" s="22"/>
      <c r="P174" s="22"/>
      <c r="Q174" s="22"/>
      <c r="R174" s="22"/>
    </row>
    <row r="175" spans="1:18" x14ac:dyDescent="0.25">
      <c r="A175" s="3">
        <v>88</v>
      </c>
      <c r="B175" s="3" t="s">
        <v>327</v>
      </c>
      <c r="C175" s="6" t="s">
        <v>182</v>
      </c>
      <c r="D175" s="6" t="s">
        <v>313</v>
      </c>
      <c r="E175" s="17">
        <f t="shared" si="31"/>
        <v>30088</v>
      </c>
      <c r="F175" s="22" t="str">
        <f t="shared" si="32"/>
        <v>430088.1</v>
      </c>
      <c r="G175" s="22"/>
      <c r="H175" s="22" t="str">
        <f t="shared" si="33"/>
        <v>430088.3</v>
      </c>
      <c r="I175" s="22"/>
      <c r="J175" s="22"/>
      <c r="K175" s="22"/>
      <c r="L175" s="22"/>
      <c r="M175" s="22"/>
      <c r="N175" s="22"/>
      <c r="O175" s="22"/>
      <c r="P175" s="22"/>
      <c r="Q175" s="22"/>
      <c r="R175" s="22"/>
    </row>
    <row r="176" spans="1:18" x14ac:dyDescent="0.25">
      <c r="A176" s="3">
        <v>89</v>
      </c>
      <c r="B176" s="3" t="s">
        <v>327</v>
      </c>
      <c r="C176" s="6" t="s">
        <v>568</v>
      </c>
      <c r="D176" s="6" t="s">
        <v>313</v>
      </c>
      <c r="E176" s="17">
        <f t="shared" si="31"/>
        <v>30089</v>
      </c>
      <c r="F176" s="22" t="str">
        <f t="shared" si="32"/>
        <v>430089.1</v>
      </c>
      <c r="G176" s="22"/>
      <c r="H176" s="22" t="str">
        <f t="shared" si="33"/>
        <v>430089.3</v>
      </c>
      <c r="I176" s="22"/>
      <c r="J176" s="22"/>
      <c r="K176" s="22"/>
      <c r="L176" s="22"/>
      <c r="M176" s="22"/>
      <c r="N176" s="22"/>
      <c r="O176" s="22"/>
      <c r="P176" s="22"/>
      <c r="Q176" s="22"/>
      <c r="R176" s="22"/>
    </row>
    <row r="177" spans="1:18" x14ac:dyDescent="0.25">
      <c r="A177" s="3">
        <v>90</v>
      </c>
      <c r="B177" s="3" t="s">
        <v>327</v>
      </c>
      <c r="C177" s="6" t="s">
        <v>569</v>
      </c>
      <c r="D177" s="6" t="s">
        <v>313</v>
      </c>
      <c r="E177" s="17">
        <f t="shared" si="31"/>
        <v>30090</v>
      </c>
      <c r="F177" s="22" t="str">
        <f t="shared" si="32"/>
        <v>430090.1</v>
      </c>
      <c r="G177" s="22"/>
      <c r="H177" s="22" t="str">
        <f t="shared" si="33"/>
        <v>430090.3</v>
      </c>
      <c r="I177" s="22"/>
      <c r="J177" s="22"/>
      <c r="K177" s="22"/>
      <c r="L177" s="22"/>
      <c r="M177" s="22"/>
      <c r="N177" s="22"/>
      <c r="O177" s="22"/>
      <c r="P177" s="22"/>
      <c r="Q177" s="22"/>
      <c r="R177" s="22"/>
    </row>
    <row r="178" spans="1:18" x14ac:dyDescent="0.25">
      <c r="A178" s="3">
        <v>91</v>
      </c>
      <c r="B178" s="3" t="s">
        <v>327</v>
      </c>
      <c r="C178" s="6" t="s">
        <v>570</v>
      </c>
      <c r="D178" s="6" t="s">
        <v>313</v>
      </c>
      <c r="E178" s="17">
        <f t="shared" si="31"/>
        <v>30091</v>
      </c>
      <c r="F178" s="22" t="str">
        <f t="shared" si="32"/>
        <v>430091.1</v>
      </c>
      <c r="G178" s="22"/>
      <c r="H178" s="22" t="str">
        <f t="shared" si="33"/>
        <v>430091.3</v>
      </c>
      <c r="I178" s="22"/>
      <c r="J178" s="22"/>
      <c r="K178" s="22"/>
      <c r="L178" s="22"/>
      <c r="M178" s="22"/>
      <c r="N178" s="22"/>
      <c r="O178" s="22"/>
      <c r="P178" s="22"/>
      <c r="Q178" s="22"/>
      <c r="R178" s="22"/>
    </row>
    <row r="179" spans="1:18" x14ac:dyDescent="0.25">
      <c r="A179" s="3">
        <v>92</v>
      </c>
      <c r="B179" s="3" t="s">
        <v>327</v>
      </c>
      <c r="C179" s="6" t="s">
        <v>571</v>
      </c>
      <c r="D179" s="6" t="s">
        <v>313</v>
      </c>
      <c r="E179" s="17">
        <f t="shared" si="31"/>
        <v>30092</v>
      </c>
      <c r="F179" s="22" t="str">
        <f t="shared" si="32"/>
        <v>430092.1</v>
      </c>
      <c r="G179" s="22"/>
      <c r="H179" s="22" t="str">
        <f t="shared" si="33"/>
        <v>430092.3</v>
      </c>
      <c r="I179" s="22"/>
      <c r="J179" s="22"/>
      <c r="K179" s="22"/>
      <c r="L179" s="22"/>
      <c r="M179" s="22"/>
      <c r="N179" s="22"/>
      <c r="O179" s="22"/>
      <c r="P179" s="22"/>
      <c r="Q179" s="22"/>
      <c r="R179" s="22"/>
    </row>
    <row r="180" spans="1:18" x14ac:dyDescent="0.25">
      <c r="A180" s="3">
        <v>93</v>
      </c>
      <c r="B180" s="3" t="s">
        <v>327</v>
      </c>
      <c r="C180" s="6" t="s">
        <v>572</v>
      </c>
      <c r="D180" s="6" t="s">
        <v>313</v>
      </c>
      <c r="E180" s="17">
        <f t="shared" si="31"/>
        <v>30093</v>
      </c>
      <c r="F180" s="22" t="str">
        <f t="shared" si="32"/>
        <v>430093.1</v>
      </c>
      <c r="G180" s="22"/>
      <c r="H180" s="22" t="str">
        <f t="shared" si="33"/>
        <v>430093.3</v>
      </c>
      <c r="I180" s="22"/>
      <c r="J180" s="22"/>
      <c r="K180" s="22"/>
      <c r="L180" s="22"/>
      <c r="M180" s="22"/>
      <c r="N180" s="22"/>
      <c r="O180" s="22"/>
      <c r="P180" s="22"/>
      <c r="Q180" s="22"/>
      <c r="R180" s="22"/>
    </row>
    <row r="181" spans="1:18" x14ac:dyDescent="0.25">
      <c r="A181" s="3">
        <v>94</v>
      </c>
      <c r="B181" s="3" t="s">
        <v>327</v>
      </c>
      <c r="C181" s="6" t="s">
        <v>262</v>
      </c>
      <c r="D181" s="6" t="s">
        <v>561</v>
      </c>
      <c r="E181" s="17">
        <f t="shared" si="31"/>
        <v>30094</v>
      </c>
      <c r="F181" s="22" t="str">
        <f t="shared" si="32"/>
        <v>430094.1</v>
      </c>
      <c r="G181" s="22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2"/>
    </row>
    <row r="182" spans="1:18" x14ac:dyDescent="0.25">
      <c r="A182" s="3">
        <v>95</v>
      </c>
      <c r="B182" s="3" t="s">
        <v>327</v>
      </c>
      <c r="C182" s="6" t="s">
        <v>562</v>
      </c>
      <c r="D182" s="6" t="s">
        <v>561</v>
      </c>
      <c r="E182" s="17">
        <f t="shared" si="31"/>
        <v>30095</v>
      </c>
      <c r="F182" s="22" t="str">
        <f t="shared" si="32"/>
        <v>430095.1</v>
      </c>
      <c r="G182" s="22"/>
      <c r="H182" s="22" t="str">
        <f t="shared" ref="H182:H187" si="34">"4"&amp;$E182&amp;".3"</f>
        <v>430095.3</v>
      </c>
      <c r="I182" s="22"/>
      <c r="J182" s="22"/>
      <c r="K182" s="22"/>
      <c r="L182" s="22"/>
      <c r="M182" s="22"/>
      <c r="N182" s="22"/>
      <c r="O182" s="22"/>
      <c r="P182" s="22"/>
      <c r="Q182" s="22"/>
      <c r="R182" s="22"/>
    </row>
    <row r="183" spans="1:18" x14ac:dyDescent="0.25">
      <c r="A183" s="3">
        <v>96</v>
      </c>
      <c r="B183" s="3" t="s">
        <v>327</v>
      </c>
      <c r="C183" s="6" t="s">
        <v>563</v>
      </c>
      <c r="D183" s="6" t="s">
        <v>561</v>
      </c>
      <c r="E183" s="17">
        <f t="shared" si="31"/>
        <v>30096</v>
      </c>
      <c r="F183" s="22" t="str">
        <f t="shared" si="32"/>
        <v>430096.1</v>
      </c>
      <c r="G183" s="22"/>
      <c r="H183" s="22" t="str">
        <f t="shared" si="34"/>
        <v>430096.3</v>
      </c>
      <c r="I183" s="22"/>
      <c r="J183" s="22"/>
      <c r="K183" s="22"/>
      <c r="L183" s="22"/>
      <c r="M183" s="22"/>
      <c r="N183" s="22"/>
      <c r="O183" s="22"/>
      <c r="P183" s="22"/>
      <c r="Q183" s="22"/>
      <c r="R183" s="22"/>
    </row>
    <row r="184" spans="1:18" x14ac:dyDescent="0.25">
      <c r="A184" s="3">
        <v>97</v>
      </c>
      <c r="B184" s="3" t="s">
        <v>327</v>
      </c>
      <c r="C184" s="6" t="s">
        <v>564</v>
      </c>
      <c r="D184" s="6" t="s">
        <v>561</v>
      </c>
      <c r="E184" s="17">
        <f t="shared" si="31"/>
        <v>30097</v>
      </c>
      <c r="F184" s="22" t="str">
        <f t="shared" si="32"/>
        <v>430097.1</v>
      </c>
      <c r="G184" s="22"/>
      <c r="H184" s="22" t="str">
        <f t="shared" si="34"/>
        <v>430097.3</v>
      </c>
      <c r="I184" s="22"/>
      <c r="J184" s="22"/>
      <c r="K184" s="22"/>
      <c r="L184" s="22"/>
      <c r="M184" s="22"/>
      <c r="N184" s="22"/>
      <c r="O184" s="22"/>
      <c r="P184" s="22"/>
      <c r="Q184" s="22"/>
      <c r="R184" s="22"/>
    </row>
    <row r="185" spans="1:18" x14ac:dyDescent="0.25">
      <c r="A185" s="3">
        <v>98</v>
      </c>
      <c r="B185" s="3" t="s">
        <v>327</v>
      </c>
      <c r="C185" s="6" t="s">
        <v>565</v>
      </c>
      <c r="D185" s="6" t="s">
        <v>561</v>
      </c>
      <c r="E185" s="17">
        <f t="shared" si="31"/>
        <v>30098</v>
      </c>
      <c r="F185" s="22" t="str">
        <f t="shared" si="32"/>
        <v>430098.1</v>
      </c>
      <c r="G185" s="22"/>
      <c r="H185" s="22" t="str">
        <f t="shared" si="34"/>
        <v>430098.3</v>
      </c>
      <c r="I185" s="22"/>
      <c r="J185" s="22"/>
      <c r="K185" s="22"/>
      <c r="L185" s="22"/>
      <c r="M185" s="22"/>
      <c r="N185" s="22"/>
      <c r="O185" s="22"/>
      <c r="P185" s="22"/>
      <c r="Q185" s="22"/>
      <c r="R185" s="22"/>
    </row>
    <row r="186" spans="1:18" x14ac:dyDescent="0.25">
      <c r="A186" s="3">
        <v>99</v>
      </c>
      <c r="B186" s="3" t="s">
        <v>327</v>
      </c>
      <c r="C186" s="6" t="s">
        <v>566</v>
      </c>
      <c r="D186" s="6" t="s">
        <v>561</v>
      </c>
      <c r="E186" s="17">
        <f t="shared" si="31"/>
        <v>30099</v>
      </c>
      <c r="F186" s="22" t="str">
        <f t="shared" si="32"/>
        <v>430099.1</v>
      </c>
      <c r="G186" s="22"/>
      <c r="H186" s="22" t="str">
        <f t="shared" si="34"/>
        <v>430099.3</v>
      </c>
      <c r="I186" s="22"/>
      <c r="J186" s="22"/>
      <c r="K186" s="22"/>
      <c r="L186" s="22"/>
      <c r="M186" s="22"/>
      <c r="N186" s="22"/>
      <c r="O186" s="22"/>
      <c r="P186" s="22"/>
      <c r="Q186" s="22"/>
      <c r="R186" s="22"/>
    </row>
    <row r="187" spans="1:18" x14ac:dyDescent="0.25">
      <c r="A187" s="13">
        <v>1</v>
      </c>
      <c r="B187" s="13" t="s">
        <v>328</v>
      </c>
      <c r="C187" s="13" t="s">
        <v>1</v>
      </c>
      <c r="D187" s="13" t="s">
        <v>266</v>
      </c>
      <c r="E187" s="18">
        <f>E88</f>
        <v>30001</v>
      </c>
      <c r="F187" s="25" t="str">
        <f t="shared" si="32"/>
        <v>430001.1</v>
      </c>
      <c r="G187" s="25"/>
      <c r="H187" s="25" t="str">
        <f t="shared" si="34"/>
        <v>430001.3</v>
      </c>
      <c r="I187" s="25"/>
      <c r="J187" s="25" t="str">
        <f>"4"&amp;$E187&amp;".5"</f>
        <v>430001.5</v>
      </c>
      <c r="K187" s="25" t="str">
        <f>"4"&amp;$E187&amp;".6"</f>
        <v>430001.6</v>
      </c>
      <c r="L187" s="25" t="str">
        <f>"4"&amp;$E187&amp;".7"</f>
        <v>430001.7</v>
      </c>
      <c r="M187" s="25" t="str">
        <f>"4"&amp;$E187&amp;".8"</f>
        <v>430001.8</v>
      </c>
      <c r="N187" s="25" t="str">
        <f>"4"&amp;$E187&amp;".9"</f>
        <v>430001.9</v>
      </c>
      <c r="O187" s="25"/>
      <c r="P187" s="25"/>
      <c r="Q187" s="25"/>
      <c r="R187" s="26"/>
    </row>
    <row r="188" spans="1:18" x14ac:dyDescent="0.25">
      <c r="A188" s="3">
        <v>2</v>
      </c>
      <c r="B188" s="3" t="s">
        <v>328</v>
      </c>
      <c r="C188" s="3" t="s">
        <v>267</v>
      </c>
      <c r="D188" s="3" t="s">
        <v>268</v>
      </c>
      <c r="E188" s="14">
        <f t="shared" ref="E188:E240" si="35">E187+1</f>
        <v>30002</v>
      </c>
      <c r="F188" s="22" t="str">
        <f t="shared" si="32"/>
        <v>430002.1</v>
      </c>
      <c r="G188" s="22" t="str">
        <f>"4"&amp;$E188&amp;".2"</f>
        <v>430002.2</v>
      </c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</row>
    <row r="189" spans="1:18" x14ac:dyDescent="0.25">
      <c r="A189" s="3">
        <v>3</v>
      </c>
      <c r="B189" s="3" t="s">
        <v>328</v>
      </c>
      <c r="C189" s="4" t="s">
        <v>22</v>
      </c>
      <c r="D189" s="4" t="s">
        <v>269</v>
      </c>
      <c r="E189" s="14">
        <f t="shared" si="35"/>
        <v>30003</v>
      </c>
      <c r="F189" s="22" t="str">
        <f t="shared" si="32"/>
        <v>430003.1</v>
      </c>
      <c r="G189" s="22"/>
      <c r="H189" s="22" t="str">
        <f t="shared" ref="H189:H222" si="36">"4"&amp;$E189&amp;".3"</f>
        <v>430003.3</v>
      </c>
      <c r="I189" s="22"/>
      <c r="J189" s="22" t="str">
        <f t="shared" ref="J189:J198" si="37">"4"&amp;$E189&amp;".5"</f>
        <v>430003.5</v>
      </c>
      <c r="K189" s="22" t="str">
        <f t="shared" ref="K189:K198" si="38">"4"&amp;$E189&amp;".6"</f>
        <v>430003.6</v>
      </c>
      <c r="L189" s="22" t="str">
        <f t="shared" ref="L189:L198" si="39">"4"&amp;$E189&amp;".7"</f>
        <v>430003.7</v>
      </c>
      <c r="M189" s="22" t="str">
        <f t="shared" ref="M189:M198" si="40">"4"&amp;$E189&amp;".8"</f>
        <v>430003.8</v>
      </c>
      <c r="N189" s="22" t="str">
        <f t="shared" ref="N189:N198" si="41">"4"&amp;$E189&amp;".9"</f>
        <v>430003.9</v>
      </c>
      <c r="O189" s="22"/>
      <c r="P189" s="22"/>
      <c r="Q189" s="22"/>
      <c r="R189" s="22"/>
    </row>
    <row r="190" spans="1:18" x14ac:dyDescent="0.25">
      <c r="A190" s="3">
        <v>4</v>
      </c>
      <c r="B190" s="3" t="s">
        <v>328</v>
      </c>
      <c r="C190" s="3" t="s">
        <v>43</v>
      </c>
      <c r="D190" s="3" t="s">
        <v>270</v>
      </c>
      <c r="E190" s="14">
        <f t="shared" si="35"/>
        <v>30004</v>
      </c>
      <c r="F190" s="22" t="str">
        <f t="shared" si="32"/>
        <v>430004.1</v>
      </c>
      <c r="G190" s="22"/>
      <c r="H190" s="22" t="str">
        <f t="shared" si="36"/>
        <v>430004.3</v>
      </c>
      <c r="I190" s="22"/>
      <c r="J190" s="22" t="str">
        <f t="shared" si="37"/>
        <v>430004.5</v>
      </c>
      <c r="K190" s="22" t="str">
        <f t="shared" si="38"/>
        <v>430004.6</v>
      </c>
      <c r="L190" s="22" t="str">
        <f t="shared" si="39"/>
        <v>430004.7</v>
      </c>
      <c r="M190" s="22" t="str">
        <f t="shared" si="40"/>
        <v>430004.8</v>
      </c>
      <c r="N190" s="22" t="str">
        <f t="shared" si="41"/>
        <v>430004.9</v>
      </c>
      <c r="O190" s="22"/>
      <c r="P190" s="22"/>
      <c r="Q190" s="22"/>
      <c r="R190" s="22"/>
    </row>
    <row r="191" spans="1:18" x14ac:dyDescent="0.25">
      <c r="A191" s="3">
        <v>5</v>
      </c>
      <c r="B191" s="3" t="s">
        <v>328</v>
      </c>
      <c r="C191" s="3" t="s">
        <v>44</v>
      </c>
      <c r="D191" s="3" t="s">
        <v>271</v>
      </c>
      <c r="E191" s="14">
        <f t="shared" si="35"/>
        <v>30005</v>
      </c>
      <c r="F191" s="22" t="str">
        <f t="shared" si="32"/>
        <v>430005.1</v>
      </c>
      <c r="G191" s="22"/>
      <c r="H191" s="22" t="str">
        <f t="shared" si="36"/>
        <v>430005.3</v>
      </c>
      <c r="I191" s="22"/>
      <c r="J191" s="22" t="str">
        <f t="shared" si="37"/>
        <v>430005.5</v>
      </c>
      <c r="K191" s="22" t="str">
        <f t="shared" si="38"/>
        <v>430005.6</v>
      </c>
      <c r="L191" s="22" t="str">
        <f t="shared" si="39"/>
        <v>430005.7</v>
      </c>
      <c r="M191" s="22" t="str">
        <f t="shared" si="40"/>
        <v>430005.8</v>
      </c>
      <c r="N191" s="22" t="str">
        <f t="shared" si="41"/>
        <v>430005.9</v>
      </c>
      <c r="O191" s="22"/>
      <c r="P191" s="22"/>
      <c r="Q191" s="22"/>
      <c r="R191" s="22"/>
    </row>
    <row r="192" spans="1:18" x14ac:dyDescent="0.25">
      <c r="A192" s="3">
        <v>6</v>
      </c>
      <c r="B192" s="3" t="s">
        <v>328</v>
      </c>
      <c r="C192" s="3" t="s">
        <v>45</v>
      </c>
      <c r="D192" s="3" t="s">
        <v>272</v>
      </c>
      <c r="E192" s="14">
        <f t="shared" si="35"/>
        <v>30006</v>
      </c>
      <c r="F192" s="22" t="str">
        <f t="shared" si="32"/>
        <v>430006.1</v>
      </c>
      <c r="G192" s="22"/>
      <c r="H192" s="22" t="str">
        <f t="shared" si="36"/>
        <v>430006.3</v>
      </c>
      <c r="I192" s="22"/>
      <c r="J192" s="22" t="str">
        <f t="shared" si="37"/>
        <v>430006.5</v>
      </c>
      <c r="K192" s="22" t="str">
        <f t="shared" si="38"/>
        <v>430006.6</v>
      </c>
      <c r="L192" s="22" t="str">
        <f t="shared" si="39"/>
        <v>430006.7</v>
      </c>
      <c r="M192" s="22" t="str">
        <f t="shared" si="40"/>
        <v>430006.8</v>
      </c>
      <c r="N192" s="22" t="str">
        <f t="shared" si="41"/>
        <v>430006.9</v>
      </c>
      <c r="O192" s="22"/>
      <c r="P192" s="22"/>
      <c r="Q192" s="22"/>
      <c r="R192" s="22"/>
    </row>
    <row r="193" spans="1:18" x14ac:dyDescent="0.25">
      <c r="A193" s="3">
        <v>7</v>
      </c>
      <c r="B193" s="3" t="s">
        <v>328</v>
      </c>
      <c r="C193" s="3" t="s">
        <v>46</v>
      </c>
      <c r="D193" s="3" t="s">
        <v>273</v>
      </c>
      <c r="E193" s="14">
        <f t="shared" si="35"/>
        <v>30007</v>
      </c>
      <c r="F193" s="22" t="str">
        <f t="shared" si="32"/>
        <v>430007.1</v>
      </c>
      <c r="G193" s="22"/>
      <c r="H193" s="22" t="str">
        <f t="shared" si="36"/>
        <v>430007.3</v>
      </c>
      <c r="I193" s="22"/>
      <c r="J193" s="22" t="str">
        <f t="shared" si="37"/>
        <v>430007.5</v>
      </c>
      <c r="K193" s="22" t="str">
        <f t="shared" si="38"/>
        <v>430007.6</v>
      </c>
      <c r="L193" s="22" t="str">
        <f t="shared" si="39"/>
        <v>430007.7</v>
      </c>
      <c r="M193" s="22" t="str">
        <f t="shared" si="40"/>
        <v>430007.8</v>
      </c>
      <c r="N193" s="22" t="str">
        <f t="shared" si="41"/>
        <v>430007.9</v>
      </c>
      <c r="O193" s="22"/>
      <c r="P193" s="22"/>
      <c r="Q193" s="22"/>
      <c r="R193" s="22"/>
    </row>
    <row r="194" spans="1:18" x14ac:dyDescent="0.25">
      <c r="A194" s="3">
        <v>8</v>
      </c>
      <c r="B194" s="3" t="s">
        <v>328</v>
      </c>
      <c r="C194" s="3" t="s">
        <v>47</v>
      </c>
      <c r="D194" s="3" t="s">
        <v>274</v>
      </c>
      <c r="E194" s="14">
        <f t="shared" si="35"/>
        <v>30008</v>
      </c>
      <c r="F194" s="22" t="str">
        <f t="shared" si="32"/>
        <v>430008.1</v>
      </c>
      <c r="G194" s="22"/>
      <c r="H194" s="22" t="str">
        <f t="shared" si="36"/>
        <v>430008.3</v>
      </c>
      <c r="I194" s="22"/>
      <c r="J194" s="22" t="str">
        <f t="shared" si="37"/>
        <v>430008.5</v>
      </c>
      <c r="K194" s="22" t="str">
        <f t="shared" si="38"/>
        <v>430008.6</v>
      </c>
      <c r="L194" s="22" t="str">
        <f t="shared" si="39"/>
        <v>430008.7</v>
      </c>
      <c r="M194" s="22" t="str">
        <f t="shared" si="40"/>
        <v>430008.8</v>
      </c>
      <c r="N194" s="22" t="str">
        <f t="shared" si="41"/>
        <v>430008.9</v>
      </c>
      <c r="O194" s="22"/>
      <c r="P194" s="22"/>
      <c r="Q194" s="22"/>
      <c r="R194" s="22"/>
    </row>
    <row r="195" spans="1:18" x14ac:dyDescent="0.25">
      <c r="A195" s="3">
        <v>9</v>
      </c>
      <c r="B195" s="3" t="s">
        <v>328</v>
      </c>
      <c r="C195" s="3" t="s">
        <v>48</v>
      </c>
      <c r="D195" s="3" t="s">
        <v>275</v>
      </c>
      <c r="E195" s="14">
        <f t="shared" si="35"/>
        <v>30009</v>
      </c>
      <c r="F195" s="22" t="str">
        <f t="shared" si="32"/>
        <v>430009.1</v>
      </c>
      <c r="G195" s="22"/>
      <c r="H195" s="22" t="str">
        <f t="shared" si="36"/>
        <v>430009.3</v>
      </c>
      <c r="I195" s="22"/>
      <c r="J195" s="22" t="str">
        <f t="shared" si="37"/>
        <v>430009.5</v>
      </c>
      <c r="K195" s="22" t="str">
        <f t="shared" si="38"/>
        <v>430009.6</v>
      </c>
      <c r="L195" s="22" t="str">
        <f t="shared" si="39"/>
        <v>430009.7</v>
      </c>
      <c r="M195" s="22" t="str">
        <f t="shared" si="40"/>
        <v>430009.8</v>
      </c>
      <c r="N195" s="22" t="str">
        <f t="shared" si="41"/>
        <v>430009.9</v>
      </c>
      <c r="O195" s="22"/>
      <c r="P195" s="22"/>
      <c r="Q195" s="22"/>
      <c r="R195" s="22"/>
    </row>
    <row r="196" spans="1:18" x14ac:dyDescent="0.25">
      <c r="A196" s="3">
        <v>10</v>
      </c>
      <c r="B196" s="3" t="s">
        <v>328</v>
      </c>
      <c r="C196" s="3" t="s">
        <v>49</v>
      </c>
      <c r="D196" s="3" t="s">
        <v>276</v>
      </c>
      <c r="E196" s="14">
        <f t="shared" si="35"/>
        <v>30010</v>
      </c>
      <c r="F196" s="22" t="str">
        <f t="shared" si="32"/>
        <v>430010.1</v>
      </c>
      <c r="G196" s="22"/>
      <c r="H196" s="22" t="str">
        <f t="shared" si="36"/>
        <v>430010.3</v>
      </c>
      <c r="I196" s="22"/>
      <c r="J196" s="22" t="str">
        <f t="shared" si="37"/>
        <v>430010.5</v>
      </c>
      <c r="K196" s="22" t="str">
        <f t="shared" si="38"/>
        <v>430010.6</v>
      </c>
      <c r="L196" s="22" t="str">
        <f t="shared" si="39"/>
        <v>430010.7</v>
      </c>
      <c r="M196" s="22" t="str">
        <f t="shared" si="40"/>
        <v>430010.8</v>
      </c>
      <c r="N196" s="22" t="str">
        <f t="shared" si="41"/>
        <v>430010.9</v>
      </c>
      <c r="O196" s="22"/>
      <c r="P196" s="22"/>
      <c r="Q196" s="22"/>
      <c r="R196" s="22"/>
    </row>
    <row r="197" spans="1:18" x14ac:dyDescent="0.25">
      <c r="A197" s="3">
        <v>11</v>
      </c>
      <c r="B197" s="3" t="s">
        <v>328</v>
      </c>
      <c r="C197" s="3" t="s">
        <v>50</v>
      </c>
      <c r="D197" s="3" t="s">
        <v>277</v>
      </c>
      <c r="E197" s="14">
        <f t="shared" si="35"/>
        <v>30011</v>
      </c>
      <c r="F197" s="22" t="str">
        <f t="shared" si="32"/>
        <v>430011.1</v>
      </c>
      <c r="G197" s="22"/>
      <c r="H197" s="22" t="str">
        <f t="shared" si="36"/>
        <v>430011.3</v>
      </c>
      <c r="I197" s="22"/>
      <c r="J197" s="22" t="str">
        <f t="shared" si="37"/>
        <v>430011.5</v>
      </c>
      <c r="K197" s="22" t="str">
        <f t="shared" si="38"/>
        <v>430011.6</v>
      </c>
      <c r="L197" s="22" t="str">
        <f t="shared" si="39"/>
        <v>430011.7</v>
      </c>
      <c r="M197" s="22" t="str">
        <f t="shared" si="40"/>
        <v>430011.8</v>
      </c>
      <c r="N197" s="22" t="str">
        <f t="shared" si="41"/>
        <v>430011.9</v>
      </c>
      <c r="O197" s="22"/>
      <c r="P197" s="22"/>
      <c r="Q197" s="22"/>
      <c r="R197" s="22"/>
    </row>
    <row r="198" spans="1:18" x14ac:dyDescent="0.25">
      <c r="A198" s="3">
        <v>12</v>
      </c>
      <c r="B198" s="3" t="s">
        <v>328</v>
      </c>
      <c r="C198" s="3" t="s">
        <v>51</v>
      </c>
      <c r="D198" s="3" t="s">
        <v>278</v>
      </c>
      <c r="E198" s="14">
        <f t="shared" si="35"/>
        <v>30012</v>
      </c>
      <c r="F198" s="22" t="str">
        <f t="shared" si="32"/>
        <v>430012.1</v>
      </c>
      <c r="G198" s="22"/>
      <c r="H198" s="22" t="str">
        <f t="shared" si="36"/>
        <v>430012.3</v>
      </c>
      <c r="I198" s="22"/>
      <c r="J198" s="22" t="str">
        <f t="shared" si="37"/>
        <v>430012.5</v>
      </c>
      <c r="K198" s="22" t="str">
        <f t="shared" si="38"/>
        <v>430012.6</v>
      </c>
      <c r="L198" s="22" t="str">
        <f t="shared" si="39"/>
        <v>430012.7</v>
      </c>
      <c r="M198" s="22" t="str">
        <f t="shared" si="40"/>
        <v>430012.8</v>
      </c>
      <c r="N198" s="22" t="str">
        <f t="shared" si="41"/>
        <v>430012.9</v>
      </c>
      <c r="O198" s="22"/>
      <c r="P198" s="22"/>
      <c r="Q198" s="22"/>
      <c r="R198" s="22"/>
    </row>
    <row r="199" spans="1:18" x14ac:dyDescent="0.25">
      <c r="A199" s="3">
        <v>13</v>
      </c>
      <c r="B199" s="3" t="s">
        <v>328</v>
      </c>
      <c r="C199" s="3" t="s">
        <v>183</v>
      </c>
      <c r="D199" s="3" t="s">
        <v>285</v>
      </c>
      <c r="E199" s="14">
        <f t="shared" si="35"/>
        <v>30013</v>
      </c>
      <c r="F199" s="22" t="str">
        <f t="shared" si="32"/>
        <v>430013.1</v>
      </c>
      <c r="G199" s="22"/>
      <c r="H199" s="22" t="str">
        <f t="shared" si="36"/>
        <v>430013.3</v>
      </c>
      <c r="I199" s="22"/>
      <c r="J199" s="22"/>
      <c r="K199" s="22"/>
      <c r="L199" s="22"/>
      <c r="M199" s="22"/>
      <c r="N199" s="22"/>
      <c r="O199" s="22"/>
      <c r="P199" s="22"/>
      <c r="Q199" s="22"/>
      <c r="R199" s="22"/>
    </row>
    <row r="200" spans="1:18" x14ac:dyDescent="0.25">
      <c r="A200" s="3">
        <v>14</v>
      </c>
      <c r="B200" s="3" t="s">
        <v>328</v>
      </c>
      <c r="C200" s="3" t="s">
        <v>184</v>
      </c>
      <c r="D200" s="3" t="s">
        <v>285</v>
      </c>
      <c r="E200" s="14">
        <f t="shared" si="35"/>
        <v>30014</v>
      </c>
      <c r="F200" s="22" t="str">
        <f t="shared" si="32"/>
        <v>430014.1</v>
      </c>
      <c r="G200" s="22"/>
      <c r="H200" s="22" t="str">
        <f t="shared" si="36"/>
        <v>430014.3</v>
      </c>
      <c r="I200" s="22"/>
      <c r="J200" s="22"/>
      <c r="K200" s="22"/>
      <c r="L200" s="22"/>
      <c r="M200" s="22"/>
      <c r="N200" s="22"/>
      <c r="O200" s="22"/>
      <c r="P200" s="22"/>
      <c r="Q200" s="22"/>
      <c r="R200" s="22"/>
    </row>
    <row r="201" spans="1:18" x14ac:dyDescent="0.25">
      <c r="A201" s="3">
        <v>15</v>
      </c>
      <c r="B201" s="3" t="s">
        <v>328</v>
      </c>
      <c r="C201" s="3" t="s">
        <v>185</v>
      </c>
      <c r="D201" s="3" t="s">
        <v>285</v>
      </c>
      <c r="E201" s="14">
        <f t="shared" si="35"/>
        <v>30015</v>
      </c>
      <c r="F201" s="22" t="str">
        <f t="shared" si="32"/>
        <v>430015.1</v>
      </c>
      <c r="G201" s="22"/>
      <c r="H201" s="22" t="str">
        <f t="shared" si="36"/>
        <v>430015.3</v>
      </c>
      <c r="I201" s="22"/>
      <c r="J201" s="22"/>
      <c r="K201" s="22"/>
      <c r="L201" s="22"/>
      <c r="M201" s="22"/>
      <c r="N201" s="22"/>
      <c r="O201" s="22"/>
      <c r="P201" s="22"/>
      <c r="Q201" s="22"/>
      <c r="R201" s="22"/>
    </row>
    <row r="202" spans="1:18" x14ac:dyDescent="0.25">
      <c r="A202" s="3">
        <v>16</v>
      </c>
      <c r="B202" s="3" t="s">
        <v>328</v>
      </c>
      <c r="C202" s="3" t="s">
        <v>186</v>
      </c>
      <c r="D202" s="3" t="s">
        <v>285</v>
      </c>
      <c r="E202" s="14">
        <f t="shared" si="35"/>
        <v>30016</v>
      </c>
      <c r="F202" s="22" t="str">
        <f t="shared" si="32"/>
        <v>430016.1</v>
      </c>
      <c r="G202" s="22"/>
      <c r="H202" s="22" t="str">
        <f t="shared" si="36"/>
        <v>430016.3</v>
      </c>
      <c r="I202" s="22"/>
      <c r="J202" s="22"/>
      <c r="K202" s="22"/>
      <c r="L202" s="22"/>
      <c r="M202" s="22"/>
      <c r="N202" s="22"/>
      <c r="O202" s="22"/>
      <c r="P202" s="22"/>
      <c r="Q202" s="22"/>
      <c r="R202" s="22"/>
    </row>
    <row r="203" spans="1:18" x14ac:dyDescent="0.25">
      <c r="A203" s="3">
        <v>17</v>
      </c>
      <c r="B203" s="3" t="s">
        <v>328</v>
      </c>
      <c r="C203" s="3" t="s">
        <v>187</v>
      </c>
      <c r="D203" s="3" t="s">
        <v>324</v>
      </c>
      <c r="E203" s="14">
        <f t="shared" si="35"/>
        <v>30017</v>
      </c>
      <c r="F203" s="22" t="str">
        <f t="shared" si="32"/>
        <v>430017.1</v>
      </c>
      <c r="G203" s="22"/>
      <c r="H203" s="22" t="str">
        <f t="shared" si="36"/>
        <v>430017.3</v>
      </c>
      <c r="I203" s="22"/>
      <c r="J203" s="22"/>
      <c r="K203" s="22"/>
      <c r="L203" s="22"/>
      <c r="M203" s="22"/>
      <c r="N203" s="22"/>
      <c r="O203" s="22"/>
      <c r="P203" s="22"/>
      <c r="Q203" s="22"/>
      <c r="R203" s="22"/>
    </row>
    <row r="204" spans="1:18" x14ac:dyDescent="0.25">
      <c r="A204" s="3">
        <v>18</v>
      </c>
      <c r="B204" s="3" t="s">
        <v>328</v>
      </c>
      <c r="C204" s="3" t="s">
        <v>188</v>
      </c>
      <c r="D204" s="3" t="s">
        <v>324</v>
      </c>
      <c r="E204" s="14">
        <f t="shared" si="35"/>
        <v>30018</v>
      </c>
      <c r="F204" s="22" t="str">
        <f t="shared" si="32"/>
        <v>430018.1</v>
      </c>
      <c r="G204" s="22"/>
      <c r="H204" s="22" t="str">
        <f t="shared" si="36"/>
        <v>430018.3</v>
      </c>
      <c r="I204" s="22"/>
      <c r="J204" s="22"/>
      <c r="K204" s="22"/>
      <c r="L204" s="22"/>
      <c r="M204" s="22"/>
      <c r="N204" s="22"/>
      <c r="O204" s="22"/>
      <c r="P204" s="22"/>
      <c r="Q204" s="22"/>
      <c r="R204" s="22"/>
    </row>
    <row r="205" spans="1:18" x14ac:dyDescent="0.25">
      <c r="A205" s="3">
        <v>19</v>
      </c>
      <c r="B205" s="3" t="s">
        <v>328</v>
      </c>
      <c r="C205" s="3" t="s">
        <v>189</v>
      </c>
      <c r="D205" s="3" t="s">
        <v>324</v>
      </c>
      <c r="E205" s="14">
        <f t="shared" si="35"/>
        <v>30019</v>
      </c>
      <c r="F205" s="22" t="str">
        <f t="shared" si="32"/>
        <v>430019.1</v>
      </c>
      <c r="G205" s="22"/>
      <c r="H205" s="22" t="str">
        <f t="shared" si="36"/>
        <v>430019.3</v>
      </c>
      <c r="I205" s="22"/>
      <c r="J205" s="22"/>
      <c r="K205" s="22"/>
      <c r="L205" s="22"/>
      <c r="M205" s="22"/>
      <c r="N205" s="22"/>
      <c r="O205" s="22"/>
      <c r="P205" s="22"/>
      <c r="Q205" s="22"/>
      <c r="R205" s="22"/>
    </row>
    <row r="206" spans="1:18" x14ac:dyDescent="0.25">
      <c r="A206" s="3">
        <v>20</v>
      </c>
      <c r="B206" s="3" t="s">
        <v>328</v>
      </c>
      <c r="C206" s="3" t="s">
        <v>190</v>
      </c>
      <c r="D206" s="3" t="s">
        <v>324</v>
      </c>
      <c r="E206" s="14">
        <f t="shared" si="35"/>
        <v>30020</v>
      </c>
      <c r="F206" s="22" t="str">
        <f t="shared" si="32"/>
        <v>430020.1</v>
      </c>
      <c r="G206" s="22"/>
      <c r="H206" s="22" t="str">
        <f t="shared" si="36"/>
        <v>430020.3</v>
      </c>
      <c r="I206" s="22"/>
      <c r="J206" s="22"/>
      <c r="K206" s="22"/>
      <c r="L206" s="22"/>
      <c r="M206" s="22"/>
      <c r="N206" s="22"/>
      <c r="O206" s="22"/>
      <c r="P206" s="22"/>
      <c r="Q206" s="22"/>
      <c r="R206" s="22"/>
    </row>
    <row r="207" spans="1:18" x14ac:dyDescent="0.25">
      <c r="A207" s="3">
        <v>21</v>
      </c>
      <c r="B207" s="3" t="s">
        <v>328</v>
      </c>
      <c r="C207" s="3" t="s">
        <v>191</v>
      </c>
      <c r="D207" s="3" t="s">
        <v>324</v>
      </c>
      <c r="E207" s="14">
        <f t="shared" si="35"/>
        <v>30021</v>
      </c>
      <c r="F207" s="22" t="str">
        <f t="shared" si="32"/>
        <v>430021.1</v>
      </c>
      <c r="G207" s="22"/>
      <c r="H207" s="22" t="str">
        <f t="shared" si="36"/>
        <v>430021.3</v>
      </c>
      <c r="I207" s="22"/>
      <c r="J207" s="22"/>
      <c r="K207" s="22"/>
      <c r="L207" s="22"/>
      <c r="M207" s="22"/>
      <c r="N207" s="22"/>
      <c r="O207" s="22"/>
      <c r="P207" s="22"/>
      <c r="Q207" s="22"/>
      <c r="R207" s="22"/>
    </row>
    <row r="208" spans="1:18" x14ac:dyDescent="0.25">
      <c r="A208" s="3">
        <v>22</v>
      </c>
      <c r="B208" s="3" t="s">
        <v>328</v>
      </c>
      <c r="C208" s="3" t="s">
        <v>192</v>
      </c>
      <c r="D208" s="3" t="s">
        <v>324</v>
      </c>
      <c r="E208" s="14">
        <f t="shared" si="35"/>
        <v>30022</v>
      </c>
      <c r="F208" s="22" t="str">
        <f t="shared" si="32"/>
        <v>430022.1</v>
      </c>
      <c r="G208" s="22"/>
      <c r="H208" s="22" t="str">
        <f t="shared" si="36"/>
        <v>430022.3</v>
      </c>
      <c r="I208" s="22"/>
      <c r="J208" s="22"/>
      <c r="K208" s="22"/>
      <c r="L208" s="22"/>
      <c r="M208" s="22"/>
      <c r="N208" s="22"/>
      <c r="O208" s="22"/>
      <c r="P208" s="22"/>
      <c r="Q208" s="22"/>
      <c r="R208" s="22"/>
    </row>
    <row r="209" spans="1:18" x14ac:dyDescent="0.25">
      <c r="A209" s="3">
        <v>23</v>
      </c>
      <c r="B209" s="3" t="s">
        <v>328</v>
      </c>
      <c r="C209" s="3" t="s">
        <v>193</v>
      </c>
      <c r="D209" s="3" t="s">
        <v>324</v>
      </c>
      <c r="E209" s="14">
        <f t="shared" si="35"/>
        <v>30023</v>
      </c>
      <c r="F209" s="22" t="str">
        <f t="shared" si="32"/>
        <v>430023.1</v>
      </c>
      <c r="G209" s="22"/>
      <c r="H209" s="22" t="str">
        <f t="shared" si="36"/>
        <v>430023.3</v>
      </c>
      <c r="I209" s="22"/>
      <c r="J209" s="22"/>
      <c r="K209" s="22"/>
      <c r="L209" s="22"/>
      <c r="M209" s="22"/>
      <c r="N209" s="22"/>
      <c r="O209" s="22"/>
      <c r="P209" s="22"/>
      <c r="Q209" s="22"/>
      <c r="R209" s="22"/>
    </row>
    <row r="210" spans="1:18" x14ac:dyDescent="0.25">
      <c r="A210" s="3">
        <v>24</v>
      </c>
      <c r="B210" s="3" t="s">
        <v>328</v>
      </c>
      <c r="C210" s="3" t="s">
        <v>194</v>
      </c>
      <c r="D210" s="3" t="s">
        <v>324</v>
      </c>
      <c r="E210" s="14">
        <f t="shared" si="35"/>
        <v>30024</v>
      </c>
      <c r="F210" s="22" t="str">
        <f t="shared" si="32"/>
        <v>430024.1</v>
      </c>
      <c r="G210" s="22"/>
      <c r="H210" s="22" t="str">
        <f t="shared" si="36"/>
        <v>430024.3</v>
      </c>
      <c r="I210" s="22"/>
      <c r="J210" s="22"/>
      <c r="K210" s="22"/>
      <c r="L210" s="22"/>
      <c r="M210" s="22"/>
      <c r="N210" s="22"/>
      <c r="O210" s="22"/>
      <c r="P210" s="22"/>
      <c r="Q210" s="22"/>
      <c r="R210" s="22"/>
    </row>
    <row r="211" spans="1:18" x14ac:dyDescent="0.25">
      <c r="A211" s="3">
        <v>25</v>
      </c>
      <c r="B211" s="3" t="s">
        <v>328</v>
      </c>
      <c r="C211" s="3" t="s">
        <v>195</v>
      </c>
      <c r="D211" s="3" t="s">
        <v>324</v>
      </c>
      <c r="E211" s="14">
        <f t="shared" si="35"/>
        <v>30025</v>
      </c>
      <c r="F211" s="22" t="str">
        <f t="shared" si="32"/>
        <v>430025.1</v>
      </c>
      <c r="G211" s="22"/>
      <c r="H211" s="22" t="str">
        <f t="shared" si="36"/>
        <v>430025.3</v>
      </c>
      <c r="I211" s="22"/>
      <c r="J211" s="22"/>
      <c r="K211" s="22"/>
      <c r="L211" s="22"/>
      <c r="M211" s="22"/>
      <c r="N211" s="22"/>
      <c r="O211" s="22"/>
      <c r="P211" s="22"/>
      <c r="Q211" s="22"/>
      <c r="R211" s="22"/>
    </row>
    <row r="212" spans="1:18" x14ac:dyDescent="0.25">
      <c r="A212" s="3">
        <v>26</v>
      </c>
      <c r="B212" s="3" t="s">
        <v>328</v>
      </c>
      <c r="C212" s="3" t="s">
        <v>196</v>
      </c>
      <c r="D212" s="3" t="s">
        <v>324</v>
      </c>
      <c r="E212" s="14">
        <f t="shared" si="35"/>
        <v>30026</v>
      </c>
      <c r="F212" s="22" t="str">
        <f t="shared" si="32"/>
        <v>430026.1</v>
      </c>
      <c r="G212" s="22"/>
      <c r="H212" s="22" t="str">
        <f t="shared" si="36"/>
        <v>430026.3</v>
      </c>
      <c r="I212" s="22"/>
      <c r="J212" s="22"/>
      <c r="K212" s="22"/>
      <c r="L212" s="22"/>
      <c r="M212" s="22"/>
      <c r="N212" s="22"/>
      <c r="O212" s="22"/>
      <c r="P212" s="22"/>
      <c r="Q212" s="22"/>
      <c r="R212" s="22"/>
    </row>
    <row r="213" spans="1:18" x14ac:dyDescent="0.25">
      <c r="A213" s="3">
        <v>27</v>
      </c>
      <c r="B213" s="3" t="s">
        <v>328</v>
      </c>
      <c r="C213" s="6" t="s">
        <v>588</v>
      </c>
      <c r="D213" s="6" t="s">
        <v>324</v>
      </c>
      <c r="E213" s="17">
        <f t="shared" si="35"/>
        <v>30027</v>
      </c>
      <c r="F213" s="22" t="str">
        <f t="shared" si="32"/>
        <v>430027.1</v>
      </c>
      <c r="G213" s="22"/>
      <c r="H213" s="22" t="str">
        <f t="shared" si="36"/>
        <v>430027.3</v>
      </c>
      <c r="I213" s="22"/>
      <c r="J213" s="22"/>
      <c r="K213" s="22"/>
      <c r="L213" s="22"/>
      <c r="M213" s="22"/>
      <c r="N213" s="22"/>
      <c r="O213" s="22"/>
      <c r="P213" s="22"/>
      <c r="Q213" s="22"/>
      <c r="R213" s="22"/>
    </row>
    <row r="214" spans="1:18" x14ac:dyDescent="0.25">
      <c r="A214" s="3">
        <v>28</v>
      </c>
      <c r="B214" s="3" t="s">
        <v>328</v>
      </c>
      <c r="C214" s="6" t="s">
        <v>589</v>
      </c>
      <c r="D214" s="6" t="s">
        <v>324</v>
      </c>
      <c r="E214" s="17">
        <f t="shared" si="35"/>
        <v>30028</v>
      </c>
      <c r="F214" s="22" t="str">
        <f t="shared" si="32"/>
        <v>430028.1</v>
      </c>
      <c r="G214" s="22"/>
      <c r="H214" s="22" t="str">
        <f t="shared" si="36"/>
        <v>430028.3</v>
      </c>
      <c r="I214" s="22"/>
      <c r="J214" s="22"/>
      <c r="K214" s="22"/>
      <c r="L214" s="22"/>
      <c r="M214" s="22"/>
      <c r="N214" s="22"/>
      <c r="O214" s="22"/>
      <c r="P214" s="22"/>
      <c r="Q214" s="22"/>
      <c r="R214" s="22"/>
    </row>
    <row r="215" spans="1:18" x14ac:dyDescent="0.25">
      <c r="A215" s="3">
        <v>29</v>
      </c>
      <c r="B215" s="3" t="s">
        <v>328</v>
      </c>
      <c r="C215" s="3" t="s">
        <v>197</v>
      </c>
      <c r="D215" s="3" t="s">
        <v>325</v>
      </c>
      <c r="E215" s="14">
        <f t="shared" si="35"/>
        <v>30029</v>
      </c>
      <c r="F215" s="22" t="str">
        <f t="shared" si="32"/>
        <v>430029.1</v>
      </c>
      <c r="G215" s="22"/>
      <c r="H215" s="22" t="str">
        <f t="shared" si="36"/>
        <v>430029.3</v>
      </c>
      <c r="I215" s="22"/>
      <c r="J215" s="22"/>
      <c r="K215" s="22"/>
      <c r="L215" s="22"/>
      <c r="M215" s="22"/>
      <c r="N215" s="22"/>
      <c r="O215" s="22"/>
      <c r="P215" s="22"/>
      <c r="Q215" s="22"/>
      <c r="R215" s="22"/>
    </row>
    <row r="216" spans="1:18" x14ac:dyDescent="0.25">
      <c r="A216" s="3">
        <v>30</v>
      </c>
      <c r="B216" s="3" t="s">
        <v>328</v>
      </c>
      <c r="C216" s="3" t="s">
        <v>198</v>
      </c>
      <c r="D216" s="3" t="s">
        <v>325</v>
      </c>
      <c r="E216" s="14">
        <f t="shared" si="35"/>
        <v>30030</v>
      </c>
      <c r="F216" s="22" t="str">
        <f t="shared" si="32"/>
        <v>430030.1</v>
      </c>
      <c r="G216" s="22"/>
      <c r="H216" s="22" t="str">
        <f t="shared" si="36"/>
        <v>430030.3</v>
      </c>
      <c r="I216" s="22"/>
      <c r="J216" s="22"/>
      <c r="K216" s="22"/>
      <c r="L216" s="22"/>
      <c r="M216" s="22"/>
      <c r="N216" s="22"/>
      <c r="O216" s="22"/>
      <c r="P216" s="22"/>
      <c r="Q216" s="22"/>
      <c r="R216" s="22"/>
    </row>
    <row r="217" spans="1:18" x14ac:dyDescent="0.25">
      <c r="A217" s="3">
        <v>31</v>
      </c>
      <c r="B217" s="3" t="s">
        <v>328</v>
      </c>
      <c r="C217" s="3" t="s">
        <v>199</v>
      </c>
      <c r="D217" s="3" t="s">
        <v>325</v>
      </c>
      <c r="E217" s="14">
        <f t="shared" si="35"/>
        <v>30031</v>
      </c>
      <c r="F217" s="22" t="str">
        <f t="shared" si="32"/>
        <v>430031.1</v>
      </c>
      <c r="G217" s="22"/>
      <c r="H217" s="22" t="str">
        <f t="shared" si="36"/>
        <v>430031.3</v>
      </c>
      <c r="I217" s="22"/>
      <c r="J217" s="22"/>
      <c r="K217" s="22"/>
      <c r="L217" s="22"/>
      <c r="M217" s="22"/>
      <c r="N217" s="22"/>
      <c r="O217" s="22"/>
      <c r="P217" s="22"/>
      <c r="Q217" s="22"/>
      <c r="R217" s="22"/>
    </row>
    <row r="218" spans="1:18" x14ac:dyDescent="0.25">
      <c r="A218" s="3">
        <v>32</v>
      </c>
      <c r="B218" s="3" t="s">
        <v>328</v>
      </c>
      <c r="C218" s="3" t="s">
        <v>200</v>
      </c>
      <c r="D218" s="3" t="s">
        <v>325</v>
      </c>
      <c r="E218" s="14">
        <f t="shared" si="35"/>
        <v>30032</v>
      </c>
      <c r="F218" s="22" t="str">
        <f t="shared" si="32"/>
        <v>430032.1</v>
      </c>
      <c r="G218" s="22"/>
      <c r="H218" s="22" t="str">
        <f t="shared" si="36"/>
        <v>430032.3</v>
      </c>
      <c r="I218" s="22"/>
      <c r="J218" s="22"/>
      <c r="K218" s="22"/>
      <c r="L218" s="22"/>
      <c r="M218" s="22"/>
      <c r="N218" s="22"/>
      <c r="O218" s="22"/>
      <c r="P218" s="22"/>
      <c r="Q218" s="22"/>
      <c r="R218" s="22"/>
    </row>
    <row r="219" spans="1:18" x14ac:dyDescent="0.25">
      <c r="A219" s="3">
        <v>33</v>
      </c>
      <c r="B219" s="3" t="s">
        <v>328</v>
      </c>
      <c r="C219" s="3" t="s">
        <v>201</v>
      </c>
      <c r="D219" s="3" t="s">
        <v>325</v>
      </c>
      <c r="E219" s="14">
        <f t="shared" si="35"/>
        <v>30033</v>
      </c>
      <c r="F219" s="22" t="str">
        <f t="shared" si="32"/>
        <v>430033.1</v>
      </c>
      <c r="G219" s="22"/>
      <c r="H219" s="22" t="str">
        <f t="shared" si="36"/>
        <v>430033.3</v>
      </c>
      <c r="I219" s="22"/>
      <c r="J219" s="22"/>
      <c r="K219" s="22"/>
      <c r="L219" s="22"/>
      <c r="M219" s="22"/>
      <c r="N219" s="22"/>
      <c r="O219" s="22"/>
      <c r="P219" s="22"/>
      <c r="Q219" s="22"/>
      <c r="R219" s="22"/>
    </row>
    <row r="220" spans="1:18" x14ac:dyDescent="0.25">
      <c r="A220" s="3">
        <v>34</v>
      </c>
      <c r="B220" s="3" t="s">
        <v>328</v>
      </c>
      <c r="C220" s="3" t="s">
        <v>202</v>
      </c>
      <c r="D220" s="3" t="s">
        <v>325</v>
      </c>
      <c r="E220" s="14">
        <f t="shared" si="35"/>
        <v>30034</v>
      </c>
      <c r="F220" s="22" t="str">
        <f t="shared" si="32"/>
        <v>430034.1</v>
      </c>
      <c r="G220" s="22"/>
      <c r="H220" s="22" t="str">
        <f t="shared" si="36"/>
        <v>430034.3</v>
      </c>
      <c r="I220" s="22"/>
      <c r="J220" s="22"/>
      <c r="K220" s="22"/>
      <c r="L220" s="22"/>
      <c r="M220" s="22"/>
      <c r="N220" s="22"/>
      <c r="O220" s="22"/>
      <c r="P220" s="22"/>
      <c r="Q220" s="22"/>
      <c r="R220" s="22"/>
    </row>
    <row r="221" spans="1:18" x14ac:dyDescent="0.25">
      <c r="A221" s="3">
        <v>35</v>
      </c>
      <c r="B221" s="3" t="s">
        <v>328</v>
      </c>
      <c r="C221" s="3" t="s">
        <v>203</v>
      </c>
      <c r="D221" s="3" t="s">
        <v>325</v>
      </c>
      <c r="E221" s="14">
        <f t="shared" si="35"/>
        <v>30035</v>
      </c>
      <c r="F221" s="22" t="str">
        <f t="shared" si="32"/>
        <v>430035.1</v>
      </c>
      <c r="G221" s="22"/>
      <c r="H221" s="22" t="str">
        <f t="shared" si="36"/>
        <v>430035.3</v>
      </c>
      <c r="I221" s="22"/>
      <c r="J221" s="22"/>
      <c r="K221" s="22"/>
      <c r="L221" s="22"/>
      <c r="M221" s="22"/>
      <c r="N221" s="22"/>
      <c r="O221" s="22"/>
      <c r="P221" s="22"/>
      <c r="Q221" s="22"/>
      <c r="R221" s="22"/>
    </row>
    <row r="222" spans="1:18" x14ac:dyDescent="0.25">
      <c r="A222" s="3">
        <v>36</v>
      </c>
      <c r="B222" s="3" t="s">
        <v>328</v>
      </c>
      <c r="C222" s="3" t="s">
        <v>204</v>
      </c>
      <c r="D222" s="3" t="s">
        <v>325</v>
      </c>
      <c r="E222" s="14">
        <f t="shared" si="35"/>
        <v>30036</v>
      </c>
      <c r="F222" s="22" t="str">
        <f t="shared" si="32"/>
        <v>430036.1</v>
      </c>
      <c r="G222" s="22"/>
      <c r="H222" s="22" t="str">
        <f t="shared" si="36"/>
        <v>430036.3</v>
      </c>
      <c r="I222" s="22"/>
      <c r="J222" s="22"/>
      <c r="K222" s="22"/>
      <c r="L222" s="22"/>
      <c r="M222" s="22"/>
      <c r="N222" s="22"/>
      <c r="O222" s="22"/>
      <c r="P222" s="22"/>
      <c r="Q222" s="22"/>
      <c r="R222" s="22"/>
    </row>
    <row r="223" spans="1:18" x14ac:dyDescent="0.25">
      <c r="A223" s="3">
        <v>37</v>
      </c>
      <c r="B223" s="3" t="s">
        <v>328</v>
      </c>
      <c r="C223" s="3" t="s">
        <v>263</v>
      </c>
      <c r="D223" s="3" t="s">
        <v>314</v>
      </c>
      <c r="E223" s="14">
        <f t="shared" si="35"/>
        <v>30037</v>
      </c>
      <c r="F223" s="22" t="str">
        <f t="shared" si="32"/>
        <v>430037.1</v>
      </c>
      <c r="G223" s="22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2"/>
    </row>
    <row r="224" spans="1:18" x14ac:dyDescent="0.25">
      <c r="A224" s="3">
        <v>38</v>
      </c>
      <c r="B224" s="3" t="s">
        <v>328</v>
      </c>
      <c r="C224" s="3" t="s">
        <v>205</v>
      </c>
      <c r="D224" s="3" t="s">
        <v>314</v>
      </c>
      <c r="E224" s="14">
        <f t="shared" si="35"/>
        <v>30038</v>
      </c>
      <c r="F224" s="22" t="str">
        <f t="shared" si="32"/>
        <v>430038.1</v>
      </c>
      <c r="G224" s="22"/>
      <c r="H224" s="22" t="str">
        <f t="shared" ref="H224:H239" si="42">"4"&amp;$E224&amp;".3"</f>
        <v>430038.3</v>
      </c>
      <c r="I224" s="22"/>
      <c r="J224" s="22"/>
      <c r="K224" s="22"/>
      <c r="L224" s="22"/>
      <c r="M224" s="22"/>
      <c r="N224" s="22"/>
      <c r="O224" s="22"/>
      <c r="P224" s="22"/>
      <c r="Q224" s="22"/>
      <c r="R224" s="22"/>
    </row>
    <row r="225" spans="1:18" x14ac:dyDescent="0.25">
      <c r="A225" s="3">
        <v>39</v>
      </c>
      <c r="B225" s="3" t="s">
        <v>328</v>
      </c>
      <c r="C225" s="3" t="s">
        <v>206</v>
      </c>
      <c r="D225" s="3" t="s">
        <v>314</v>
      </c>
      <c r="E225" s="14">
        <f t="shared" si="35"/>
        <v>30039</v>
      </c>
      <c r="F225" s="22" t="str">
        <f t="shared" si="32"/>
        <v>430039.1</v>
      </c>
      <c r="G225" s="22"/>
      <c r="H225" s="22" t="str">
        <f t="shared" si="42"/>
        <v>430039.3</v>
      </c>
      <c r="I225" s="22"/>
      <c r="J225" s="22"/>
      <c r="K225" s="22"/>
      <c r="L225" s="22"/>
      <c r="M225" s="22"/>
      <c r="N225" s="22"/>
      <c r="O225" s="22"/>
      <c r="P225" s="22"/>
      <c r="Q225" s="22"/>
      <c r="R225" s="22"/>
    </row>
    <row r="226" spans="1:18" x14ac:dyDescent="0.25">
      <c r="A226" s="3">
        <v>40</v>
      </c>
      <c r="B226" s="3" t="s">
        <v>328</v>
      </c>
      <c r="C226" s="3" t="s">
        <v>207</v>
      </c>
      <c r="D226" s="3" t="s">
        <v>314</v>
      </c>
      <c r="E226" s="14">
        <f t="shared" si="35"/>
        <v>30040</v>
      </c>
      <c r="F226" s="22" t="str">
        <f t="shared" si="32"/>
        <v>430040.1</v>
      </c>
      <c r="G226" s="22"/>
      <c r="H226" s="22" t="str">
        <f t="shared" si="42"/>
        <v>430040.3</v>
      </c>
      <c r="I226" s="22"/>
      <c r="J226" s="22"/>
      <c r="K226" s="22"/>
      <c r="L226" s="22"/>
      <c r="M226" s="22"/>
      <c r="N226" s="22"/>
      <c r="O226" s="22"/>
      <c r="P226" s="22"/>
      <c r="Q226" s="22"/>
      <c r="R226" s="22"/>
    </row>
    <row r="227" spans="1:18" x14ac:dyDescent="0.25">
      <c r="A227" s="3">
        <v>41</v>
      </c>
      <c r="B227" s="3" t="s">
        <v>328</v>
      </c>
      <c r="C227" s="3" t="s">
        <v>208</v>
      </c>
      <c r="D227" s="3" t="s">
        <v>314</v>
      </c>
      <c r="E227" s="14">
        <f t="shared" si="35"/>
        <v>30041</v>
      </c>
      <c r="F227" s="22" t="str">
        <f t="shared" ref="F227:F239" si="43">"4"&amp;$E227&amp;".1"</f>
        <v>430041.1</v>
      </c>
      <c r="G227" s="22"/>
      <c r="H227" s="22" t="str">
        <f t="shared" si="42"/>
        <v>430041.3</v>
      </c>
      <c r="I227" s="22"/>
      <c r="J227" s="22"/>
      <c r="K227" s="22"/>
      <c r="L227" s="22"/>
      <c r="M227" s="22"/>
      <c r="N227" s="22"/>
      <c r="O227" s="22"/>
      <c r="P227" s="22"/>
      <c r="Q227" s="22"/>
      <c r="R227" s="22"/>
    </row>
    <row r="228" spans="1:18" x14ac:dyDescent="0.25">
      <c r="A228" s="3">
        <v>42</v>
      </c>
      <c r="B228" s="3" t="s">
        <v>328</v>
      </c>
      <c r="C228" s="3" t="s">
        <v>209</v>
      </c>
      <c r="D228" s="3" t="s">
        <v>314</v>
      </c>
      <c r="E228" s="14">
        <f t="shared" si="35"/>
        <v>30042</v>
      </c>
      <c r="F228" s="22" t="str">
        <f t="shared" si="43"/>
        <v>430042.1</v>
      </c>
      <c r="G228" s="22"/>
      <c r="H228" s="22" t="str">
        <f t="shared" si="42"/>
        <v>430042.3</v>
      </c>
      <c r="I228" s="22"/>
      <c r="J228" s="22"/>
      <c r="K228" s="22"/>
      <c r="L228" s="22"/>
      <c r="M228" s="22"/>
      <c r="N228" s="22"/>
      <c r="O228" s="22"/>
      <c r="P228" s="22"/>
      <c r="Q228" s="22"/>
      <c r="R228" s="22"/>
    </row>
    <row r="229" spans="1:18" x14ac:dyDescent="0.25">
      <c r="A229" s="3">
        <v>43</v>
      </c>
      <c r="B229" s="3" t="s">
        <v>328</v>
      </c>
      <c r="C229" s="6" t="s">
        <v>577</v>
      </c>
      <c r="D229" s="6" t="s">
        <v>575</v>
      </c>
      <c r="E229" s="17">
        <f t="shared" si="35"/>
        <v>30043</v>
      </c>
      <c r="F229" s="22" t="str">
        <f t="shared" si="43"/>
        <v>430043.1</v>
      </c>
      <c r="G229" s="22"/>
      <c r="H229" s="22" t="str">
        <f t="shared" si="42"/>
        <v>430043.3</v>
      </c>
      <c r="I229" s="22"/>
      <c r="J229" s="22"/>
      <c r="K229" s="22"/>
      <c r="L229" s="22"/>
      <c r="M229" s="22"/>
      <c r="N229" s="22"/>
      <c r="O229" s="22"/>
      <c r="P229" s="22"/>
      <c r="Q229" s="22"/>
      <c r="R229" s="22"/>
    </row>
    <row r="230" spans="1:18" x14ac:dyDescent="0.25">
      <c r="A230" s="3">
        <v>44</v>
      </c>
      <c r="B230" s="3" t="s">
        <v>328</v>
      </c>
      <c r="C230" s="6" t="s">
        <v>579</v>
      </c>
      <c r="D230" s="6" t="s">
        <v>575</v>
      </c>
      <c r="E230" s="17">
        <f t="shared" si="35"/>
        <v>30044</v>
      </c>
      <c r="F230" s="22" t="str">
        <f t="shared" si="43"/>
        <v>430044.1</v>
      </c>
      <c r="G230" s="22"/>
      <c r="H230" s="22" t="str">
        <f t="shared" si="42"/>
        <v>430044.3</v>
      </c>
      <c r="I230" s="22"/>
      <c r="J230" s="22"/>
      <c r="K230" s="22"/>
      <c r="L230" s="22"/>
      <c r="M230" s="22"/>
      <c r="N230" s="22"/>
      <c r="O230" s="22"/>
      <c r="P230" s="22"/>
      <c r="Q230" s="22"/>
      <c r="R230" s="22"/>
    </row>
    <row r="231" spans="1:18" x14ac:dyDescent="0.25">
      <c r="A231" s="3">
        <v>45</v>
      </c>
      <c r="B231" s="3" t="s">
        <v>328</v>
      </c>
      <c r="C231" s="6" t="s">
        <v>581</v>
      </c>
      <c r="D231" s="6" t="s">
        <v>575</v>
      </c>
      <c r="E231" s="17">
        <f t="shared" si="35"/>
        <v>30045</v>
      </c>
      <c r="F231" s="22" t="str">
        <f t="shared" si="43"/>
        <v>430045.1</v>
      </c>
      <c r="G231" s="22"/>
      <c r="H231" s="22" t="str">
        <f t="shared" si="42"/>
        <v>430045.3</v>
      </c>
      <c r="I231" s="22"/>
      <c r="J231" s="22"/>
      <c r="K231" s="22"/>
      <c r="L231" s="22"/>
      <c r="M231" s="22"/>
      <c r="N231" s="22"/>
      <c r="O231" s="22"/>
      <c r="P231" s="22"/>
      <c r="Q231" s="22"/>
      <c r="R231" s="22"/>
    </row>
    <row r="232" spans="1:18" x14ac:dyDescent="0.25">
      <c r="A232" s="3">
        <v>46</v>
      </c>
      <c r="B232" s="3" t="s">
        <v>328</v>
      </c>
      <c r="C232" s="6" t="s">
        <v>586</v>
      </c>
      <c r="D232" s="6" t="s">
        <v>575</v>
      </c>
      <c r="E232" s="17">
        <f t="shared" si="35"/>
        <v>30046</v>
      </c>
      <c r="F232" s="22" t="str">
        <f t="shared" si="43"/>
        <v>430046.1</v>
      </c>
      <c r="G232" s="22"/>
      <c r="H232" s="22" t="str">
        <f t="shared" si="42"/>
        <v>430046.3</v>
      </c>
      <c r="I232" s="22"/>
      <c r="J232" s="22"/>
      <c r="K232" s="22"/>
      <c r="L232" s="22"/>
      <c r="M232" s="22"/>
      <c r="N232" s="22"/>
      <c r="O232" s="22"/>
      <c r="P232" s="22"/>
      <c r="Q232" s="22"/>
      <c r="R232" s="22"/>
    </row>
    <row r="233" spans="1:18" x14ac:dyDescent="0.25">
      <c r="A233" s="3">
        <v>47</v>
      </c>
      <c r="B233" s="3" t="s">
        <v>328</v>
      </c>
      <c r="C233" s="3" t="s">
        <v>210</v>
      </c>
      <c r="D233" s="3" t="s">
        <v>290</v>
      </c>
      <c r="E233" s="14">
        <f t="shared" si="35"/>
        <v>30047</v>
      </c>
      <c r="F233" s="22" t="str">
        <f t="shared" si="43"/>
        <v>430047.1</v>
      </c>
      <c r="G233" s="22"/>
      <c r="H233" s="22" t="str">
        <f t="shared" si="42"/>
        <v>430047.3</v>
      </c>
      <c r="I233" s="22"/>
      <c r="J233" s="22"/>
      <c r="K233" s="22"/>
      <c r="L233" s="22"/>
      <c r="M233" s="22"/>
      <c r="N233" s="22"/>
      <c r="O233" s="22"/>
      <c r="P233" s="22"/>
      <c r="Q233" s="22"/>
      <c r="R233" s="22"/>
    </row>
    <row r="234" spans="1:18" x14ac:dyDescent="0.25">
      <c r="A234" s="3">
        <v>48</v>
      </c>
      <c r="B234" s="3" t="s">
        <v>328</v>
      </c>
      <c r="C234" s="3" t="s">
        <v>211</v>
      </c>
      <c r="D234" s="3" t="s">
        <v>290</v>
      </c>
      <c r="E234" s="14">
        <f t="shared" si="35"/>
        <v>30048</v>
      </c>
      <c r="F234" s="22" t="str">
        <f t="shared" si="43"/>
        <v>430048.1</v>
      </c>
      <c r="G234" s="22"/>
      <c r="H234" s="22" t="str">
        <f t="shared" si="42"/>
        <v>430048.3</v>
      </c>
      <c r="I234" s="22"/>
      <c r="J234" s="22"/>
      <c r="K234" s="22"/>
      <c r="L234" s="22"/>
      <c r="M234" s="22"/>
      <c r="N234" s="22"/>
      <c r="O234" s="22"/>
      <c r="P234" s="22"/>
      <c r="Q234" s="22"/>
      <c r="R234" s="22"/>
    </row>
    <row r="235" spans="1:18" x14ac:dyDescent="0.25">
      <c r="A235" s="3">
        <v>49</v>
      </c>
      <c r="B235" s="3" t="s">
        <v>328</v>
      </c>
      <c r="C235" s="3" t="s">
        <v>212</v>
      </c>
      <c r="D235" s="3" t="s">
        <v>290</v>
      </c>
      <c r="E235" s="14">
        <f t="shared" si="35"/>
        <v>30049</v>
      </c>
      <c r="F235" s="22" t="str">
        <f t="shared" si="43"/>
        <v>430049.1</v>
      </c>
      <c r="G235" s="22"/>
      <c r="H235" s="22" t="str">
        <f t="shared" si="42"/>
        <v>430049.3</v>
      </c>
      <c r="I235" s="22"/>
      <c r="J235" s="22"/>
      <c r="K235" s="22"/>
      <c r="L235" s="22"/>
      <c r="M235" s="22"/>
      <c r="N235" s="22"/>
      <c r="O235" s="22"/>
      <c r="P235" s="22"/>
      <c r="Q235" s="22"/>
      <c r="R235" s="22"/>
    </row>
    <row r="236" spans="1:18" x14ac:dyDescent="0.25">
      <c r="A236" s="3">
        <v>50</v>
      </c>
      <c r="B236" s="3" t="s">
        <v>328</v>
      </c>
      <c r="C236" s="3" t="s">
        <v>213</v>
      </c>
      <c r="D236" s="3" t="s">
        <v>290</v>
      </c>
      <c r="E236" s="14">
        <f t="shared" si="35"/>
        <v>30050</v>
      </c>
      <c r="F236" s="22" t="str">
        <f t="shared" si="43"/>
        <v>430050.1</v>
      </c>
      <c r="G236" s="22"/>
      <c r="H236" s="22" t="str">
        <f t="shared" si="42"/>
        <v>430050.3</v>
      </c>
      <c r="I236" s="22"/>
      <c r="J236" s="22"/>
      <c r="K236" s="22"/>
      <c r="L236" s="22"/>
      <c r="M236" s="22"/>
      <c r="N236" s="22"/>
      <c r="O236" s="22"/>
      <c r="P236" s="22"/>
      <c r="Q236" s="22"/>
      <c r="R236" s="22"/>
    </row>
    <row r="237" spans="1:18" x14ac:dyDescent="0.25">
      <c r="A237" s="3">
        <v>51</v>
      </c>
      <c r="B237" s="3" t="s">
        <v>328</v>
      </c>
      <c r="C237" s="3" t="s">
        <v>214</v>
      </c>
      <c r="D237" s="3" t="s">
        <v>290</v>
      </c>
      <c r="E237" s="14">
        <f t="shared" si="35"/>
        <v>30051</v>
      </c>
      <c r="F237" s="22" t="str">
        <f t="shared" si="43"/>
        <v>430051.1</v>
      </c>
      <c r="G237" s="22"/>
      <c r="H237" s="22" t="str">
        <f t="shared" si="42"/>
        <v>430051.3</v>
      </c>
      <c r="I237" s="22"/>
      <c r="J237" s="22"/>
      <c r="K237" s="22"/>
      <c r="L237" s="22"/>
      <c r="M237" s="22"/>
      <c r="N237" s="22"/>
      <c r="O237" s="22"/>
      <c r="P237" s="22"/>
      <c r="Q237" s="22"/>
      <c r="R237" s="22"/>
    </row>
    <row r="238" spans="1:18" x14ac:dyDescent="0.25">
      <c r="A238" s="3">
        <v>52</v>
      </c>
      <c r="B238" s="3" t="s">
        <v>328</v>
      </c>
      <c r="C238" s="3" t="s">
        <v>215</v>
      </c>
      <c r="D238" s="3" t="s">
        <v>290</v>
      </c>
      <c r="E238" s="14">
        <f t="shared" si="35"/>
        <v>30052</v>
      </c>
      <c r="F238" s="22" t="str">
        <f t="shared" si="43"/>
        <v>430052.1</v>
      </c>
      <c r="G238" s="22"/>
      <c r="H238" s="22" t="str">
        <f t="shared" si="42"/>
        <v>430052.3</v>
      </c>
      <c r="I238" s="22"/>
      <c r="J238" s="22"/>
      <c r="K238" s="22"/>
      <c r="L238" s="22"/>
      <c r="M238" s="22"/>
      <c r="N238" s="22"/>
      <c r="O238" s="22"/>
      <c r="P238" s="22"/>
      <c r="Q238" s="22"/>
      <c r="R238" s="22"/>
    </row>
    <row r="239" spans="1:18" x14ac:dyDescent="0.25">
      <c r="A239" s="3">
        <v>53</v>
      </c>
      <c r="B239" s="3" t="s">
        <v>328</v>
      </c>
      <c r="C239" s="3" t="s">
        <v>216</v>
      </c>
      <c r="D239" s="3" t="s">
        <v>290</v>
      </c>
      <c r="E239" s="14">
        <f t="shared" si="35"/>
        <v>30053</v>
      </c>
      <c r="F239" s="22" t="str">
        <f t="shared" si="43"/>
        <v>430053.1</v>
      </c>
      <c r="G239" s="22"/>
      <c r="H239" s="22" t="str">
        <f t="shared" si="42"/>
        <v>430053.3</v>
      </c>
      <c r="I239" s="22"/>
      <c r="J239" s="22"/>
      <c r="K239" s="22"/>
      <c r="L239" s="22"/>
      <c r="M239" s="22"/>
      <c r="N239" s="22"/>
      <c r="O239" s="22"/>
      <c r="P239" s="22"/>
      <c r="Q239" s="22"/>
      <c r="R239" s="22"/>
    </row>
    <row r="240" spans="1:18" x14ac:dyDescent="0.25">
      <c r="A240" s="3">
        <v>54</v>
      </c>
      <c r="B240" s="3" t="s">
        <v>328</v>
      </c>
      <c r="C240" s="3" t="s">
        <v>441</v>
      </c>
      <c r="D240" s="3" t="s">
        <v>442</v>
      </c>
      <c r="E240" s="14">
        <f t="shared" si="35"/>
        <v>30054</v>
      </c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2" t="str">
        <f>"4"&amp;$E240&amp;".1"</f>
        <v>430054.1</v>
      </c>
    </row>
  </sheetData>
  <autoFilter ref="A7:R240" xr:uid="{5F757495-DBE8-4716-A180-77350591F858}"/>
  <mergeCells count="19">
    <mergeCell ref="F4:Q4"/>
    <mergeCell ref="M5:M6"/>
    <mergeCell ref="N5:N6"/>
    <mergeCell ref="P5:P6"/>
    <mergeCell ref="Q5:Q6"/>
    <mergeCell ref="O5:O6"/>
    <mergeCell ref="A4:A7"/>
    <mergeCell ref="B4:B7"/>
    <mergeCell ref="C4:C7"/>
    <mergeCell ref="D4:D7"/>
    <mergeCell ref="E4:E7"/>
    <mergeCell ref="R5:R6"/>
    <mergeCell ref="F5:F6"/>
    <mergeCell ref="H5:H6"/>
    <mergeCell ref="I5:I6"/>
    <mergeCell ref="J5:J6"/>
    <mergeCell ref="K5:K6"/>
    <mergeCell ref="L5:L6"/>
    <mergeCell ref="G5:G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7495-DBE8-4716-A180-77350591F858}">
  <sheetPr filterMode="1">
    <pageSetUpPr fitToPage="1"/>
  </sheetPr>
  <dimension ref="A1:BQ257"/>
  <sheetViews>
    <sheetView zoomScaleNormal="100" workbookViewId="0">
      <pane xSplit="3" ySplit="7" topLeftCell="D65" activePane="bottomRight" state="frozen"/>
      <selection pane="topRight" activeCell="D1" sqref="D1"/>
      <selection pane="bottomLeft" activeCell="A8" sqref="A8"/>
      <selection pane="bottomRight" activeCell="E270" sqref="E270"/>
    </sheetView>
  </sheetViews>
  <sheetFormatPr defaultColWidth="9.140625" defaultRowHeight="13.5" x14ac:dyDescent="0.25"/>
  <cols>
    <col min="1" max="1" width="7.42578125" customWidth="1"/>
    <col min="2" max="2" width="8.7109375" style="1"/>
    <col min="3" max="3" width="19.85546875" style="1" customWidth="1"/>
    <col min="4" max="4" width="16.7109375" style="1" customWidth="1"/>
    <col min="18" max="18" width="9.5703125" bestFit="1" customWidth="1"/>
    <col min="22" max="22" width="10.42578125" bestFit="1" customWidth="1"/>
    <col min="24" max="24" width="10.42578125" bestFit="1" customWidth="1"/>
    <col min="25" max="26" width="8.5703125" bestFit="1" customWidth="1"/>
    <col min="27" max="62" width="8.7109375" customWidth="1"/>
    <col min="63" max="68" width="10.7109375" bestFit="1" customWidth="1"/>
  </cols>
  <sheetData>
    <row r="1" spans="1:69" ht="20.25" x14ac:dyDescent="0.25">
      <c r="A1" s="7" t="s">
        <v>449</v>
      </c>
    </row>
    <row r="2" spans="1:69" x14ac:dyDescent="0.25">
      <c r="D2" s="1" t="s">
        <v>536</v>
      </c>
      <c r="E2">
        <v>200</v>
      </c>
    </row>
    <row r="3" spans="1:69" x14ac:dyDescent="0.25">
      <c r="A3" t="s">
        <v>334</v>
      </c>
    </row>
    <row r="4" spans="1:69" ht="17.100000000000001" customHeight="1" x14ac:dyDescent="0.25">
      <c r="A4" s="35" t="s">
        <v>21</v>
      </c>
      <c r="B4" s="35" t="s">
        <v>217</v>
      </c>
      <c r="C4" s="34" t="s">
        <v>0</v>
      </c>
      <c r="D4" s="34" t="s">
        <v>265</v>
      </c>
      <c r="E4" s="36" t="s">
        <v>331</v>
      </c>
      <c r="F4" s="42" t="s">
        <v>376</v>
      </c>
      <c r="G4" s="42"/>
      <c r="H4" s="42"/>
      <c r="I4" s="42"/>
      <c r="J4" s="42"/>
      <c r="K4" s="42"/>
      <c r="L4" s="42"/>
      <c r="M4" s="42"/>
      <c r="N4" s="37" t="s">
        <v>378</v>
      </c>
      <c r="O4" s="38"/>
      <c r="P4" s="38"/>
      <c r="Q4" s="38"/>
      <c r="R4" s="39"/>
      <c r="S4" s="34" t="s">
        <v>8</v>
      </c>
      <c r="T4" s="34" t="s">
        <v>9</v>
      </c>
      <c r="U4" s="34" t="s">
        <v>10</v>
      </c>
      <c r="V4" s="34" t="s">
        <v>11</v>
      </c>
      <c r="W4" s="34" t="s">
        <v>12</v>
      </c>
      <c r="X4" s="34" t="s">
        <v>13</v>
      </c>
      <c r="Y4" s="34" t="s">
        <v>14</v>
      </c>
      <c r="Z4" s="34" t="s">
        <v>544</v>
      </c>
      <c r="AA4" s="37" t="s">
        <v>479</v>
      </c>
      <c r="AB4" s="38"/>
      <c r="AC4" s="38"/>
      <c r="AD4" s="38"/>
      <c r="AE4" s="38"/>
      <c r="AF4" s="39"/>
      <c r="AG4" s="37" t="s">
        <v>480</v>
      </c>
      <c r="AH4" s="38"/>
      <c r="AI4" s="38"/>
      <c r="AJ4" s="38"/>
      <c r="AK4" s="38"/>
      <c r="AL4" s="39"/>
      <c r="AM4" s="37" t="s">
        <v>481</v>
      </c>
      <c r="AN4" s="38"/>
      <c r="AO4" s="38"/>
      <c r="AP4" s="38"/>
      <c r="AQ4" s="38"/>
      <c r="AR4" s="39"/>
      <c r="AS4" s="37" t="s">
        <v>432</v>
      </c>
      <c r="AT4" s="38"/>
      <c r="AU4" s="38"/>
      <c r="AV4" s="38"/>
      <c r="AW4" s="38"/>
      <c r="AX4" s="39"/>
      <c r="AY4" s="37" t="s">
        <v>433</v>
      </c>
      <c r="AZ4" s="38"/>
      <c r="BA4" s="38"/>
      <c r="BB4" s="38"/>
      <c r="BC4" s="38"/>
      <c r="BD4" s="39"/>
      <c r="BE4" s="37" t="s">
        <v>434</v>
      </c>
      <c r="BF4" s="38"/>
      <c r="BG4" s="38"/>
      <c r="BH4" s="38"/>
      <c r="BI4" s="38"/>
      <c r="BJ4" s="39"/>
      <c r="BK4" s="37" t="s">
        <v>335</v>
      </c>
      <c r="BL4" s="38"/>
      <c r="BM4" s="39"/>
      <c r="BN4" s="37" t="s">
        <v>336</v>
      </c>
      <c r="BO4" s="38"/>
      <c r="BP4" s="39"/>
      <c r="BQ4" s="40" t="s">
        <v>362</v>
      </c>
    </row>
    <row r="5" spans="1:69" ht="16.5" x14ac:dyDescent="0.25">
      <c r="A5" s="35"/>
      <c r="B5" s="35"/>
      <c r="C5" s="34"/>
      <c r="D5" s="34"/>
      <c r="E5" s="36"/>
      <c r="F5" s="5" t="s">
        <v>2</v>
      </c>
      <c r="G5" s="4" t="s">
        <v>3</v>
      </c>
      <c r="H5" s="4" t="s">
        <v>4</v>
      </c>
      <c r="I5" s="4" t="s">
        <v>443</v>
      </c>
      <c r="J5" s="4" t="s">
        <v>365</v>
      </c>
      <c r="K5" s="4" t="s">
        <v>367</v>
      </c>
      <c r="L5" s="4" t="s">
        <v>369</v>
      </c>
      <c r="M5" s="4" t="s">
        <v>445</v>
      </c>
      <c r="N5" s="4" t="s">
        <v>5</v>
      </c>
      <c r="O5" s="4" t="s">
        <v>6</v>
      </c>
      <c r="P5" s="4" t="s">
        <v>7</v>
      </c>
      <c r="Q5" s="4" t="s">
        <v>446</v>
      </c>
      <c r="R5" s="4" t="s">
        <v>333</v>
      </c>
      <c r="S5" s="34"/>
      <c r="T5" s="34"/>
      <c r="U5" s="34"/>
      <c r="V5" s="34"/>
      <c r="W5" s="34"/>
      <c r="X5" s="34"/>
      <c r="Y5" s="34"/>
      <c r="Z5" s="34"/>
      <c r="AA5" s="4" t="s">
        <v>482</v>
      </c>
      <c r="AB5" s="4" t="s">
        <v>483</v>
      </c>
      <c r="AC5" s="4" t="s">
        <v>484</v>
      </c>
      <c r="AD5" s="4" t="s">
        <v>485</v>
      </c>
      <c r="AE5" s="4" t="s">
        <v>486</v>
      </c>
      <c r="AF5" s="4" t="s">
        <v>487</v>
      </c>
      <c r="AG5" s="4" t="s">
        <v>488</v>
      </c>
      <c r="AH5" s="4" t="s">
        <v>489</v>
      </c>
      <c r="AI5" s="4" t="s">
        <v>490</v>
      </c>
      <c r="AJ5" s="4" t="s">
        <v>491</v>
      </c>
      <c r="AK5" s="4" t="s">
        <v>492</v>
      </c>
      <c r="AL5" s="4" t="s">
        <v>493</v>
      </c>
      <c r="AM5" s="4" t="s">
        <v>494</v>
      </c>
      <c r="AN5" s="4" t="s">
        <v>495</v>
      </c>
      <c r="AO5" s="4" t="s">
        <v>496</v>
      </c>
      <c r="AP5" s="4" t="s">
        <v>497</v>
      </c>
      <c r="AQ5" s="4" t="s">
        <v>498</v>
      </c>
      <c r="AR5" s="4" t="s">
        <v>499</v>
      </c>
      <c r="AS5" s="4" t="s">
        <v>380</v>
      </c>
      <c r="AT5" s="4" t="s">
        <v>381</v>
      </c>
      <c r="AU5" s="4" t="s">
        <v>382</v>
      </c>
      <c r="AV5" s="4" t="s">
        <v>383</v>
      </c>
      <c r="AW5" s="4" t="s">
        <v>459</v>
      </c>
      <c r="AX5" s="4" t="s">
        <v>460</v>
      </c>
      <c r="AY5" s="4" t="s">
        <v>386</v>
      </c>
      <c r="AZ5" s="4" t="s">
        <v>387</v>
      </c>
      <c r="BA5" s="4" t="s">
        <v>388</v>
      </c>
      <c r="BB5" s="4" t="s">
        <v>389</v>
      </c>
      <c r="BC5" s="4" t="s">
        <v>461</v>
      </c>
      <c r="BD5" s="4" t="s">
        <v>462</v>
      </c>
      <c r="BE5" s="4" t="s">
        <v>390</v>
      </c>
      <c r="BF5" s="4" t="s">
        <v>391</v>
      </c>
      <c r="BG5" s="4" t="s">
        <v>392</v>
      </c>
      <c r="BH5" s="4" t="s">
        <v>393</v>
      </c>
      <c r="BI5" s="4" t="s">
        <v>463</v>
      </c>
      <c r="BJ5" s="4" t="s">
        <v>464</v>
      </c>
      <c r="BK5" s="4" t="s">
        <v>338</v>
      </c>
      <c r="BL5" s="4" t="s">
        <v>342</v>
      </c>
      <c r="BM5" s="4" t="s">
        <v>340</v>
      </c>
      <c r="BN5" s="4" t="s">
        <v>344</v>
      </c>
      <c r="BO5" s="4" t="s">
        <v>346</v>
      </c>
      <c r="BP5" s="4" t="s">
        <v>348</v>
      </c>
      <c r="BQ5" s="41"/>
    </row>
    <row r="6" spans="1:69" ht="16.5" x14ac:dyDescent="0.25">
      <c r="A6" s="35"/>
      <c r="B6" s="35"/>
      <c r="C6" s="34"/>
      <c r="D6" s="34"/>
      <c r="E6" s="36"/>
      <c r="F6" s="5">
        <v>2</v>
      </c>
      <c r="G6" s="4">
        <v>2</v>
      </c>
      <c r="H6" s="4">
        <v>2</v>
      </c>
      <c r="I6" s="4">
        <v>2</v>
      </c>
      <c r="J6" s="4">
        <v>2</v>
      </c>
      <c r="K6" s="4">
        <v>2</v>
      </c>
      <c r="L6" s="4">
        <v>2</v>
      </c>
      <c r="M6" s="4">
        <v>2</v>
      </c>
      <c r="N6" s="4">
        <v>2</v>
      </c>
      <c r="O6" s="4">
        <v>2</v>
      </c>
      <c r="P6" s="4">
        <v>2</v>
      </c>
      <c r="Q6" s="4">
        <v>2</v>
      </c>
      <c r="R6" s="4">
        <v>2</v>
      </c>
      <c r="S6" s="4">
        <v>2</v>
      </c>
      <c r="T6" s="4">
        <v>2</v>
      </c>
      <c r="U6" s="4">
        <v>2</v>
      </c>
      <c r="V6" s="4">
        <v>2</v>
      </c>
      <c r="W6" s="4">
        <v>2</v>
      </c>
      <c r="X6" s="4">
        <v>2</v>
      </c>
      <c r="Y6" s="4">
        <v>2</v>
      </c>
      <c r="Z6" s="4">
        <v>2</v>
      </c>
      <c r="AA6" s="4">
        <v>2</v>
      </c>
      <c r="AB6" s="4">
        <v>2</v>
      </c>
      <c r="AC6" s="4">
        <v>2</v>
      </c>
      <c r="AD6" s="4">
        <v>2</v>
      </c>
      <c r="AE6" s="4">
        <v>2</v>
      </c>
      <c r="AF6" s="4">
        <v>2</v>
      </c>
      <c r="AG6" s="4">
        <v>2</v>
      </c>
      <c r="AH6" s="4">
        <v>2</v>
      </c>
      <c r="AI6" s="4">
        <v>2</v>
      </c>
      <c r="AJ6" s="4">
        <v>2</v>
      </c>
      <c r="AK6" s="4">
        <v>2</v>
      </c>
      <c r="AL6" s="4">
        <v>2</v>
      </c>
      <c r="AM6" s="4">
        <v>2</v>
      </c>
      <c r="AN6" s="4">
        <v>2</v>
      </c>
      <c r="AO6" s="4">
        <v>2</v>
      </c>
      <c r="AP6" s="4">
        <v>2</v>
      </c>
      <c r="AQ6" s="4">
        <v>2</v>
      </c>
      <c r="AR6" s="4">
        <v>2</v>
      </c>
      <c r="AS6" s="4">
        <v>2</v>
      </c>
      <c r="AT6" s="4">
        <v>2</v>
      </c>
      <c r="AU6" s="4">
        <v>2</v>
      </c>
      <c r="AV6" s="4">
        <v>2</v>
      </c>
      <c r="AW6" s="4">
        <v>2</v>
      </c>
      <c r="AX6" s="4">
        <v>2</v>
      </c>
      <c r="AY6" s="4">
        <v>2</v>
      </c>
      <c r="AZ6" s="4">
        <v>2</v>
      </c>
      <c r="BA6" s="4">
        <v>2</v>
      </c>
      <c r="BB6" s="4">
        <v>2</v>
      </c>
      <c r="BC6" s="4">
        <v>2</v>
      </c>
      <c r="BD6" s="4">
        <v>2</v>
      </c>
      <c r="BE6" s="4">
        <v>2</v>
      </c>
      <c r="BF6" s="4">
        <v>2</v>
      </c>
      <c r="BG6" s="4">
        <v>2</v>
      </c>
      <c r="BH6" s="4">
        <v>2</v>
      </c>
      <c r="BI6" s="4">
        <v>2</v>
      </c>
      <c r="BJ6" s="4">
        <v>2</v>
      </c>
      <c r="BK6" s="4">
        <v>2</v>
      </c>
      <c r="BL6" s="4">
        <v>2</v>
      </c>
      <c r="BM6" s="4">
        <v>2</v>
      </c>
      <c r="BN6" s="4">
        <v>2</v>
      </c>
      <c r="BO6" s="4">
        <v>2</v>
      </c>
      <c r="BP6" s="4">
        <v>2</v>
      </c>
      <c r="BQ6" s="3">
        <f>SUM(F6:BP6)</f>
        <v>126</v>
      </c>
    </row>
    <row r="7" spans="1:69" ht="16.5" x14ac:dyDescent="0.25">
      <c r="A7" s="35"/>
      <c r="B7" s="35"/>
      <c r="C7" s="34"/>
      <c r="D7" s="34"/>
      <c r="E7" s="36"/>
      <c r="F7" s="5" t="s">
        <v>29</v>
      </c>
      <c r="G7" s="5" t="s">
        <v>30</v>
      </c>
      <c r="H7" s="5" t="s">
        <v>31</v>
      </c>
      <c r="I7" s="5" t="s">
        <v>444</v>
      </c>
      <c r="J7" s="5" t="s">
        <v>371</v>
      </c>
      <c r="K7" s="5" t="s">
        <v>373</v>
      </c>
      <c r="L7" s="5" t="s">
        <v>375</v>
      </c>
      <c r="M7" s="5" t="s">
        <v>40</v>
      </c>
      <c r="N7" s="4" t="s">
        <v>32</v>
      </c>
      <c r="O7" s="4" t="s">
        <v>33</v>
      </c>
      <c r="P7" s="4" t="s">
        <v>34</v>
      </c>
      <c r="Q7" s="4" t="s">
        <v>447</v>
      </c>
      <c r="R7" s="4" t="s">
        <v>35</v>
      </c>
      <c r="S7" s="4" t="s">
        <v>36</v>
      </c>
      <c r="T7" s="4" t="s">
        <v>37</v>
      </c>
      <c r="U7" s="4" t="s">
        <v>38</v>
      </c>
      <c r="V7" s="4" t="s">
        <v>39</v>
      </c>
      <c r="W7" s="4" t="s">
        <v>40</v>
      </c>
      <c r="X7" s="4" t="s">
        <v>41</v>
      </c>
      <c r="Y7" s="4" t="s">
        <v>42</v>
      </c>
      <c r="Z7" s="4" t="s">
        <v>545</v>
      </c>
      <c r="AA7" s="4" t="s">
        <v>500</v>
      </c>
      <c r="AB7" s="4" t="s">
        <v>501</v>
      </c>
      <c r="AC7" s="4" t="s">
        <v>502</v>
      </c>
      <c r="AD7" s="4" t="s">
        <v>503</v>
      </c>
      <c r="AE7" s="4" t="s">
        <v>504</v>
      </c>
      <c r="AF7" s="4" t="s">
        <v>505</v>
      </c>
      <c r="AG7" s="4" t="s">
        <v>506</v>
      </c>
      <c r="AH7" s="4" t="s">
        <v>507</v>
      </c>
      <c r="AI7" s="4" t="s">
        <v>508</v>
      </c>
      <c r="AJ7" s="4" t="s">
        <v>509</v>
      </c>
      <c r="AK7" s="4" t="s">
        <v>511</v>
      </c>
      <c r="AL7" s="4" t="s">
        <v>510</v>
      </c>
      <c r="AM7" s="4" t="s">
        <v>512</v>
      </c>
      <c r="AN7" s="4" t="s">
        <v>513</v>
      </c>
      <c r="AO7" s="4" t="s">
        <v>514</v>
      </c>
      <c r="AP7" s="4" t="s">
        <v>515</v>
      </c>
      <c r="AQ7" s="4" t="s">
        <v>516</v>
      </c>
      <c r="AR7" s="4" t="s">
        <v>517</v>
      </c>
      <c r="AS7" s="4" t="s">
        <v>518</v>
      </c>
      <c r="AT7" s="4" t="s">
        <v>519</v>
      </c>
      <c r="AU7" s="4" t="s">
        <v>520</v>
      </c>
      <c r="AV7" s="4" t="s">
        <v>521</v>
      </c>
      <c r="AW7" s="4" t="s">
        <v>522</v>
      </c>
      <c r="AX7" s="4" t="s">
        <v>523</v>
      </c>
      <c r="AY7" s="4" t="s">
        <v>524</v>
      </c>
      <c r="AZ7" s="4" t="s">
        <v>525</v>
      </c>
      <c r="BA7" s="4" t="s">
        <v>526</v>
      </c>
      <c r="BB7" s="4" t="s">
        <v>527</v>
      </c>
      <c r="BC7" s="4" t="s">
        <v>529</v>
      </c>
      <c r="BD7" s="4" t="s">
        <v>528</v>
      </c>
      <c r="BE7" s="4" t="s">
        <v>530</v>
      </c>
      <c r="BF7" s="4" t="s">
        <v>531</v>
      </c>
      <c r="BG7" s="4" t="s">
        <v>532</v>
      </c>
      <c r="BH7" s="4" t="s">
        <v>533</v>
      </c>
      <c r="BI7" s="4" t="s">
        <v>534</v>
      </c>
      <c r="BJ7" s="4" t="s">
        <v>535</v>
      </c>
      <c r="BK7" s="4" t="s">
        <v>356</v>
      </c>
      <c r="BL7" s="4" t="s">
        <v>358</v>
      </c>
      <c r="BM7" s="4" t="s">
        <v>360</v>
      </c>
      <c r="BN7" s="4" t="s">
        <v>354</v>
      </c>
      <c r="BO7" s="4" t="s">
        <v>352</v>
      </c>
      <c r="BP7" s="4" t="s">
        <v>350</v>
      </c>
    </row>
    <row r="8" spans="1:69" hidden="1" x14ac:dyDescent="0.25">
      <c r="A8" s="13">
        <v>1</v>
      </c>
      <c r="B8" s="13" t="s">
        <v>326</v>
      </c>
      <c r="C8" s="13" t="s">
        <v>52</v>
      </c>
      <c r="D8" s="13" t="s">
        <v>279</v>
      </c>
      <c r="E8" s="18">
        <v>0</v>
      </c>
      <c r="F8" s="19">
        <f>E8+1</f>
        <v>1</v>
      </c>
      <c r="G8" s="19">
        <f t="shared" ref="G8:X8" si="0">F8+F$6</f>
        <v>3</v>
      </c>
      <c r="H8" s="19">
        <f t="shared" ref="H8:J9" si="1">G8+G$6</f>
        <v>5</v>
      </c>
      <c r="I8" s="19">
        <f>H8+H$6</f>
        <v>7</v>
      </c>
      <c r="J8" s="19">
        <f t="shared" si="1"/>
        <v>9</v>
      </c>
      <c r="K8" s="19">
        <f t="shared" ref="K8:K9" si="2">J8+J$6</f>
        <v>11</v>
      </c>
      <c r="L8" s="19">
        <f t="shared" ref="L8:L9" si="3">K8+K$6</f>
        <v>13</v>
      </c>
      <c r="M8" s="19">
        <f t="shared" ref="M8:M9" si="4">L8+L$6</f>
        <v>15</v>
      </c>
      <c r="N8" s="19">
        <f t="shared" si="0"/>
        <v>17</v>
      </c>
      <c r="O8" s="19">
        <f t="shared" si="0"/>
        <v>19</v>
      </c>
      <c r="P8" s="19">
        <f t="shared" si="0"/>
        <v>21</v>
      </c>
      <c r="Q8" s="19">
        <f t="shared" si="0"/>
        <v>23</v>
      </c>
      <c r="R8" s="19">
        <f t="shared" si="0"/>
        <v>25</v>
      </c>
      <c r="S8" s="19">
        <f t="shared" si="0"/>
        <v>27</v>
      </c>
      <c r="T8" s="19">
        <f t="shared" si="0"/>
        <v>29</v>
      </c>
      <c r="U8" s="19">
        <f t="shared" si="0"/>
        <v>31</v>
      </c>
      <c r="V8" s="19">
        <f t="shared" si="0"/>
        <v>33</v>
      </c>
      <c r="W8" s="19">
        <f t="shared" si="0"/>
        <v>35</v>
      </c>
      <c r="X8" s="19">
        <f t="shared" si="0"/>
        <v>37</v>
      </c>
      <c r="Y8" s="19">
        <f>X8+X$6</f>
        <v>39</v>
      </c>
      <c r="Z8" s="19"/>
      <c r="AA8" s="19">
        <f>Y8+$Z$6+$Y$6</f>
        <v>43</v>
      </c>
      <c r="AB8" s="19">
        <f t="shared" ref="AB8:AB9" si="5">AA8+AA$6</f>
        <v>45</v>
      </c>
      <c r="AC8" s="19">
        <f>AB8+AB$6</f>
        <v>47</v>
      </c>
      <c r="AD8" s="19">
        <f t="shared" ref="AD8:AD9" si="6">AC8+AC$6</f>
        <v>49</v>
      </c>
      <c r="AE8" s="19">
        <f>AD8+AD$6</f>
        <v>51</v>
      </c>
      <c r="AF8" s="19">
        <f t="shared" ref="AF8:AF9" si="7">AE8+AE$6</f>
        <v>53</v>
      </c>
      <c r="AG8" s="19">
        <f t="shared" ref="AG8:AG9" si="8">AF8+AF$6</f>
        <v>55</v>
      </c>
      <c r="AH8" s="19">
        <f t="shared" ref="AH8:AH9" si="9">AG8+AG$6</f>
        <v>57</v>
      </c>
      <c r="AI8" s="19">
        <f t="shared" ref="AI8:AI9" si="10">AH8+AH$6</f>
        <v>59</v>
      </c>
      <c r="AJ8" s="19">
        <f t="shared" ref="AJ8:AJ9" si="11">AI8+AI$6</f>
        <v>61</v>
      </c>
      <c r="AK8" s="19">
        <f t="shared" ref="AK8:AK9" si="12">AJ8+AJ$6</f>
        <v>63</v>
      </c>
      <c r="AL8" s="19">
        <f t="shared" ref="AL8:AL9" si="13">AK8+AK$6</f>
        <v>65</v>
      </c>
      <c r="AM8" s="19">
        <f t="shared" ref="AM8:AM9" si="14">AL8+AL$6</f>
        <v>67</v>
      </c>
      <c r="AN8" s="19">
        <f t="shared" ref="AN8:AN9" si="15">AM8+AM$6</f>
        <v>69</v>
      </c>
      <c r="AO8" s="19">
        <f t="shared" ref="AO8:AO9" si="16">AN8+AN$6</f>
        <v>71</v>
      </c>
      <c r="AP8" s="19">
        <f t="shared" ref="AP8:AP9" si="17">AO8+AO$6</f>
        <v>73</v>
      </c>
      <c r="AQ8" s="19">
        <f t="shared" ref="AQ8:AQ9" si="18">AP8+AP$6</f>
        <v>75</v>
      </c>
      <c r="AR8" s="19">
        <f t="shared" ref="AR8:AR9" si="19">AQ8+AQ$6</f>
        <v>77</v>
      </c>
      <c r="AS8" s="19">
        <f>AR8+AR$6</f>
        <v>79</v>
      </c>
      <c r="AT8" s="19">
        <f t="shared" ref="AT8:BJ8" si="20">AS8+AS$6</f>
        <v>81</v>
      </c>
      <c r="AU8" s="19">
        <f>AT8+AT$6</f>
        <v>83</v>
      </c>
      <c r="AV8" s="19">
        <f t="shared" ref="AV8" si="21">AU8+AU$6</f>
        <v>85</v>
      </c>
      <c r="AW8" s="19">
        <f>AV8+AV$6</f>
        <v>87</v>
      </c>
      <c r="AX8" s="19">
        <f t="shared" si="20"/>
        <v>89</v>
      </c>
      <c r="AY8" s="19">
        <f t="shared" si="20"/>
        <v>91</v>
      </c>
      <c r="AZ8" s="19">
        <f t="shared" si="20"/>
        <v>93</v>
      </c>
      <c r="BA8" s="19">
        <f t="shared" ref="BA8" si="22">AZ8+AZ$6</f>
        <v>95</v>
      </c>
      <c r="BB8" s="19">
        <f t="shared" ref="BB8" si="23">BA8+BA$6</f>
        <v>97</v>
      </c>
      <c r="BC8" s="19">
        <f t="shared" si="20"/>
        <v>99</v>
      </c>
      <c r="BD8" s="19">
        <f t="shared" si="20"/>
        <v>101</v>
      </c>
      <c r="BE8" s="19">
        <f t="shared" si="20"/>
        <v>103</v>
      </c>
      <c r="BF8" s="19">
        <f t="shared" si="20"/>
        <v>105</v>
      </c>
      <c r="BG8" s="19">
        <f t="shared" ref="BG8" si="24">BF8+BF$6</f>
        <v>107</v>
      </c>
      <c r="BH8" s="19">
        <f t="shared" ref="BH8" si="25">BG8+BG$6</f>
        <v>109</v>
      </c>
      <c r="BI8" s="19">
        <f t="shared" ref="BI8" si="26">BH8+BH$6</f>
        <v>111</v>
      </c>
      <c r="BJ8" s="19">
        <f t="shared" si="20"/>
        <v>113</v>
      </c>
      <c r="BK8" s="19">
        <f>BJ8+BJ$6</f>
        <v>115</v>
      </c>
      <c r="BL8" s="19">
        <f>BK8+BK$6</f>
        <v>117</v>
      </c>
      <c r="BM8" s="19">
        <f t="shared" ref="BM8:BP8" si="27">BL8+BL$6</f>
        <v>119</v>
      </c>
      <c r="BN8" s="19">
        <f t="shared" si="27"/>
        <v>121</v>
      </c>
      <c r="BO8" s="19">
        <f t="shared" si="27"/>
        <v>123</v>
      </c>
      <c r="BP8" s="19">
        <f t="shared" si="27"/>
        <v>125</v>
      </c>
    </row>
    <row r="9" spans="1:69" hidden="1" x14ac:dyDescent="0.25">
      <c r="A9" s="3">
        <v>2</v>
      </c>
      <c r="B9" s="3" t="s">
        <v>326</v>
      </c>
      <c r="C9" s="3" t="s">
        <v>53</v>
      </c>
      <c r="D9" s="3" t="s">
        <v>279</v>
      </c>
      <c r="E9" s="14">
        <v>200</v>
      </c>
      <c r="F9" s="14">
        <f>E9+1</f>
        <v>201</v>
      </c>
      <c r="G9" s="14">
        <f t="shared" ref="G9:Y24" si="28">F9+F$6</f>
        <v>203</v>
      </c>
      <c r="H9" s="14">
        <f t="shared" si="1"/>
        <v>205</v>
      </c>
      <c r="I9" s="14">
        <f>H9+H$6</f>
        <v>207</v>
      </c>
      <c r="J9" s="14">
        <f>I9+I$6</f>
        <v>209</v>
      </c>
      <c r="K9" s="14">
        <f t="shared" si="2"/>
        <v>211</v>
      </c>
      <c r="L9" s="14">
        <f t="shared" si="3"/>
        <v>213</v>
      </c>
      <c r="M9" s="14">
        <f t="shared" si="4"/>
        <v>215</v>
      </c>
      <c r="N9" s="14">
        <f t="shared" si="28"/>
        <v>217</v>
      </c>
      <c r="O9" s="14">
        <f t="shared" si="28"/>
        <v>219</v>
      </c>
      <c r="P9" s="14">
        <f t="shared" si="28"/>
        <v>221</v>
      </c>
      <c r="Q9" s="14">
        <f>P9+P$6</f>
        <v>223</v>
      </c>
      <c r="R9" s="14">
        <f>Q9+Q$6</f>
        <v>225</v>
      </c>
      <c r="S9" s="14">
        <f t="shared" si="28"/>
        <v>227</v>
      </c>
      <c r="T9" s="14">
        <f t="shared" si="28"/>
        <v>229</v>
      </c>
      <c r="U9" s="14">
        <f t="shared" si="28"/>
        <v>231</v>
      </c>
      <c r="V9" s="14">
        <f t="shared" si="28"/>
        <v>233</v>
      </c>
      <c r="W9" s="14">
        <f t="shared" si="28"/>
        <v>235</v>
      </c>
      <c r="X9" s="14">
        <f t="shared" si="28"/>
        <v>237</v>
      </c>
      <c r="Y9" s="14">
        <f t="shared" si="28"/>
        <v>239</v>
      </c>
      <c r="Z9" s="14"/>
      <c r="AA9" s="14">
        <f>Y9+$Z$6+$Y$6</f>
        <v>243</v>
      </c>
      <c r="AB9" s="14">
        <f t="shared" si="5"/>
        <v>245</v>
      </c>
      <c r="AC9" s="14">
        <f>AB9+AB$6</f>
        <v>247</v>
      </c>
      <c r="AD9" s="14">
        <f t="shared" si="6"/>
        <v>249</v>
      </c>
      <c r="AE9" s="14">
        <f>AD9+AD$6</f>
        <v>251</v>
      </c>
      <c r="AF9" s="14">
        <f t="shared" si="7"/>
        <v>253</v>
      </c>
      <c r="AG9" s="14">
        <f t="shared" si="8"/>
        <v>255</v>
      </c>
      <c r="AH9" s="14">
        <f t="shared" si="9"/>
        <v>257</v>
      </c>
      <c r="AI9" s="14">
        <f t="shared" si="10"/>
        <v>259</v>
      </c>
      <c r="AJ9" s="14">
        <f t="shared" si="11"/>
        <v>261</v>
      </c>
      <c r="AK9" s="14">
        <f t="shared" si="12"/>
        <v>263</v>
      </c>
      <c r="AL9" s="14">
        <f t="shared" si="13"/>
        <v>265</v>
      </c>
      <c r="AM9" s="14">
        <f t="shared" si="14"/>
        <v>267</v>
      </c>
      <c r="AN9" s="14">
        <f t="shared" si="15"/>
        <v>269</v>
      </c>
      <c r="AO9" s="14">
        <f t="shared" si="16"/>
        <v>271</v>
      </c>
      <c r="AP9" s="14">
        <f t="shared" si="17"/>
        <v>273</v>
      </c>
      <c r="AQ9" s="14">
        <f t="shared" si="18"/>
        <v>275</v>
      </c>
      <c r="AR9" s="14">
        <f t="shared" si="19"/>
        <v>277</v>
      </c>
      <c r="AS9" s="14">
        <f>AR9+AR$6</f>
        <v>279</v>
      </c>
      <c r="AT9" s="14">
        <f t="shared" ref="AT9" si="29">AS9+AS$6</f>
        <v>281</v>
      </c>
      <c r="AU9" s="14">
        <f>AT9+AT$6</f>
        <v>283</v>
      </c>
      <c r="AV9" s="14">
        <f t="shared" ref="AV9" si="30">AU9+AU$6</f>
        <v>285</v>
      </c>
      <c r="AW9" s="14">
        <f>AV9+AV$6</f>
        <v>287</v>
      </c>
      <c r="AX9" s="14">
        <f t="shared" ref="AX9" si="31">AW9+AW$6</f>
        <v>289</v>
      </c>
      <c r="AY9" s="14">
        <f t="shared" ref="AY9" si="32">AX9+AX$6</f>
        <v>291</v>
      </c>
      <c r="AZ9" s="14">
        <f t="shared" ref="AZ9" si="33">AY9+AY$6</f>
        <v>293</v>
      </c>
      <c r="BA9" s="14">
        <f t="shared" ref="BA9" si="34">AZ9+AZ$6</f>
        <v>295</v>
      </c>
      <c r="BB9" s="14">
        <f t="shared" ref="BB9" si="35">BA9+BA$6</f>
        <v>297</v>
      </c>
      <c r="BC9" s="14">
        <f t="shared" ref="BC9" si="36">BB9+BB$6</f>
        <v>299</v>
      </c>
      <c r="BD9" s="14">
        <f t="shared" ref="BD9" si="37">BC9+BC$6</f>
        <v>301</v>
      </c>
      <c r="BE9" s="14">
        <f t="shared" ref="BE9" si="38">BD9+BD$6</f>
        <v>303</v>
      </c>
      <c r="BF9" s="14">
        <f t="shared" ref="BF9" si="39">BE9+BE$6</f>
        <v>305</v>
      </c>
      <c r="BG9" s="14">
        <f t="shared" ref="BG9" si="40">BF9+BF$6</f>
        <v>307</v>
      </c>
      <c r="BH9" s="14">
        <f t="shared" ref="BH9" si="41">BG9+BG$6</f>
        <v>309</v>
      </c>
      <c r="BI9" s="14">
        <f t="shared" ref="BI9" si="42">BH9+BH$6</f>
        <v>311</v>
      </c>
      <c r="BJ9" s="14">
        <f t="shared" ref="BJ9" si="43">BI9+BI$6</f>
        <v>313</v>
      </c>
      <c r="BK9" s="14">
        <f>BJ9+BJ$6</f>
        <v>315</v>
      </c>
      <c r="BL9" s="14">
        <f>BK9+BK$6</f>
        <v>317</v>
      </c>
      <c r="BM9" s="14">
        <f t="shared" ref="BM9:BP9" si="44">BL9+BL$6</f>
        <v>319</v>
      </c>
      <c r="BN9" s="14">
        <f t="shared" si="44"/>
        <v>321</v>
      </c>
      <c r="BO9" s="14">
        <f t="shared" si="44"/>
        <v>323</v>
      </c>
      <c r="BP9" s="14">
        <f t="shared" si="44"/>
        <v>325</v>
      </c>
    </row>
    <row r="10" spans="1:69" hidden="1" x14ac:dyDescent="0.25">
      <c r="A10" s="3">
        <v>3</v>
      </c>
      <c r="B10" s="3" t="s">
        <v>326</v>
      </c>
      <c r="C10" s="3" t="s">
        <v>242</v>
      </c>
      <c r="D10" s="3" t="s">
        <v>293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</row>
    <row r="11" spans="1:69" hidden="1" x14ac:dyDescent="0.25">
      <c r="A11" s="3">
        <v>4</v>
      </c>
      <c r="B11" s="3" t="s">
        <v>326</v>
      </c>
      <c r="C11" s="3" t="s">
        <v>250</v>
      </c>
      <c r="D11" s="3" t="s">
        <v>301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</row>
    <row r="12" spans="1:69" hidden="1" x14ac:dyDescent="0.25">
      <c r="A12" s="3">
        <v>5</v>
      </c>
      <c r="B12" s="3" t="s">
        <v>326</v>
      </c>
      <c r="C12" s="3" t="s">
        <v>223</v>
      </c>
      <c r="D12" s="3" t="s">
        <v>315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</row>
    <row r="13" spans="1:69" hidden="1" x14ac:dyDescent="0.25">
      <c r="A13" s="3">
        <v>6</v>
      </c>
      <c r="B13" s="3" t="s">
        <v>326</v>
      </c>
      <c r="C13" s="3" t="s">
        <v>69</v>
      </c>
      <c r="D13" s="3" t="s">
        <v>315</v>
      </c>
      <c r="E13" s="14">
        <f>E9+$E$2</f>
        <v>400</v>
      </c>
      <c r="F13" s="14">
        <f t="shared" ref="F13:F75" si="45">E13+1</f>
        <v>401</v>
      </c>
      <c r="G13" s="14">
        <f t="shared" ref="G13:G19" si="46">F13+F$6</f>
        <v>403</v>
      </c>
      <c r="H13" s="14">
        <f t="shared" ref="H13:H19" si="47">G13+G$6</f>
        <v>405</v>
      </c>
      <c r="I13" s="14">
        <f>H13+H$6</f>
        <v>407</v>
      </c>
      <c r="J13" s="14">
        <f>I13+I$6</f>
        <v>409</v>
      </c>
      <c r="K13" s="14">
        <f t="shared" ref="K13:K19" si="48">J13+J$6</f>
        <v>411</v>
      </c>
      <c r="L13" s="14">
        <f t="shared" ref="L13:M19" si="49">K13+K$6</f>
        <v>413</v>
      </c>
      <c r="M13" s="14">
        <f t="shared" si="49"/>
        <v>415</v>
      </c>
      <c r="N13" s="14">
        <f t="shared" ref="N13:X19" si="50">M13+M$6</f>
        <v>417</v>
      </c>
      <c r="O13" s="14">
        <f t="shared" si="50"/>
        <v>419</v>
      </c>
      <c r="P13" s="14">
        <f t="shared" si="50"/>
        <v>421</v>
      </c>
      <c r="Q13" s="14">
        <f t="shared" si="50"/>
        <v>423</v>
      </c>
      <c r="R13" s="14">
        <f t="shared" si="50"/>
        <v>425</v>
      </c>
      <c r="S13" s="14">
        <f t="shared" si="50"/>
        <v>427</v>
      </c>
      <c r="T13" s="14">
        <f t="shared" si="50"/>
        <v>429</v>
      </c>
      <c r="U13" s="14">
        <f t="shared" si="50"/>
        <v>431</v>
      </c>
      <c r="V13" s="14">
        <f t="shared" si="50"/>
        <v>433</v>
      </c>
      <c r="W13" s="14">
        <f t="shared" si="50"/>
        <v>435</v>
      </c>
      <c r="X13" s="14">
        <f t="shared" si="50"/>
        <v>437</v>
      </c>
      <c r="Y13" s="14">
        <f t="shared" si="28"/>
        <v>439</v>
      </c>
      <c r="Z13" s="14">
        <f>Y13+Y$6</f>
        <v>441</v>
      </c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</row>
    <row r="14" spans="1:69" hidden="1" x14ac:dyDescent="0.25">
      <c r="A14" s="3">
        <v>7</v>
      </c>
      <c r="B14" s="3" t="s">
        <v>326</v>
      </c>
      <c r="C14" s="3" t="s">
        <v>70</v>
      </c>
      <c r="D14" s="3" t="s">
        <v>315</v>
      </c>
      <c r="E14" s="14">
        <f>E13+$E$2</f>
        <v>600</v>
      </c>
      <c r="F14" s="14">
        <f t="shared" si="45"/>
        <v>601</v>
      </c>
      <c r="G14" s="14">
        <f t="shared" si="46"/>
        <v>603</v>
      </c>
      <c r="H14" s="14">
        <f t="shared" si="47"/>
        <v>605</v>
      </c>
      <c r="I14" s="14">
        <f t="shared" ref="I14:J14" si="51">H14+H$6</f>
        <v>607</v>
      </c>
      <c r="J14" s="14">
        <f t="shared" si="51"/>
        <v>609</v>
      </c>
      <c r="K14" s="14">
        <f t="shared" si="48"/>
        <v>611</v>
      </c>
      <c r="L14" s="14">
        <f t="shared" si="49"/>
        <v>613</v>
      </c>
      <c r="M14" s="14">
        <f t="shared" si="49"/>
        <v>615</v>
      </c>
      <c r="N14" s="14">
        <f t="shared" ref="N14:X14" si="52">M14+M$6</f>
        <v>617</v>
      </c>
      <c r="O14" s="14">
        <f t="shared" si="52"/>
        <v>619</v>
      </c>
      <c r="P14" s="14">
        <f t="shared" si="52"/>
        <v>621</v>
      </c>
      <c r="Q14" s="14">
        <f t="shared" si="50"/>
        <v>623</v>
      </c>
      <c r="R14" s="14">
        <f t="shared" si="50"/>
        <v>625</v>
      </c>
      <c r="S14" s="14">
        <f t="shared" si="52"/>
        <v>627</v>
      </c>
      <c r="T14" s="14">
        <f t="shared" si="52"/>
        <v>629</v>
      </c>
      <c r="U14" s="14">
        <f t="shared" si="52"/>
        <v>631</v>
      </c>
      <c r="V14" s="14">
        <f t="shared" si="52"/>
        <v>633</v>
      </c>
      <c r="W14" s="14">
        <f t="shared" si="52"/>
        <v>635</v>
      </c>
      <c r="X14" s="14">
        <f t="shared" si="52"/>
        <v>637</v>
      </c>
      <c r="Y14" s="14">
        <f t="shared" si="28"/>
        <v>639</v>
      </c>
      <c r="Z14" s="14">
        <f t="shared" ref="Z14:Z86" si="53">Y14+Y$6</f>
        <v>641</v>
      </c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</row>
    <row r="15" spans="1:69" hidden="1" x14ac:dyDescent="0.25">
      <c r="A15" s="3">
        <v>8</v>
      </c>
      <c r="B15" s="3" t="s">
        <v>326</v>
      </c>
      <c r="C15" s="3" t="s">
        <v>71</v>
      </c>
      <c r="D15" s="3" t="s">
        <v>315</v>
      </c>
      <c r="E15" s="14">
        <f t="shared" ref="E15:E19" si="54">E14+$E$2</f>
        <v>800</v>
      </c>
      <c r="F15" s="14">
        <f t="shared" si="45"/>
        <v>801</v>
      </c>
      <c r="G15" s="14">
        <f t="shared" si="46"/>
        <v>803</v>
      </c>
      <c r="H15" s="14">
        <f t="shared" si="47"/>
        <v>805</v>
      </c>
      <c r="I15" s="14">
        <f t="shared" ref="I15:J15" si="55">H15+H$6</f>
        <v>807</v>
      </c>
      <c r="J15" s="14">
        <f t="shared" si="55"/>
        <v>809</v>
      </c>
      <c r="K15" s="14">
        <f t="shared" si="48"/>
        <v>811</v>
      </c>
      <c r="L15" s="14">
        <f t="shared" si="49"/>
        <v>813</v>
      </c>
      <c r="M15" s="14">
        <f t="shared" si="49"/>
        <v>815</v>
      </c>
      <c r="N15" s="14">
        <f t="shared" ref="N15:X15" si="56">M15+M$6</f>
        <v>817</v>
      </c>
      <c r="O15" s="14">
        <f t="shared" si="56"/>
        <v>819</v>
      </c>
      <c r="P15" s="14">
        <f t="shared" si="56"/>
        <v>821</v>
      </c>
      <c r="Q15" s="14">
        <f t="shared" si="50"/>
        <v>823</v>
      </c>
      <c r="R15" s="14">
        <f t="shared" si="50"/>
        <v>825</v>
      </c>
      <c r="S15" s="14">
        <f t="shared" si="56"/>
        <v>827</v>
      </c>
      <c r="T15" s="14">
        <f t="shared" si="56"/>
        <v>829</v>
      </c>
      <c r="U15" s="14">
        <f t="shared" si="56"/>
        <v>831</v>
      </c>
      <c r="V15" s="14">
        <f t="shared" si="56"/>
        <v>833</v>
      </c>
      <c r="W15" s="14">
        <f t="shared" si="56"/>
        <v>835</v>
      </c>
      <c r="X15" s="14">
        <f t="shared" si="56"/>
        <v>837</v>
      </c>
      <c r="Y15" s="14">
        <f t="shared" si="28"/>
        <v>839</v>
      </c>
      <c r="Z15" s="14">
        <f t="shared" si="53"/>
        <v>841</v>
      </c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</row>
    <row r="16" spans="1:69" hidden="1" x14ac:dyDescent="0.25">
      <c r="A16" s="3">
        <v>9</v>
      </c>
      <c r="B16" s="3" t="s">
        <v>326</v>
      </c>
      <c r="C16" s="3" t="s">
        <v>72</v>
      </c>
      <c r="D16" s="3" t="s">
        <v>315</v>
      </c>
      <c r="E16" s="14">
        <f t="shared" si="54"/>
        <v>1000</v>
      </c>
      <c r="F16" s="14">
        <f t="shared" si="45"/>
        <v>1001</v>
      </c>
      <c r="G16" s="14">
        <f t="shared" si="46"/>
        <v>1003</v>
      </c>
      <c r="H16" s="14">
        <f t="shared" si="47"/>
        <v>1005</v>
      </c>
      <c r="I16" s="14">
        <f t="shared" ref="I16:J16" si="57">H16+H$6</f>
        <v>1007</v>
      </c>
      <c r="J16" s="14">
        <f t="shared" si="57"/>
        <v>1009</v>
      </c>
      <c r="K16" s="14">
        <f t="shared" si="48"/>
        <v>1011</v>
      </c>
      <c r="L16" s="14">
        <f t="shared" si="49"/>
        <v>1013</v>
      </c>
      <c r="M16" s="14">
        <f t="shared" si="49"/>
        <v>1015</v>
      </c>
      <c r="N16" s="14">
        <f t="shared" ref="N16:X16" si="58">M16+M$6</f>
        <v>1017</v>
      </c>
      <c r="O16" s="14">
        <f t="shared" si="58"/>
        <v>1019</v>
      </c>
      <c r="P16" s="14">
        <f t="shared" si="58"/>
        <v>1021</v>
      </c>
      <c r="Q16" s="14">
        <f t="shared" si="50"/>
        <v>1023</v>
      </c>
      <c r="R16" s="14">
        <f t="shared" si="50"/>
        <v>1025</v>
      </c>
      <c r="S16" s="14">
        <f t="shared" si="58"/>
        <v>1027</v>
      </c>
      <c r="T16" s="14">
        <f t="shared" si="58"/>
        <v>1029</v>
      </c>
      <c r="U16" s="14">
        <f t="shared" si="58"/>
        <v>1031</v>
      </c>
      <c r="V16" s="14">
        <f t="shared" si="58"/>
        <v>1033</v>
      </c>
      <c r="W16" s="14">
        <f t="shared" si="58"/>
        <v>1035</v>
      </c>
      <c r="X16" s="14">
        <f t="shared" si="58"/>
        <v>1037</v>
      </c>
      <c r="Y16" s="14">
        <f t="shared" si="28"/>
        <v>1039</v>
      </c>
      <c r="Z16" s="14">
        <f t="shared" si="53"/>
        <v>1041</v>
      </c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</row>
    <row r="17" spans="1:68" hidden="1" x14ac:dyDescent="0.25">
      <c r="A17" s="3">
        <v>10</v>
      </c>
      <c r="B17" s="3" t="s">
        <v>326</v>
      </c>
      <c r="C17" s="3" t="s">
        <v>73</v>
      </c>
      <c r="D17" s="3" t="s">
        <v>315</v>
      </c>
      <c r="E17" s="14">
        <f t="shared" si="54"/>
        <v>1200</v>
      </c>
      <c r="F17" s="14">
        <f t="shared" si="45"/>
        <v>1201</v>
      </c>
      <c r="G17" s="14">
        <f t="shared" si="46"/>
        <v>1203</v>
      </c>
      <c r="H17" s="14">
        <f t="shared" si="47"/>
        <v>1205</v>
      </c>
      <c r="I17" s="14">
        <f t="shared" ref="I17:J17" si="59">H17+H$6</f>
        <v>1207</v>
      </c>
      <c r="J17" s="14">
        <f t="shared" si="59"/>
        <v>1209</v>
      </c>
      <c r="K17" s="14">
        <f t="shared" si="48"/>
        <v>1211</v>
      </c>
      <c r="L17" s="14">
        <f t="shared" si="49"/>
        <v>1213</v>
      </c>
      <c r="M17" s="14">
        <f t="shared" si="49"/>
        <v>1215</v>
      </c>
      <c r="N17" s="14">
        <f t="shared" ref="N17:X17" si="60">M17+M$6</f>
        <v>1217</v>
      </c>
      <c r="O17" s="14">
        <f t="shared" si="60"/>
        <v>1219</v>
      </c>
      <c r="P17" s="14">
        <f t="shared" si="60"/>
        <v>1221</v>
      </c>
      <c r="Q17" s="14">
        <f t="shared" si="50"/>
        <v>1223</v>
      </c>
      <c r="R17" s="14">
        <f t="shared" si="50"/>
        <v>1225</v>
      </c>
      <c r="S17" s="14">
        <f t="shared" si="60"/>
        <v>1227</v>
      </c>
      <c r="T17" s="14">
        <f t="shared" si="60"/>
        <v>1229</v>
      </c>
      <c r="U17" s="14">
        <f t="shared" si="60"/>
        <v>1231</v>
      </c>
      <c r="V17" s="14">
        <f t="shared" si="60"/>
        <v>1233</v>
      </c>
      <c r="W17" s="14">
        <f t="shared" si="60"/>
        <v>1235</v>
      </c>
      <c r="X17" s="14">
        <f t="shared" si="60"/>
        <v>1237</v>
      </c>
      <c r="Y17" s="14">
        <f t="shared" si="28"/>
        <v>1239</v>
      </c>
      <c r="Z17" s="14">
        <f t="shared" si="53"/>
        <v>1241</v>
      </c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</row>
    <row r="18" spans="1:68" hidden="1" x14ac:dyDescent="0.25">
      <c r="A18" s="3">
        <v>11</v>
      </c>
      <c r="B18" s="3" t="s">
        <v>326</v>
      </c>
      <c r="C18" s="3" t="s">
        <v>74</v>
      </c>
      <c r="D18" s="3" t="s">
        <v>315</v>
      </c>
      <c r="E18" s="14">
        <f t="shared" si="54"/>
        <v>1400</v>
      </c>
      <c r="F18" s="14">
        <f t="shared" si="45"/>
        <v>1401</v>
      </c>
      <c r="G18" s="14">
        <f t="shared" si="46"/>
        <v>1403</v>
      </c>
      <c r="H18" s="14">
        <f t="shared" si="47"/>
        <v>1405</v>
      </c>
      <c r="I18" s="14">
        <f t="shared" ref="I18:J18" si="61">H18+H$6</f>
        <v>1407</v>
      </c>
      <c r="J18" s="14">
        <f t="shared" si="61"/>
        <v>1409</v>
      </c>
      <c r="K18" s="14">
        <f t="shared" si="48"/>
        <v>1411</v>
      </c>
      <c r="L18" s="14">
        <f t="shared" si="49"/>
        <v>1413</v>
      </c>
      <c r="M18" s="14">
        <f t="shared" si="49"/>
        <v>1415</v>
      </c>
      <c r="N18" s="14">
        <f t="shared" ref="N18:X18" si="62">M18+M$6</f>
        <v>1417</v>
      </c>
      <c r="O18" s="14">
        <f t="shared" si="62"/>
        <v>1419</v>
      </c>
      <c r="P18" s="14">
        <f t="shared" si="62"/>
        <v>1421</v>
      </c>
      <c r="Q18" s="14">
        <f t="shared" si="50"/>
        <v>1423</v>
      </c>
      <c r="R18" s="14">
        <f t="shared" si="50"/>
        <v>1425</v>
      </c>
      <c r="S18" s="14">
        <f t="shared" si="62"/>
        <v>1427</v>
      </c>
      <c r="T18" s="14">
        <f t="shared" si="62"/>
        <v>1429</v>
      </c>
      <c r="U18" s="14">
        <f t="shared" si="62"/>
        <v>1431</v>
      </c>
      <c r="V18" s="14">
        <f t="shared" si="62"/>
        <v>1433</v>
      </c>
      <c r="W18" s="14">
        <f t="shared" si="62"/>
        <v>1435</v>
      </c>
      <c r="X18" s="14">
        <f t="shared" si="62"/>
        <v>1437</v>
      </c>
      <c r="Y18" s="14">
        <f t="shared" si="28"/>
        <v>1439</v>
      </c>
      <c r="Z18" s="14">
        <f t="shared" si="53"/>
        <v>1441</v>
      </c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</row>
    <row r="19" spans="1:68" hidden="1" x14ac:dyDescent="0.25">
      <c r="A19" s="3">
        <v>12</v>
      </c>
      <c r="B19" s="3" t="s">
        <v>326</v>
      </c>
      <c r="C19" s="3" t="s">
        <v>75</v>
      </c>
      <c r="D19" s="3" t="s">
        <v>315</v>
      </c>
      <c r="E19" s="14">
        <f t="shared" si="54"/>
        <v>1600</v>
      </c>
      <c r="F19" s="14">
        <f t="shared" si="45"/>
        <v>1601</v>
      </c>
      <c r="G19" s="14">
        <f t="shared" si="46"/>
        <v>1603</v>
      </c>
      <c r="H19" s="14">
        <f t="shared" si="47"/>
        <v>1605</v>
      </c>
      <c r="I19" s="14">
        <f t="shared" ref="I19:J19" si="63">H19+H$6</f>
        <v>1607</v>
      </c>
      <c r="J19" s="14">
        <f t="shared" si="63"/>
        <v>1609</v>
      </c>
      <c r="K19" s="14">
        <f t="shared" si="48"/>
        <v>1611</v>
      </c>
      <c r="L19" s="14">
        <f t="shared" si="49"/>
        <v>1613</v>
      </c>
      <c r="M19" s="14">
        <f t="shared" si="49"/>
        <v>1615</v>
      </c>
      <c r="N19" s="14">
        <f t="shared" ref="N19:X19" si="64">M19+M$6</f>
        <v>1617</v>
      </c>
      <c r="O19" s="14">
        <f t="shared" si="64"/>
        <v>1619</v>
      </c>
      <c r="P19" s="14">
        <f t="shared" si="64"/>
        <v>1621</v>
      </c>
      <c r="Q19" s="14">
        <f t="shared" si="50"/>
        <v>1623</v>
      </c>
      <c r="R19" s="14">
        <f t="shared" si="50"/>
        <v>1625</v>
      </c>
      <c r="S19" s="14">
        <f t="shared" si="64"/>
        <v>1627</v>
      </c>
      <c r="T19" s="14">
        <f t="shared" si="64"/>
        <v>1629</v>
      </c>
      <c r="U19" s="14">
        <f t="shared" si="64"/>
        <v>1631</v>
      </c>
      <c r="V19" s="14">
        <f t="shared" si="64"/>
        <v>1633</v>
      </c>
      <c r="W19" s="14">
        <f t="shared" si="64"/>
        <v>1635</v>
      </c>
      <c r="X19" s="14">
        <f t="shared" si="64"/>
        <v>1637</v>
      </c>
      <c r="Y19" s="14">
        <f t="shared" si="28"/>
        <v>1639</v>
      </c>
      <c r="Z19" s="14">
        <f t="shared" si="53"/>
        <v>1641</v>
      </c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</row>
    <row r="20" spans="1:68" hidden="1" x14ac:dyDescent="0.25">
      <c r="A20" s="3">
        <v>13</v>
      </c>
      <c r="B20" s="3" t="s">
        <v>326</v>
      </c>
      <c r="C20" s="3" t="s">
        <v>224</v>
      </c>
      <c r="D20" s="3" t="s">
        <v>311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</row>
    <row r="21" spans="1:68" hidden="1" x14ac:dyDescent="0.25">
      <c r="A21" s="3">
        <v>14</v>
      </c>
      <c r="B21" s="3" t="s">
        <v>326</v>
      </c>
      <c r="C21" s="3" t="s">
        <v>260</v>
      </c>
      <c r="D21" s="3" t="s">
        <v>311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</row>
    <row r="22" spans="1:68" hidden="1" x14ac:dyDescent="0.25">
      <c r="A22" s="3">
        <v>15</v>
      </c>
      <c r="B22" s="3" t="s">
        <v>326</v>
      </c>
      <c r="C22" s="3" t="s">
        <v>76</v>
      </c>
      <c r="D22" s="3" t="s">
        <v>311</v>
      </c>
      <c r="E22" s="14">
        <f>E19+$E$2</f>
        <v>1800</v>
      </c>
      <c r="F22" s="14">
        <f t="shared" si="45"/>
        <v>1801</v>
      </c>
      <c r="G22" s="14">
        <f t="shared" ref="G22:G27" si="65">F22+F$6</f>
        <v>1803</v>
      </c>
      <c r="H22" s="14">
        <f t="shared" ref="H22:H27" si="66">G22+G$6</f>
        <v>1805</v>
      </c>
      <c r="I22" s="14">
        <f t="shared" ref="I22:J22" si="67">H22+H$6</f>
        <v>1807</v>
      </c>
      <c r="J22" s="14">
        <f t="shared" si="67"/>
        <v>1809</v>
      </c>
      <c r="K22" s="14">
        <f t="shared" ref="K22:K27" si="68">J22+J$6</f>
        <v>1811</v>
      </c>
      <c r="L22" s="14">
        <f t="shared" ref="L22:M27" si="69">K22+K$6</f>
        <v>1813</v>
      </c>
      <c r="M22" s="14">
        <f t="shared" si="69"/>
        <v>1815</v>
      </c>
      <c r="N22" s="14">
        <f t="shared" ref="N22:X26" si="70">M22+M$6</f>
        <v>1817</v>
      </c>
      <c r="O22" s="14">
        <f t="shared" si="70"/>
        <v>1819</v>
      </c>
      <c r="P22" s="14">
        <f t="shared" si="70"/>
        <v>1821</v>
      </c>
      <c r="Q22" s="14">
        <f t="shared" si="70"/>
        <v>1823</v>
      </c>
      <c r="R22" s="14">
        <f t="shared" si="70"/>
        <v>1825</v>
      </c>
      <c r="S22" s="14">
        <f t="shared" si="70"/>
        <v>1827</v>
      </c>
      <c r="T22" s="14">
        <f t="shared" si="70"/>
        <v>1829</v>
      </c>
      <c r="U22" s="14">
        <f t="shared" si="70"/>
        <v>1831</v>
      </c>
      <c r="V22" s="14">
        <f t="shared" si="70"/>
        <v>1833</v>
      </c>
      <c r="W22" s="14">
        <f t="shared" si="70"/>
        <v>1835</v>
      </c>
      <c r="X22" s="14">
        <f t="shared" si="70"/>
        <v>1837</v>
      </c>
      <c r="Y22" s="14">
        <f t="shared" si="28"/>
        <v>1839</v>
      </c>
      <c r="Z22" s="14">
        <f t="shared" si="53"/>
        <v>1841</v>
      </c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</row>
    <row r="23" spans="1:68" hidden="1" x14ac:dyDescent="0.25">
      <c r="A23" s="3">
        <v>16</v>
      </c>
      <c r="B23" s="3" t="s">
        <v>326</v>
      </c>
      <c r="C23" s="3" t="s">
        <v>77</v>
      </c>
      <c r="D23" s="3" t="s">
        <v>311</v>
      </c>
      <c r="E23" s="14">
        <f t="shared" ref="E23:E27" si="71">E22+$E$2</f>
        <v>2000</v>
      </c>
      <c r="F23" s="14">
        <f t="shared" si="45"/>
        <v>2001</v>
      </c>
      <c r="G23" s="14">
        <f t="shared" si="65"/>
        <v>2003</v>
      </c>
      <c r="H23" s="14">
        <f t="shared" si="66"/>
        <v>2005</v>
      </c>
      <c r="I23" s="14">
        <f t="shared" ref="I23:J23" si="72">H23+H$6</f>
        <v>2007</v>
      </c>
      <c r="J23" s="14">
        <f t="shared" si="72"/>
        <v>2009</v>
      </c>
      <c r="K23" s="14">
        <f t="shared" si="68"/>
        <v>2011</v>
      </c>
      <c r="L23" s="14">
        <f t="shared" si="69"/>
        <v>2013</v>
      </c>
      <c r="M23" s="14">
        <f t="shared" si="69"/>
        <v>2015</v>
      </c>
      <c r="N23" s="14">
        <f t="shared" ref="N23:BP27" si="73">M23+M$6</f>
        <v>2017</v>
      </c>
      <c r="O23" s="14">
        <f t="shared" si="73"/>
        <v>2019</v>
      </c>
      <c r="P23" s="14">
        <f t="shared" si="73"/>
        <v>2021</v>
      </c>
      <c r="Q23" s="14">
        <f t="shared" si="70"/>
        <v>2023</v>
      </c>
      <c r="R23" s="14">
        <f t="shared" si="70"/>
        <v>2025</v>
      </c>
      <c r="S23" s="14">
        <f t="shared" si="73"/>
        <v>2027</v>
      </c>
      <c r="T23" s="14">
        <f t="shared" si="73"/>
        <v>2029</v>
      </c>
      <c r="U23" s="14">
        <f t="shared" si="73"/>
        <v>2031</v>
      </c>
      <c r="V23" s="14">
        <f t="shared" si="73"/>
        <v>2033</v>
      </c>
      <c r="W23" s="14">
        <f t="shared" si="73"/>
        <v>2035</v>
      </c>
      <c r="X23" s="14">
        <f t="shared" si="73"/>
        <v>2037</v>
      </c>
      <c r="Y23" s="14">
        <f t="shared" si="28"/>
        <v>2039</v>
      </c>
      <c r="Z23" s="14">
        <f t="shared" si="53"/>
        <v>2041</v>
      </c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</row>
    <row r="24" spans="1:68" hidden="1" x14ac:dyDescent="0.25">
      <c r="A24" s="3">
        <v>17</v>
      </c>
      <c r="B24" s="3" t="s">
        <v>326</v>
      </c>
      <c r="C24" s="3" t="s">
        <v>78</v>
      </c>
      <c r="D24" s="3" t="s">
        <v>311</v>
      </c>
      <c r="E24" s="14">
        <f t="shared" si="71"/>
        <v>2200</v>
      </c>
      <c r="F24" s="14">
        <f t="shared" si="45"/>
        <v>2201</v>
      </c>
      <c r="G24" s="14">
        <f t="shared" si="65"/>
        <v>2203</v>
      </c>
      <c r="H24" s="14">
        <f t="shared" si="66"/>
        <v>2205</v>
      </c>
      <c r="I24" s="14">
        <f t="shared" ref="I24:J24" si="74">H24+H$6</f>
        <v>2207</v>
      </c>
      <c r="J24" s="14">
        <f t="shared" si="74"/>
        <v>2209</v>
      </c>
      <c r="K24" s="14">
        <f t="shared" si="68"/>
        <v>2211</v>
      </c>
      <c r="L24" s="14">
        <f t="shared" si="69"/>
        <v>2213</v>
      </c>
      <c r="M24" s="14">
        <f t="shared" si="69"/>
        <v>2215</v>
      </c>
      <c r="N24" s="14">
        <f t="shared" ref="N24:X24" si="75">M24+M$6</f>
        <v>2217</v>
      </c>
      <c r="O24" s="14">
        <f t="shared" si="75"/>
        <v>2219</v>
      </c>
      <c r="P24" s="14">
        <f t="shared" si="75"/>
        <v>2221</v>
      </c>
      <c r="Q24" s="14">
        <f t="shared" si="70"/>
        <v>2223</v>
      </c>
      <c r="R24" s="14">
        <f t="shared" si="70"/>
        <v>2225</v>
      </c>
      <c r="S24" s="14">
        <f t="shared" si="75"/>
        <v>2227</v>
      </c>
      <c r="T24" s="14">
        <f t="shared" si="75"/>
        <v>2229</v>
      </c>
      <c r="U24" s="14">
        <f t="shared" si="75"/>
        <v>2231</v>
      </c>
      <c r="V24" s="14">
        <f t="shared" si="75"/>
        <v>2233</v>
      </c>
      <c r="W24" s="14">
        <f t="shared" si="75"/>
        <v>2235</v>
      </c>
      <c r="X24" s="14">
        <f t="shared" si="75"/>
        <v>2237</v>
      </c>
      <c r="Y24" s="14">
        <f t="shared" si="28"/>
        <v>2239</v>
      </c>
      <c r="Z24" s="14">
        <f t="shared" si="53"/>
        <v>2241</v>
      </c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</row>
    <row r="25" spans="1:68" hidden="1" x14ac:dyDescent="0.25">
      <c r="A25" s="3">
        <v>18</v>
      </c>
      <c r="B25" s="3" t="s">
        <v>326</v>
      </c>
      <c r="C25" s="3" t="s">
        <v>79</v>
      </c>
      <c r="D25" s="3" t="s">
        <v>311</v>
      </c>
      <c r="E25" s="14">
        <f t="shared" si="71"/>
        <v>2400</v>
      </c>
      <c r="F25" s="14">
        <f t="shared" si="45"/>
        <v>2401</v>
      </c>
      <c r="G25" s="14">
        <f t="shared" si="65"/>
        <v>2403</v>
      </c>
      <c r="H25" s="14">
        <f t="shared" si="66"/>
        <v>2405</v>
      </c>
      <c r="I25" s="14">
        <f t="shared" ref="I25:J25" si="76">H25+H$6</f>
        <v>2407</v>
      </c>
      <c r="J25" s="14">
        <f t="shared" si="76"/>
        <v>2409</v>
      </c>
      <c r="K25" s="14">
        <f t="shared" si="68"/>
        <v>2411</v>
      </c>
      <c r="L25" s="14">
        <f t="shared" si="69"/>
        <v>2413</v>
      </c>
      <c r="M25" s="14">
        <f t="shared" si="69"/>
        <v>2415</v>
      </c>
      <c r="N25" s="14">
        <f t="shared" ref="N25:Y40" si="77">M25+M$6</f>
        <v>2417</v>
      </c>
      <c r="O25" s="14">
        <f t="shared" si="77"/>
        <v>2419</v>
      </c>
      <c r="P25" s="14">
        <f t="shared" si="77"/>
        <v>2421</v>
      </c>
      <c r="Q25" s="14">
        <f t="shared" si="70"/>
        <v>2423</v>
      </c>
      <c r="R25" s="14">
        <f t="shared" si="70"/>
        <v>2425</v>
      </c>
      <c r="S25" s="14">
        <f t="shared" si="77"/>
        <v>2427</v>
      </c>
      <c r="T25" s="14">
        <f t="shared" si="77"/>
        <v>2429</v>
      </c>
      <c r="U25" s="14">
        <f t="shared" si="77"/>
        <v>2431</v>
      </c>
      <c r="V25" s="14">
        <f t="shared" si="77"/>
        <v>2433</v>
      </c>
      <c r="W25" s="14">
        <f t="shared" si="77"/>
        <v>2435</v>
      </c>
      <c r="X25" s="14">
        <f t="shared" si="77"/>
        <v>2437</v>
      </c>
      <c r="Y25" s="14">
        <f t="shared" si="77"/>
        <v>2439</v>
      </c>
      <c r="Z25" s="14">
        <f t="shared" si="53"/>
        <v>2441</v>
      </c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</row>
    <row r="26" spans="1:68" hidden="1" x14ac:dyDescent="0.25">
      <c r="A26" s="3">
        <v>19</v>
      </c>
      <c r="B26" s="3" t="s">
        <v>326</v>
      </c>
      <c r="C26" s="3" t="s">
        <v>80</v>
      </c>
      <c r="D26" s="3" t="s">
        <v>311</v>
      </c>
      <c r="E26" s="14">
        <f t="shared" si="71"/>
        <v>2600</v>
      </c>
      <c r="F26" s="14">
        <f t="shared" si="45"/>
        <v>2601</v>
      </c>
      <c r="G26" s="14">
        <f t="shared" si="65"/>
        <v>2603</v>
      </c>
      <c r="H26" s="14">
        <f t="shared" si="66"/>
        <v>2605</v>
      </c>
      <c r="I26" s="14">
        <f t="shared" ref="I26:J26" si="78">H26+H$6</f>
        <v>2607</v>
      </c>
      <c r="J26" s="14">
        <f t="shared" si="78"/>
        <v>2609</v>
      </c>
      <c r="K26" s="14">
        <f t="shared" si="68"/>
        <v>2611</v>
      </c>
      <c r="L26" s="14">
        <f t="shared" si="69"/>
        <v>2613</v>
      </c>
      <c r="M26" s="14">
        <f t="shared" si="69"/>
        <v>2615</v>
      </c>
      <c r="N26" s="14">
        <f t="shared" ref="N26:X26" si="79">M26+M$6</f>
        <v>2617</v>
      </c>
      <c r="O26" s="14">
        <f t="shared" si="79"/>
        <v>2619</v>
      </c>
      <c r="P26" s="14">
        <f t="shared" si="79"/>
        <v>2621</v>
      </c>
      <c r="Q26" s="14">
        <f t="shared" si="70"/>
        <v>2623</v>
      </c>
      <c r="R26" s="14">
        <f t="shared" si="70"/>
        <v>2625</v>
      </c>
      <c r="S26" s="14">
        <f t="shared" si="79"/>
        <v>2627</v>
      </c>
      <c r="T26" s="14">
        <f t="shared" si="79"/>
        <v>2629</v>
      </c>
      <c r="U26" s="14">
        <f t="shared" si="79"/>
        <v>2631</v>
      </c>
      <c r="V26" s="14">
        <f t="shared" si="79"/>
        <v>2633</v>
      </c>
      <c r="W26" s="14">
        <f t="shared" si="79"/>
        <v>2635</v>
      </c>
      <c r="X26" s="14">
        <f t="shared" si="79"/>
        <v>2637</v>
      </c>
      <c r="Y26" s="14">
        <f t="shared" si="77"/>
        <v>2639</v>
      </c>
      <c r="Z26" s="14">
        <f t="shared" si="53"/>
        <v>2641</v>
      </c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</row>
    <row r="27" spans="1:68" hidden="1" x14ac:dyDescent="0.25">
      <c r="A27" s="3">
        <v>20</v>
      </c>
      <c r="B27" s="3" t="s">
        <v>326</v>
      </c>
      <c r="C27" s="3" t="s">
        <v>54</v>
      </c>
      <c r="D27" s="3" t="s">
        <v>280</v>
      </c>
      <c r="E27" s="14">
        <f t="shared" si="71"/>
        <v>2800</v>
      </c>
      <c r="F27" s="14">
        <f>E27+1</f>
        <v>2801</v>
      </c>
      <c r="G27" s="14">
        <f t="shared" si="65"/>
        <v>2803</v>
      </c>
      <c r="H27" s="14">
        <f t="shared" si="66"/>
        <v>2805</v>
      </c>
      <c r="I27" s="14">
        <f t="shared" ref="I27:J27" si="80">H27+H$6</f>
        <v>2807</v>
      </c>
      <c r="J27" s="14">
        <f t="shared" si="80"/>
        <v>2809</v>
      </c>
      <c r="K27" s="14">
        <f t="shared" si="68"/>
        <v>2811</v>
      </c>
      <c r="L27" s="14">
        <f t="shared" si="69"/>
        <v>2813</v>
      </c>
      <c r="M27" s="14">
        <f t="shared" si="69"/>
        <v>2815</v>
      </c>
      <c r="N27" s="14">
        <f t="shared" ref="N27:X27" si="81">M27+M$6</f>
        <v>2817</v>
      </c>
      <c r="O27" s="14">
        <f t="shared" si="81"/>
        <v>2819</v>
      </c>
      <c r="P27" s="14">
        <f t="shared" si="81"/>
        <v>2821</v>
      </c>
      <c r="Q27" s="14">
        <f t="shared" ref="Q27" si="82">P27+P$6</f>
        <v>2823</v>
      </c>
      <c r="R27" s="14">
        <f t="shared" ref="R27" si="83">Q27+Q$6</f>
        <v>2825</v>
      </c>
      <c r="S27" s="14">
        <f t="shared" si="81"/>
        <v>2827</v>
      </c>
      <c r="T27" s="14">
        <f t="shared" si="81"/>
        <v>2829</v>
      </c>
      <c r="U27" s="14">
        <f t="shared" si="81"/>
        <v>2831</v>
      </c>
      <c r="V27" s="14">
        <f t="shared" si="81"/>
        <v>2833</v>
      </c>
      <c r="W27" s="14">
        <f t="shared" si="81"/>
        <v>2835</v>
      </c>
      <c r="X27" s="14">
        <f t="shared" si="81"/>
        <v>2837</v>
      </c>
      <c r="Y27" s="14">
        <f t="shared" si="77"/>
        <v>2839</v>
      </c>
      <c r="Z27" s="14"/>
      <c r="AA27" s="14">
        <f t="shared" ref="AA27:AA99" si="84">Y27+$Z$6+$Y$6</f>
        <v>2843</v>
      </c>
      <c r="AB27" s="14">
        <f t="shared" ref="AB27" si="85">AA27+AA$6</f>
        <v>2845</v>
      </c>
      <c r="AC27" s="14">
        <f t="shared" ref="AC27" si="86">AB27+AB$6</f>
        <v>2847</v>
      </c>
      <c r="AD27" s="14">
        <f t="shared" ref="AD27" si="87">AC27+AC$6</f>
        <v>2849</v>
      </c>
      <c r="AE27" s="14">
        <f t="shared" ref="AE27" si="88">AD27+AD$6</f>
        <v>2851</v>
      </c>
      <c r="AF27" s="14">
        <f t="shared" ref="AF27" si="89">AE27+AE$6</f>
        <v>2853</v>
      </c>
      <c r="AG27" s="14">
        <f t="shared" ref="AG27" si="90">AF27+AF$6</f>
        <v>2855</v>
      </c>
      <c r="AH27" s="14">
        <f t="shared" ref="AH27" si="91">AG27+AG$6</f>
        <v>2857</v>
      </c>
      <c r="AI27" s="14">
        <f t="shared" ref="AI27" si="92">AH27+AH$6</f>
        <v>2859</v>
      </c>
      <c r="AJ27" s="14">
        <f t="shared" ref="AJ27" si="93">AI27+AI$6</f>
        <v>2861</v>
      </c>
      <c r="AK27" s="14">
        <f t="shared" ref="AK27" si="94">AJ27+AJ$6</f>
        <v>2863</v>
      </c>
      <c r="AL27" s="14">
        <f t="shared" ref="AL27" si="95">AK27+AK$6</f>
        <v>2865</v>
      </c>
      <c r="AM27" s="14">
        <f t="shared" ref="AM27" si="96">AL27+AL$6</f>
        <v>2867</v>
      </c>
      <c r="AN27" s="14">
        <f t="shared" ref="AN27" si="97">AM27+AM$6</f>
        <v>2869</v>
      </c>
      <c r="AO27" s="14">
        <f t="shared" ref="AO27" si="98">AN27+AN$6</f>
        <v>2871</v>
      </c>
      <c r="AP27" s="14">
        <f t="shared" ref="AP27" si="99">AO27+AO$6</f>
        <v>2873</v>
      </c>
      <c r="AQ27" s="14">
        <f t="shared" ref="AQ27" si="100">AP27+AP$6</f>
        <v>2875</v>
      </c>
      <c r="AR27" s="14">
        <f t="shared" ref="AR27" si="101">AQ27+AQ$6</f>
        <v>2877</v>
      </c>
      <c r="AS27" s="14">
        <f t="shared" ref="AS27" si="102">AR27+AR$6</f>
        <v>2879</v>
      </c>
      <c r="AT27" s="14">
        <f t="shared" ref="AT27" si="103">AS27+AS$6</f>
        <v>2881</v>
      </c>
      <c r="AU27" s="14">
        <f t="shared" ref="AU27" si="104">AT27+AT$6</f>
        <v>2883</v>
      </c>
      <c r="AV27" s="14">
        <f t="shared" ref="AV27" si="105">AU27+AU$6</f>
        <v>2885</v>
      </c>
      <c r="AW27" s="14">
        <f t="shared" ref="AW27" si="106">AV27+AV$6</f>
        <v>2887</v>
      </c>
      <c r="AX27" s="14">
        <f t="shared" ref="AX27" si="107">AW27+AW$6</f>
        <v>2889</v>
      </c>
      <c r="AY27" s="14">
        <f t="shared" ref="AY27" si="108">AX27+AX$6</f>
        <v>2891</v>
      </c>
      <c r="AZ27" s="14">
        <f t="shared" ref="AZ27" si="109">AY27+AY$6</f>
        <v>2893</v>
      </c>
      <c r="BA27" s="14">
        <f t="shared" ref="BA27" si="110">AZ27+AZ$6</f>
        <v>2895</v>
      </c>
      <c r="BB27" s="14">
        <f t="shared" ref="BB27" si="111">BA27+BA$6</f>
        <v>2897</v>
      </c>
      <c r="BC27" s="14">
        <f t="shared" ref="BC27" si="112">BB27+BB$6</f>
        <v>2899</v>
      </c>
      <c r="BD27" s="14">
        <f t="shared" ref="BD27" si="113">BC27+BC$6</f>
        <v>2901</v>
      </c>
      <c r="BE27" s="14">
        <f t="shared" ref="BE27" si="114">BD27+BD$6</f>
        <v>2903</v>
      </c>
      <c r="BF27" s="14">
        <f t="shared" ref="BF27" si="115">BE27+BE$6</f>
        <v>2905</v>
      </c>
      <c r="BG27" s="14">
        <f t="shared" ref="BG27" si="116">BF27+BF$6</f>
        <v>2907</v>
      </c>
      <c r="BH27" s="14">
        <f t="shared" ref="BH27" si="117">BG27+BG$6</f>
        <v>2909</v>
      </c>
      <c r="BI27" s="14">
        <f t="shared" ref="BI27" si="118">BH27+BH$6</f>
        <v>2911</v>
      </c>
      <c r="BJ27" s="14">
        <f t="shared" ref="BJ27" si="119">BI27+BI$6</f>
        <v>2913</v>
      </c>
      <c r="BK27" s="14">
        <f t="shared" si="73"/>
        <v>2915</v>
      </c>
      <c r="BL27" s="14">
        <f t="shared" si="73"/>
        <v>2917</v>
      </c>
      <c r="BM27" s="14">
        <f t="shared" si="73"/>
        <v>2919</v>
      </c>
      <c r="BN27" s="14">
        <f t="shared" si="73"/>
        <v>2921</v>
      </c>
      <c r="BO27" s="14">
        <f t="shared" si="73"/>
        <v>2923</v>
      </c>
      <c r="BP27" s="14">
        <f t="shared" si="73"/>
        <v>2925</v>
      </c>
    </row>
    <row r="28" spans="1:68" hidden="1" x14ac:dyDescent="0.25">
      <c r="A28" s="3">
        <v>21</v>
      </c>
      <c r="B28" s="3" t="s">
        <v>326</v>
      </c>
      <c r="C28" s="3" t="s">
        <v>225</v>
      </c>
      <c r="D28" s="3" t="s">
        <v>280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</row>
    <row r="29" spans="1:68" hidden="1" x14ac:dyDescent="0.25">
      <c r="A29" s="3">
        <v>22</v>
      </c>
      <c r="B29" s="3" t="s">
        <v>326</v>
      </c>
      <c r="C29" s="3" t="s">
        <v>243</v>
      </c>
      <c r="D29" s="3" t="s">
        <v>294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</row>
    <row r="30" spans="1:68" hidden="1" x14ac:dyDescent="0.25">
      <c r="A30" s="3">
        <v>23</v>
      </c>
      <c r="B30" s="3" t="s">
        <v>326</v>
      </c>
      <c r="C30" s="3" t="s">
        <v>251</v>
      </c>
      <c r="D30" s="3" t="s">
        <v>302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</row>
    <row r="31" spans="1:68" hidden="1" x14ac:dyDescent="0.25">
      <c r="A31" s="3">
        <v>24</v>
      </c>
      <c r="B31" s="3" t="s">
        <v>326</v>
      </c>
      <c r="C31" s="3" t="s">
        <v>81</v>
      </c>
      <c r="D31" s="3" t="s">
        <v>280</v>
      </c>
      <c r="E31" s="14">
        <f>E27+$E$2</f>
        <v>3000</v>
      </c>
      <c r="F31" s="14">
        <f t="shared" si="45"/>
        <v>3001</v>
      </c>
      <c r="G31" s="14">
        <f t="shared" ref="G31:G35" si="120">F31+F$6</f>
        <v>3003</v>
      </c>
      <c r="H31" s="14">
        <f t="shared" ref="H31:H35" si="121">G31+G$6</f>
        <v>3005</v>
      </c>
      <c r="I31" s="14">
        <f t="shared" ref="I31:J31" si="122">H31+H$6</f>
        <v>3007</v>
      </c>
      <c r="J31" s="14">
        <f t="shared" si="122"/>
        <v>3009</v>
      </c>
      <c r="K31" s="14">
        <f t="shared" ref="K31:K35" si="123">J31+J$6</f>
        <v>3011</v>
      </c>
      <c r="L31" s="14">
        <f t="shared" ref="L31:M35" si="124">K31+K$6</f>
        <v>3013</v>
      </c>
      <c r="M31" s="14">
        <f t="shared" si="124"/>
        <v>3015</v>
      </c>
      <c r="N31" s="14">
        <f t="shared" ref="N31:X35" si="125">M31+M$6</f>
        <v>3017</v>
      </c>
      <c r="O31" s="14">
        <f t="shared" si="125"/>
        <v>3019</v>
      </c>
      <c r="P31" s="14">
        <f t="shared" si="125"/>
        <v>3021</v>
      </c>
      <c r="Q31" s="14">
        <f t="shared" si="125"/>
        <v>3023</v>
      </c>
      <c r="R31" s="14">
        <f t="shared" si="125"/>
        <v>3025</v>
      </c>
      <c r="S31" s="14">
        <f t="shared" si="125"/>
        <v>3027</v>
      </c>
      <c r="T31" s="14">
        <f t="shared" si="125"/>
        <v>3029</v>
      </c>
      <c r="U31" s="14">
        <f t="shared" si="125"/>
        <v>3031</v>
      </c>
      <c r="V31" s="14">
        <f t="shared" si="125"/>
        <v>3033</v>
      </c>
      <c r="W31" s="14">
        <f t="shared" si="125"/>
        <v>3035</v>
      </c>
      <c r="X31" s="14">
        <f t="shared" si="125"/>
        <v>3037</v>
      </c>
      <c r="Y31" s="14">
        <f t="shared" si="77"/>
        <v>3039</v>
      </c>
      <c r="Z31" s="14">
        <f t="shared" si="53"/>
        <v>3041</v>
      </c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</row>
    <row r="32" spans="1:68" hidden="1" x14ac:dyDescent="0.25">
      <c r="A32" s="3">
        <v>25</v>
      </c>
      <c r="B32" s="3" t="s">
        <v>326</v>
      </c>
      <c r="C32" s="3" t="s">
        <v>82</v>
      </c>
      <c r="D32" s="3" t="s">
        <v>280</v>
      </c>
      <c r="E32" s="14">
        <f t="shared" ref="E32:E66" si="126">E31+$E$2</f>
        <v>3200</v>
      </c>
      <c r="F32" s="14">
        <f t="shared" si="45"/>
        <v>3201</v>
      </c>
      <c r="G32" s="14">
        <f t="shared" si="120"/>
        <v>3203</v>
      </c>
      <c r="H32" s="14">
        <f t="shared" si="121"/>
        <v>3205</v>
      </c>
      <c r="I32" s="14">
        <f t="shared" ref="I32:J32" si="127">H32+H$6</f>
        <v>3207</v>
      </c>
      <c r="J32" s="14">
        <f t="shared" si="127"/>
        <v>3209</v>
      </c>
      <c r="K32" s="14">
        <f t="shared" si="123"/>
        <v>3211</v>
      </c>
      <c r="L32" s="14">
        <f t="shared" si="124"/>
        <v>3213</v>
      </c>
      <c r="M32" s="14">
        <f t="shared" si="124"/>
        <v>3215</v>
      </c>
      <c r="N32" s="14">
        <f t="shared" ref="N32:X32" si="128">M32+M$6</f>
        <v>3217</v>
      </c>
      <c r="O32" s="14">
        <f t="shared" si="128"/>
        <v>3219</v>
      </c>
      <c r="P32" s="14">
        <f t="shared" si="128"/>
        <v>3221</v>
      </c>
      <c r="Q32" s="14">
        <f t="shared" si="125"/>
        <v>3223</v>
      </c>
      <c r="R32" s="14">
        <f t="shared" si="125"/>
        <v>3225</v>
      </c>
      <c r="S32" s="14">
        <f t="shared" si="128"/>
        <v>3227</v>
      </c>
      <c r="T32" s="14">
        <f t="shared" si="128"/>
        <v>3229</v>
      </c>
      <c r="U32" s="14">
        <f t="shared" si="128"/>
        <v>3231</v>
      </c>
      <c r="V32" s="14">
        <f t="shared" si="128"/>
        <v>3233</v>
      </c>
      <c r="W32" s="14">
        <f t="shared" si="128"/>
        <v>3235</v>
      </c>
      <c r="X32" s="14">
        <f t="shared" si="128"/>
        <v>3237</v>
      </c>
      <c r="Y32" s="14">
        <f t="shared" si="77"/>
        <v>3239</v>
      </c>
      <c r="Z32" s="14">
        <f t="shared" si="53"/>
        <v>3241</v>
      </c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</row>
    <row r="33" spans="1:68" hidden="1" x14ac:dyDescent="0.25">
      <c r="A33" s="3">
        <v>26</v>
      </c>
      <c r="B33" s="3" t="s">
        <v>326</v>
      </c>
      <c r="C33" s="3" t="s">
        <v>83</v>
      </c>
      <c r="D33" s="3" t="s">
        <v>280</v>
      </c>
      <c r="E33" s="14">
        <f t="shared" si="126"/>
        <v>3400</v>
      </c>
      <c r="F33" s="14">
        <f t="shared" si="45"/>
        <v>3401</v>
      </c>
      <c r="G33" s="14">
        <f t="shared" si="120"/>
        <v>3403</v>
      </c>
      <c r="H33" s="14">
        <f t="shared" si="121"/>
        <v>3405</v>
      </c>
      <c r="I33" s="14">
        <f t="shared" ref="I33:J33" si="129">H33+H$6</f>
        <v>3407</v>
      </c>
      <c r="J33" s="14">
        <f t="shared" si="129"/>
        <v>3409</v>
      </c>
      <c r="K33" s="14">
        <f t="shared" si="123"/>
        <v>3411</v>
      </c>
      <c r="L33" s="14">
        <f t="shared" si="124"/>
        <v>3413</v>
      </c>
      <c r="M33" s="14">
        <f t="shared" si="124"/>
        <v>3415</v>
      </c>
      <c r="N33" s="14">
        <f t="shared" ref="N33:X33" si="130">M33+M$6</f>
        <v>3417</v>
      </c>
      <c r="O33" s="14">
        <f t="shared" si="130"/>
        <v>3419</v>
      </c>
      <c r="P33" s="14">
        <f t="shared" si="130"/>
        <v>3421</v>
      </c>
      <c r="Q33" s="14">
        <f t="shared" si="125"/>
        <v>3423</v>
      </c>
      <c r="R33" s="14">
        <f t="shared" si="125"/>
        <v>3425</v>
      </c>
      <c r="S33" s="14">
        <f t="shared" si="130"/>
        <v>3427</v>
      </c>
      <c r="T33" s="14">
        <f t="shared" si="130"/>
        <v>3429</v>
      </c>
      <c r="U33" s="14">
        <f t="shared" si="130"/>
        <v>3431</v>
      </c>
      <c r="V33" s="14">
        <f t="shared" si="130"/>
        <v>3433</v>
      </c>
      <c r="W33" s="14">
        <f t="shared" si="130"/>
        <v>3435</v>
      </c>
      <c r="X33" s="14">
        <f t="shared" si="130"/>
        <v>3437</v>
      </c>
      <c r="Y33" s="14">
        <f t="shared" si="77"/>
        <v>3439</v>
      </c>
      <c r="Z33" s="14">
        <f t="shared" si="53"/>
        <v>3441</v>
      </c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</row>
    <row r="34" spans="1:68" hidden="1" x14ac:dyDescent="0.25">
      <c r="A34" s="3">
        <v>27</v>
      </c>
      <c r="B34" s="3" t="s">
        <v>326</v>
      </c>
      <c r="C34" s="3" t="s">
        <v>84</v>
      </c>
      <c r="D34" s="3" t="s">
        <v>280</v>
      </c>
      <c r="E34" s="14">
        <f t="shared" si="126"/>
        <v>3600</v>
      </c>
      <c r="F34" s="14">
        <f t="shared" si="45"/>
        <v>3601</v>
      </c>
      <c r="G34" s="14">
        <f t="shared" si="120"/>
        <v>3603</v>
      </c>
      <c r="H34" s="14">
        <f t="shared" si="121"/>
        <v>3605</v>
      </c>
      <c r="I34" s="14">
        <f t="shared" ref="I34:J34" si="131">H34+H$6</f>
        <v>3607</v>
      </c>
      <c r="J34" s="14">
        <f t="shared" si="131"/>
        <v>3609</v>
      </c>
      <c r="K34" s="14">
        <f t="shared" si="123"/>
        <v>3611</v>
      </c>
      <c r="L34" s="14">
        <f t="shared" si="124"/>
        <v>3613</v>
      </c>
      <c r="M34" s="14">
        <f t="shared" si="124"/>
        <v>3615</v>
      </c>
      <c r="N34" s="14">
        <f t="shared" ref="N34:X34" si="132">M34+M$6</f>
        <v>3617</v>
      </c>
      <c r="O34" s="14">
        <f t="shared" si="132"/>
        <v>3619</v>
      </c>
      <c r="P34" s="14">
        <f t="shared" si="132"/>
        <v>3621</v>
      </c>
      <c r="Q34" s="14">
        <f t="shared" si="125"/>
        <v>3623</v>
      </c>
      <c r="R34" s="14">
        <f t="shared" si="125"/>
        <v>3625</v>
      </c>
      <c r="S34" s="14">
        <f t="shared" si="132"/>
        <v>3627</v>
      </c>
      <c r="T34" s="14">
        <f t="shared" si="132"/>
        <v>3629</v>
      </c>
      <c r="U34" s="14">
        <f t="shared" si="132"/>
        <v>3631</v>
      </c>
      <c r="V34" s="14">
        <f t="shared" si="132"/>
        <v>3633</v>
      </c>
      <c r="W34" s="14">
        <f t="shared" si="132"/>
        <v>3635</v>
      </c>
      <c r="X34" s="14">
        <f t="shared" si="132"/>
        <v>3637</v>
      </c>
      <c r="Y34" s="14">
        <f t="shared" si="77"/>
        <v>3639</v>
      </c>
      <c r="Z34" s="14">
        <f t="shared" si="53"/>
        <v>3641</v>
      </c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</row>
    <row r="35" spans="1:68" hidden="1" x14ac:dyDescent="0.25">
      <c r="A35" s="3">
        <v>28</v>
      </c>
      <c r="B35" s="3" t="s">
        <v>326</v>
      </c>
      <c r="C35" s="3" t="s">
        <v>85</v>
      </c>
      <c r="D35" s="3" t="s">
        <v>280</v>
      </c>
      <c r="E35" s="14">
        <f t="shared" si="126"/>
        <v>3800</v>
      </c>
      <c r="F35" s="14">
        <f t="shared" si="45"/>
        <v>3801</v>
      </c>
      <c r="G35" s="14">
        <f t="shared" si="120"/>
        <v>3803</v>
      </c>
      <c r="H35" s="14">
        <f t="shared" si="121"/>
        <v>3805</v>
      </c>
      <c r="I35" s="14">
        <f t="shared" ref="I35:J35" si="133">H35+H$6</f>
        <v>3807</v>
      </c>
      <c r="J35" s="14">
        <f t="shared" si="133"/>
        <v>3809</v>
      </c>
      <c r="K35" s="14">
        <f t="shared" si="123"/>
        <v>3811</v>
      </c>
      <c r="L35" s="14">
        <f t="shared" si="124"/>
        <v>3813</v>
      </c>
      <c r="M35" s="14">
        <f t="shared" si="124"/>
        <v>3815</v>
      </c>
      <c r="N35" s="14">
        <f t="shared" ref="N35:X35" si="134">M35+M$6</f>
        <v>3817</v>
      </c>
      <c r="O35" s="14">
        <f t="shared" si="134"/>
        <v>3819</v>
      </c>
      <c r="P35" s="14">
        <f t="shared" si="134"/>
        <v>3821</v>
      </c>
      <c r="Q35" s="14">
        <f t="shared" si="125"/>
        <v>3823</v>
      </c>
      <c r="R35" s="14">
        <f t="shared" si="125"/>
        <v>3825</v>
      </c>
      <c r="S35" s="14">
        <f t="shared" si="134"/>
        <v>3827</v>
      </c>
      <c r="T35" s="14">
        <f t="shared" si="134"/>
        <v>3829</v>
      </c>
      <c r="U35" s="14">
        <f t="shared" si="134"/>
        <v>3831</v>
      </c>
      <c r="V35" s="14">
        <f t="shared" si="134"/>
        <v>3833</v>
      </c>
      <c r="W35" s="14">
        <f t="shared" si="134"/>
        <v>3835</v>
      </c>
      <c r="X35" s="14">
        <f t="shared" si="134"/>
        <v>3837</v>
      </c>
      <c r="Y35" s="14">
        <f t="shared" si="77"/>
        <v>3839</v>
      </c>
      <c r="Z35" s="14">
        <f t="shared" si="53"/>
        <v>3841</v>
      </c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</row>
    <row r="36" spans="1:68" hidden="1" x14ac:dyDescent="0.25">
      <c r="A36" s="3">
        <v>29</v>
      </c>
      <c r="B36" s="3" t="s">
        <v>326</v>
      </c>
      <c r="C36" s="3" t="s">
        <v>226</v>
      </c>
      <c r="D36" s="3" t="s">
        <v>316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</row>
    <row r="37" spans="1:68" hidden="1" x14ac:dyDescent="0.25">
      <c r="A37" s="3">
        <v>30</v>
      </c>
      <c r="B37" s="3" t="s">
        <v>326</v>
      </c>
      <c r="C37" s="3" t="s">
        <v>86</v>
      </c>
      <c r="D37" s="3" t="s">
        <v>316</v>
      </c>
      <c r="E37" s="14">
        <f>E35+$E$2</f>
        <v>4000</v>
      </c>
      <c r="F37" s="14">
        <f t="shared" si="45"/>
        <v>4001</v>
      </c>
      <c r="G37" s="14">
        <f t="shared" ref="G37" si="135">F37+F$6</f>
        <v>4003</v>
      </c>
      <c r="H37" s="14">
        <f t="shared" ref="H37:J45" si="136">G37+G$6</f>
        <v>4005</v>
      </c>
      <c r="I37" s="14">
        <f t="shared" si="136"/>
        <v>4007</v>
      </c>
      <c r="J37" s="14">
        <f t="shared" si="136"/>
        <v>4009</v>
      </c>
      <c r="K37" s="14">
        <f t="shared" ref="K37" si="137">J37+J$6</f>
        <v>4011</v>
      </c>
      <c r="L37" s="14">
        <f t="shared" ref="L37" si="138">K37+K$6</f>
        <v>4013</v>
      </c>
      <c r="M37" s="14">
        <f t="shared" ref="M37" si="139">L37+L$6</f>
        <v>4015</v>
      </c>
      <c r="N37" s="14">
        <f t="shared" ref="N37:X45" si="140">M37+M$6</f>
        <v>4017</v>
      </c>
      <c r="O37" s="14">
        <f t="shared" si="140"/>
        <v>4019</v>
      </c>
      <c r="P37" s="14">
        <f t="shared" si="140"/>
        <v>4021</v>
      </c>
      <c r="Q37" s="14">
        <f t="shared" si="140"/>
        <v>4023</v>
      </c>
      <c r="R37" s="14">
        <f t="shared" si="140"/>
        <v>4025</v>
      </c>
      <c r="S37" s="14">
        <f t="shared" si="140"/>
        <v>4027</v>
      </c>
      <c r="T37" s="14">
        <f t="shared" si="140"/>
        <v>4029</v>
      </c>
      <c r="U37" s="14">
        <f t="shared" si="140"/>
        <v>4031</v>
      </c>
      <c r="V37" s="14">
        <f t="shared" si="140"/>
        <v>4033</v>
      </c>
      <c r="W37" s="14">
        <f t="shared" si="140"/>
        <v>4035</v>
      </c>
      <c r="X37" s="14">
        <f t="shared" si="140"/>
        <v>4037</v>
      </c>
      <c r="Y37" s="14">
        <f t="shared" si="77"/>
        <v>4039</v>
      </c>
      <c r="Z37" s="14">
        <f t="shared" si="53"/>
        <v>4041</v>
      </c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</row>
    <row r="38" spans="1:68" hidden="1" x14ac:dyDescent="0.25">
      <c r="A38" s="3">
        <v>31</v>
      </c>
      <c r="B38" s="3" t="s">
        <v>326</v>
      </c>
      <c r="C38" s="3" t="s">
        <v>87</v>
      </c>
      <c r="D38" s="3" t="s">
        <v>316</v>
      </c>
      <c r="E38" s="14">
        <f t="shared" si="126"/>
        <v>4200</v>
      </c>
      <c r="F38" s="14">
        <f t="shared" si="45"/>
        <v>4201</v>
      </c>
      <c r="G38" s="14">
        <f t="shared" ref="G38:G45" si="141">F38+F$6</f>
        <v>4203</v>
      </c>
      <c r="H38" s="14">
        <f t="shared" ref="H38:H45" si="142">G38+G$6</f>
        <v>4205</v>
      </c>
      <c r="I38" s="14">
        <f t="shared" si="136"/>
        <v>4207</v>
      </c>
      <c r="J38" s="14">
        <f t="shared" si="136"/>
        <v>4209</v>
      </c>
      <c r="K38" s="14">
        <f t="shared" ref="K38:K45" si="143">J38+J$6</f>
        <v>4211</v>
      </c>
      <c r="L38" s="14">
        <f t="shared" ref="L38:L45" si="144">K38+K$6</f>
        <v>4213</v>
      </c>
      <c r="M38" s="14">
        <f t="shared" ref="M38:M45" si="145">L38+L$6</f>
        <v>4215</v>
      </c>
      <c r="N38" s="14">
        <f t="shared" ref="N38:X38" si="146">M38+M$6</f>
        <v>4217</v>
      </c>
      <c r="O38" s="14">
        <f t="shared" si="146"/>
        <v>4219</v>
      </c>
      <c r="P38" s="14">
        <f t="shared" si="146"/>
        <v>4221</v>
      </c>
      <c r="Q38" s="14">
        <f t="shared" si="140"/>
        <v>4223</v>
      </c>
      <c r="R38" s="14">
        <f t="shared" si="140"/>
        <v>4225</v>
      </c>
      <c r="S38" s="14">
        <f t="shared" si="146"/>
        <v>4227</v>
      </c>
      <c r="T38" s="14">
        <f t="shared" si="146"/>
        <v>4229</v>
      </c>
      <c r="U38" s="14">
        <f t="shared" si="146"/>
        <v>4231</v>
      </c>
      <c r="V38" s="14">
        <f t="shared" si="146"/>
        <v>4233</v>
      </c>
      <c r="W38" s="14">
        <f t="shared" si="146"/>
        <v>4235</v>
      </c>
      <c r="X38" s="14">
        <f t="shared" si="146"/>
        <v>4237</v>
      </c>
      <c r="Y38" s="14">
        <f t="shared" si="77"/>
        <v>4239</v>
      </c>
      <c r="Z38" s="14">
        <f t="shared" si="53"/>
        <v>4241</v>
      </c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</row>
    <row r="39" spans="1:68" hidden="1" x14ac:dyDescent="0.25">
      <c r="A39" s="3">
        <v>32</v>
      </c>
      <c r="B39" s="3" t="s">
        <v>326</v>
      </c>
      <c r="C39" s="3" t="s">
        <v>88</v>
      </c>
      <c r="D39" s="3" t="s">
        <v>316</v>
      </c>
      <c r="E39" s="14">
        <f t="shared" si="126"/>
        <v>4400</v>
      </c>
      <c r="F39" s="14">
        <f t="shared" si="45"/>
        <v>4401</v>
      </c>
      <c r="G39" s="14">
        <f t="shared" si="141"/>
        <v>4403</v>
      </c>
      <c r="H39" s="14">
        <f t="shared" si="142"/>
        <v>4405</v>
      </c>
      <c r="I39" s="14">
        <f t="shared" si="136"/>
        <v>4407</v>
      </c>
      <c r="J39" s="14">
        <f t="shared" si="136"/>
        <v>4409</v>
      </c>
      <c r="K39" s="14">
        <f t="shared" si="143"/>
        <v>4411</v>
      </c>
      <c r="L39" s="14">
        <f t="shared" si="144"/>
        <v>4413</v>
      </c>
      <c r="M39" s="14">
        <f t="shared" si="145"/>
        <v>4415</v>
      </c>
      <c r="N39" s="14">
        <f t="shared" ref="N39:X39" si="147">M39+M$6</f>
        <v>4417</v>
      </c>
      <c r="O39" s="14">
        <f t="shared" si="147"/>
        <v>4419</v>
      </c>
      <c r="P39" s="14">
        <f t="shared" si="147"/>
        <v>4421</v>
      </c>
      <c r="Q39" s="14">
        <f t="shared" si="140"/>
        <v>4423</v>
      </c>
      <c r="R39" s="14">
        <f t="shared" si="140"/>
        <v>4425</v>
      </c>
      <c r="S39" s="14">
        <f t="shared" si="147"/>
        <v>4427</v>
      </c>
      <c r="T39" s="14">
        <f t="shared" si="147"/>
        <v>4429</v>
      </c>
      <c r="U39" s="14">
        <f t="shared" si="147"/>
        <v>4431</v>
      </c>
      <c r="V39" s="14">
        <f t="shared" si="147"/>
        <v>4433</v>
      </c>
      <c r="W39" s="14">
        <f t="shared" si="147"/>
        <v>4435</v>
      </c>
      <c r="X39" s="14">
        <f t="shared" si="147"/>
        <v>4437</v>
      </c>
      <c r="Y39" s="14">
        <f t="shared" si="77"/>
        <v>4439</v>
      </c>
      <c r="Z39" s="14">
        <f t="shared" si="53"/>
        <v>4441</v>
      </c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</row>
    <row r="40" spans="1:68" hidden="1" x14ac:dyDescent="0.25">
      <c r="A40" s="3">
        <v>33</v>
      </c>
      <c r="B40" s="3" t="s">
        <v>326</v>
      </c>
      <c r="C40" s="3" t="s">
        <v>89</v>
      </c>
      <c r="D40" s="3" t="s">
        <v>316</v>
      </c>
      <c r="E40" s="14">
        <f t="shared" si="126"/>
        <v>4600</v>
      </c>
      <c r="F40" s="14">
        <f t="shared" si="45"/>
        <v>4601</v>
      </c>
      <c r="G40" s="14">
        <f t="shared" si="141"/>
        <v>4603</v>
      </c>
      <c r="H40" s="14">
        <f t="shared" si="142"/>
        <v>4605</v>
      </c>
      <c r="I40" s="14">
        <f t="shared" si="136"/>
        <v>4607</v>
      </c>
      <c r="J40" s="14">
        <f t="shared" si="136"/>
        <v>4609</v>
      </c>
      <c r="K40" s="14">
        <f t="shared" si="143"/>
        <v>4611</v>
      </c>
      <c r="L40" s="14">
        <f t="shared" si="144"/>
        <v>4613</v>
      </c>
      <c r="M40" s="14">
        <f t="shared" si="145"/>
        <v>4615</v>
      </c>
      <c r="N40" s="14">
        <f t="shared" ref="N40:X40" si="148">M40+M$6</f>
        <v>4617</v>
      </c>
      <c r="O40" s="14">
        <f t="shared" si="148"/>
        <v>4619</v>
      </c>
      <c r="P40" s="14">
        <f t="shared" si="148"/>
        <v>4621</v>
      </c>
      <c r="Q40" s="14">
        <f t="shared" si="140"/>
        <v>4623</v>
      </c>
      <c r="R40" s="14">
        <f t="shared" si="140"/>
        <v>4625</v>
      </c>
      <c r="S40" s="14">
        <f t="shared" si="148"/>
        <v>4627</v>
      </c>
      <c r="T40" s="14">
        <f t="shared" si="148"/>
        <v>4629</v>
      </c>
      <c r="U40" s="14">
        <f t="shared" si="148"/>
        <v>4631</v>
      </c>
      <c r="V40" s="14">
        <f t="shared" si="148"/>
        <v>4633</v>
      </c>
      <c r="W40" s="14">
        <f t="shared" si="148"/>
        <v>4635</v>
      </c>
      <c r="X40" s="14">
        <f t="shared" si="148"/>
        <v>4637</v>
      </c>
      <c r="Y40" s="14">
        <f t="shared" si="77"/>
        <v>4639</v>
      </c>
      <c r="Z40" s="14">
        <f t="shared" si="53"/>
        <v>4641</v>
      </c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</row>
    <row r="41" spans="1:68" hidden="1" x14ac:dyDescent="0.25">
      <c r="A41" s="3">
        <v>34</v>
      </c>
      <c r="B41" s="3" t="s">
        <v>326</v>
      </c>
      <c r="C41" s="3" t="s">
        <v>90</v>
      </c>
      <c r="D41" s="3" t="s">
        <v>316</v>
      </c>
      <c r="E41" s="14">
        <f t="shared" si="126"/>
        <v>4800</v>
      </c>
      <c r="F41" s="14">
        <f t="shared" si="45"/>
        <v>4801</v>
      </c>
      <c r="G41" s="14">
        <f t="shared" si="141"/>
        <v>4803</v>
      </c>
      <c r="H41" s="14">
        <f t="shared" si="142"/>
        <v>4805</v>
      </c>
      <c r="I41" s="14">
        <f t="shared" si="136"/>
        <v>4807</v>
      </c>
      <c r="J41" s="14">
        <f t="shared" si="136"/>
        <v>4809</v>
      </c>
      <c r="K41" s="14">
        <f t="shared" si="143"/>
        <v>4811</v>
      </c>
      <c r="L41" s="14">
        <f t="shared" si="144"/>
        <v>4813</v>
      </c>
      <c r="M41" s="14">
        <f t="shared" si="145"/>
        <v>4815</v>
      </c>
      <c r="N41" s="14">
        <f t="shared" ref="N41:Y66" si="149">M41+M$6</f>
        <v>4817</v>
      </c>
      <c r="O41" s="14">
        <f t="shared" si="149"/>
        <v>4819</v>
      </c>
      <c r="P41" s="14">
        <f t="shared" si="149"/>
        <v>4821</v>
      </c>
      <c r="Q41" s="14">
        <f t="shared" si="140"/>
        <v>4823</v>
      </c>
      <c r="R41" s="14">
        <f t="shared" si="140"/>
        <v>4825</v>
      </c>
      <c r="S41" s="14">
        <f t="shared" si="149"/>
        <v>4827</v>
      </c>
      <c r="T41" s="14">
        <f t="shared" si="149"/>
        <v>4829</v>
      </c>
      <c r="U41" s="14">
        <f t="shared" si="149"/>
        <v>4831</v>
      </c>
      <c r="V41" s="14">
        <f t="shared" si="149"/>
        <v>4833</v>
      </c>
      <c r="W41" s="14">
        <f t="shared" si="149"/>
        <v>4835</v>
      </c>
      <c r="X41" s="14">
        <f t="shared" si="149"/>
        <v>4837</v>
      </c>
      <c r="Y41" s="14">
        <f t="shared" si="149"/>
        <v>4839</v>
      </c>
      <c r="Z41" s="14">
        <f t="shared" si="53"/>
        <v>4841</v>
      </c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</row>
    <row r="42" spans="1:68" hidden="1" x14ac:dyDescent="0.25">
      <c r="A42" s="3">
        <v>35</v>
      </c>
      <c r="B42" s="3" t="s">
        <v>326</v>
      </c>
      <c r="C42" s="3" t="s">
        <v>91</v>
      </c>
      <c r="D42" s="3" t="s">
        <v>316</v>
      </c>
      <c r="E42" s="14">
        <f t="shared" si="126"/>
        <v>5000</v>
      </c>
      <c r="F42" s="14">
        <f t="shared" si="45"/>
        <v>5001</v>
      </c>
      <c r="G42" s="14">
        <f t="shared" si="141"/>
        <v>5003</v>
      </c>
      <c r="H42" s="14">
        <f t="shared" si="142"/>
        <v>5005</v>
      </c>
      <c r="I42" s="14">
        <f t="shared" si="136"/>
        <v>5007</v>
      </c>
      <c r="J42" s="14">
        <f t="shared" si="136"/>
        <v>5009</v>
      </c>
      <c r="K42" s="14">
        <f t="shared" si="143"/>
        <v>5011</v>
      </c>
      <c r="L42" s="14">
        <f t="shared" si="144"/>
        <v>5013</v>
      </c>
      <c r="M42" s="14">
        <f t="shared" si="145"/>
        <v>5015</v>
      </c>
      <c r="N42" s="14">
        <f t="shared" ref="N42:X42" si="150">M42+M$6</f>
        <v>5017</v>
      </c>
      <c r="O42" s="14">
        <f t="shared" si="150"/>
        <v>5019</v>
      </c>
      <c r="P42" s="14">
        <f t="shared" si="150"/>
        <v>5021</v>
      </c>
      <c r="Q42" s="14">
        <f t="shared" si="140"/>
        <v>5023</v>
      </c>
      <c r="R42" s="14">
        <f t="shared" si="140"/>
        <v>5025</v>
      </c>
      <c r="S42" s="14">
        <f t="shared" si="150"/>
        <v>5027</v>
      </c>
      <c r="T42" s="14">
        <f t="shared" si="150"/>
        <v>5029</v>
      </c>
      <c r="U42" s="14">
        <f t="shared" si="150"/>
        <v>5031</v>
      </c>
      <c r="V42" s="14">
        <f t="shared" si="150"/>
        <v>5033</v>
      </c>
      <c r="W42" s="14">
        <f t="shared" si="150"/>
        <v>5035</v>
      </c>
      <c r="X42" s="14">
        <f t="shared" si="150"/>
        <v>5037</v>
      </c>
      <c r="Y42" s="14">
        <f t="shared" si="149"/>
        <v>5039</v>
      </c>
      <c r="Z42" s="14">
        <f t="shared" si="53"/>
        <v>5041</v>
      </c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</row>
    <row r="43" spans="1:68" hidden="1" x14ac:dyDescent="0.25">
      <c r="A43" s="3">
        <v>36</v>
      </c>
      <c r="B43" s="3" t="s">
        <v>326</v>
      </c>
      <c r="C43" s="3" t="s">
        <v>92</v>
      </c>
      <c r="D43" s="3" t="s">
        <v>316</v>
      </c>
      <c r="E43" s="14">
        <f t="shared" si="126"/>
        <v>5200</v>
      </c>
      <c r="F43" s="14">
        <f t="shared" si="45"/>
        <v>5201</v>
      </c>
      <c r="G43" s="14">
        <f t="shared" si="141"/>
        <v>5203</v>
      </c>
      <c r="H43" s="14">
        <f t="shared" si="142"/>
        <v>5205</v>
      </c>
      <c r="I43" s="14">
        <f t="shared" si="136"/>
        <v>5207</v>
      </c>
      <c r="J43" s="14">
        <f t="shared" si="136"/>
        <v>5209</v>
      </c>
      <c r="K43" s="14">
        <f t="shared" si="143"/>
        <v>5211</v>
      </c>
      <c r="L43" s="14">
        <f t="shared" si="144"/>
        <v>5213</v>
      </c>
      <c r="M43" s="14">
        <f t="shared" si="145"/>
        <v>5215</v>
      </c>
      <c r="N43" s="14">
        <f t="shared" ref="N43:X43" si="151">M43+M$6</f>
        <v>5217</v>
      </c>
      <c r="O43" s="14">
        <f t="shared" si="151"/>
        <v>5219</v>
      </c>
      <c r="P43" s="14">
        <f t="shared" si="151"/>
        <v>5221</v>
      </c>
      <c r="Q43" s="14">
        <f t="shared" si="140"/>
        <v>5223</v>
      </c>
      <c r="R43" s="14">
        <f t="shared" si="140"/>
        <v>5225</v>
      </c>
      <c r="S43" s="14">
        <f t="shared" si="151"/>
        <v>5227</v>
      </c>
      <c r="T43" s="14">
        <f t="shared" si="151"/>
        <v>5229</v>
      </c>
      <c r="U43" s="14">
        <f t="shared" si="151"/>
        <v>5231</v>
      </c>
      <c r="V43" s="14">
        <f t="shared" si="151"/>
        <v>5233</v>
      </c>
      <c r="W43" s="14">
        <f t="shared" si="151"/>
        <v>5235</v>
      </c>
      <c r="X43" s="14">
        <f t="shared" si="151"/>
        <v>5237</v>
      </c>
      <c r="Y43" s="14">
        <f t="shared" si="149"/>
        <v>5239</v>
      </c>
      <c r="Z43" s="14">
        <f t="shared" si="53"/>
        <v>5241</v>
      </c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</row>
    <row r="44" spans="1:68" hidden="1" x14ac:dyDescent="0.25">
      <c r="A44" s="3">
        <v>37</v>
      </c>
      <c r="B44" s="3" t="s">
        <v>326</v>
      </c>
      <c r="C44" s="3" t="s">
        <v>93</v>
      </c>
      <c r="D44" s="3" t="s">
        <v>316</v>
      </c>
      <c r="E44" s="14">
        <f t="shared" si="126"/>
        <v>5400</v>
      </c>
      <c r="F44" s="14">
        <f t="shared" si="45"/>
        <v>5401</v>
      </c>
      <c r="G44" s="14">
        <f t="shared" si="141"/>
        <v>5403</v>
      </c>
      <c r="H44" s="14">
        <f t="shared" si="142"/>
        <v>5405</v>
      </c>
      <c r="I44" s="14">
        <f t="shared" si="136"/>
        <v>5407</v>
      </c>
      <c r="J44" s="14">
        <f t="shared" si="136"/>
        <v>5409</v>
      </c>
      <c r="K44" s="14">
        <f t="shared" si="143"/>
        <v>5411</v>
      </c>
      <c r="L44" s="14">
        <f t="shared" si="144"/>
        <v>5413</v>
      </c>
      <c r="M44" s="14">
        <f t="shared" si="145"/>
        <v>5415</v>
      </c>
      <c r="N44" s="14">
        <f t="shared" ref="N44:X44" si="152">M44+M$6</f>
        <v>5417</v>
      </c>
      <c r="O44" s="14">
        <f t="shared" si="152"/>
        <v>5419</v>
      </c>
      <c r="P44" s="14">
        <f t="shared" si="152"/>
        <v>5421</v>
      </c>
      <c r="Q44" s="14">
        <f t="shared" si="140"/>
        <v>5423</v>
      </c>
      <c r="R44" s="14">
        <f t="shared" si="140"/>
        <v>5425</v>
      </c>
      <c r="S44" s="14">
        <f t="shared" si="152"/>
        <v>5427</v>
      </c>
      <c r="T44" s="14">
        <f t="shared" si="152"/>
        <v>5429</v>
      </c>
      <c r="U44" s="14">
        <f t="shared" si="152"/>
        <v>5431</v>
      </c>
      <c r="V44" s="14">
        <f t="shared" si="152"/>
        <v>5433</v>
      </c>
      <c r="W44" s="14">
        <f t="shared" si="152"/>
        <v>5435</v>
      </c>
      <c r="X44" s="14">
        <f t="shared" si="152"/>
        <v>5437</v>
      </c>
      <c r="Y44" s="14">
        <f t="shared" si="149"/>
        <v>5439</v>
      </c>
      <c r="Z44" s="14">
        <f t="shared" si="53"/>
        <v>5441</v>
      </c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</row>
    <row r="45" spans="1:68" hidden="1" x14ac:dyDescent="0.25">
      <c r="A45" s="3">
        <v>38</v>
      </c>
      <c r="B45" s="3" t="s">
        <v>326</v>
      </c>
      <c r="C45" s="3" t="s">
        <v>94</v>
      </c>
      <c r="D45" s="3" t="s">
        <v>316</v>
      </c>
      <c r="E45" s="14">
        <f t="shared" si="126"/>
        <v>5600</v>
      </c>
      <c r="F45" s="14">
        <f t="shared" si="45"/>
        <v>5601</v>
      </c>
      <c r="G45" s="14">
        <f t="shared" si="141"/>
        <v>5603</v>
      </c>
      <c r="H45" s="14">
        <f t="shared" si="142"/>
        <v>5605</v>
      </c>
      <c r="I45" s="14">
        <f t="shared" si="136"/>
        <v>5607</v>
      </c>
      <c r="J45" s="14">
        <f t="shared" si="136"/>
        <v>5609</v>
      </c>
      <c r="K45" s="14">
        <f t="shared" si="143"/>
        <v>5611</v>
      </c>
      <c r="L45" s="14">
        <f t="shared" si="144"/>
        <v>5613</v>
      </c>
      <c r="M45" s="14">
        <f t="shared" si="145"/>
        <v>5615</v>
      </c>
      <c r="N45" s="14">
        <f t="shared" ref="N45:X45" si="153">M45+M$6</f>
        <v>5617</v>
      </c>
      <c r="O45" s="14">
        <f t="shared" si="153"/>
        <v>5619</v>
      </c>
      <c r="P45" s="14">
        <f t="shared" si="153"/>
        <v>5621</v>
      </c>
      <c r="Q45" s="14">
        <f t="shared" si="140"/>
        <v>5623</v>
      </c>
      <c r="R45" s="14">
        <f t="shared" si="140"/>
        <v>5625</v>
      </c>
      <c r="S45" s="14">
        <f t="shared" si="153"/>
        <v>5627</v>
      </c>
      <c r="T45" s="14">
        <f t="shared" si="153"/>
        <v>5629</v>
      </c>
      <c r="U45" s="14">
        <f t="shared" si="153"/>
        <v>5631</v>
      </c>
      <c r="V45" s="14">
        <f t="shared" si="153"/>
        <v>5633</v>
      </c>
      <c r="W45" s="14">
        <f t="shared" si="153"/>
        <v>5635</v>
      </c>
      <c r="X45" s="14">
        <f t="shared" si="153"/>
        <v>5637</v>
      </c>
      <c r="Y45" s="14">
        <f t="shared" si="149"/>
        <v>5639</v>
      </c>
      <c r="Z45" s="14">
        <f t="shared" si="53"/>
        <v>5641</v>
      </c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</row>
    <row r="46" spans="1:68" hidden="1" x14ac:dyDescent="0.25">
      <c r="A46" s="3">
        <v>29</v>
      </c>
      <c r="B46" s="3" t="s">
        <v>326</v>
      </c>
      <c r="C46" s="6" t="s">
        <v>227</v>
      </c>
      <c r="D46" s="6" t="s">
        <v>317</v>
      </c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</row>
    <row r="47" spans="1:68" hidden="1" x14ac:dyDescent="0.25">
      <c r="A47" s="3">
        <v>30</v>
      </c>
      <c r="B47" s="3" t="s">
        <v>326</v>
      </c>
      <c r="C47" s="6" t="s">
        <v>552</v>
      </c>
      <c r="D47" s="6" t="s">
        <v>317</v>
      </c>
      <c r="E47" s="17">
        <f>E45+$E$2</f>
        <v>5800</v>
      </c>
      <c r="F47" s="14">
        <f t="shared" ref="F47:F55" si="154">E47+1</f>
        <v>5801</v>
      </c>
      <c r="G47" s="14">
        <f t="shared" ref="G47:G55" si="155">F47+F$6</f>
        <v>5803</v>
      </c>
      <c r="H47" s="14">
        <f t="shared" ref="H47:H55" si="156">G47+G$6</f>
        <v>5805</v>
      </c>
      <c r="I47" s="14">
        <f t="shared" ref="I47:I55" si="157">H47+H$6</f>
        <v>5807</v>
      </c>
      <c r="J47" s="14">
        <f t="shared" ref="J47:J55" si="158">I47+I$6</f>
        <v>5809</v>
      </c>
      <c r="K47" s="14">
        <f t="shared" ref="K47:K55" si="159">J47+J$6</f>
        <v>5811</v>
      </c>
      <c r="L47" s="14">
        <f t="shared" ref="L47:L55" si="160">K47+K$6</f>
        <v>5813</v>
      </c>
      <c r="M47" s="14">
        <f t="shared" ref="M47:M55" si="161">L47+L$6</f>
        <v>5815</v>
      </c>
      <c r="N47" s="14">
        <f t="shared" ref="N47:N55" si="162">M47+M$6</f>
        <v>5817</v>
      </c>
      <c r="O47" s="14">
        <f t="shared" ref="O47:O55" si="163">N47+N$6</f>
        <v>5819</v>
      </c>
      <c r="P47" s="14">
        <f t="shared" ref="P47:P55" si="164">O47+O$6</f>
        <v>5821</v>
      </c>
      <c r="Q47" s="14">
        <f t="shared" ref="Q47:Q55" si="165">P47+P$6</f>
        <v>5823</v>
      </c>
      <c r="R47" s="14">
        <f t="shared" ref="R47:R55" si="166">Q47+Q$6</f>
        <v>5825</v>
      </c>
      <c r="S47" s="14">
        <f t="shared" ref="S47:S55" si="167">R47+R$6</f>
        <v>5827</v>
      </c>
      <c r="T47" s="14">
        <f t="shared" ref="T47:T55" si="168">S47+S$6</f>
        <v>5829</v>
      </c>
      <c r="U47" s="14">
        <f t="shared" ref="U47:U55" si="169">T47+T$6</f>
        <v>5831</v>
      </c>
      <c r="V47" s="14">
        <f t="shared" ref="V47:V55" si="170">U47+U$6</f>
        <v>5833</v>
      </c>
      <c r="W47" s="14">
        <f t="shared" ref="W47:W55" si="171">V47+V$6</f>
        <v>5835</v>
      </c>
      <c r="X47" s="14">
        <f t="shared" ref="X47:X55" si="172">W47+W$6</f>
        <v>5837</v>
      </c>
      <c r="Y47" s="14">
        <f t="shared" ref="Y47:Y55" si="173">X47+X$6</f>
        <v>5839</v>
      </c>
      <c r="Z47" s="14">
        <f t="shared" ref="Z47:Z55" si="174">Y47+Y$6</f>
        <v>5841</v>
      </c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</row>
    <row r="48" spans="1:68" hidden="1" x14ac:dyDescent="0.25">
      <c r="A48" s="3">
        <v>31</v>
      </c>
      <c r="B48" s="3" t="s">
        <v>326</v>
      </c>
      <c r="C48" s="6" t="s">
        <v>96</v>
      </c>
      <c r="D48" s="6" t="s">
        <v>317</v>
      </c>
      <c r="E48" s="17">
        <f t="shared" si="126"/>
        <v>6000</v>
      </c>
      <c r="F48" s="14">
        <f t="shared" si="154"/>
        <v>6001</v>
      </c>
      <c r="G48" s="14">
        <f t="shared" si="155"/>
        <v>6003</v>
      </c>
      <c r="H48" s="14">
        <f t="shared" si="156"/>
        <v>6005</v>
      </c>
      <c r="I48" s="14">
        <f t="shared" si="157"/>
        <v>6007</v>
      </c>
      <c r="J48" s="14">
        <f t="shared" si="158"/>
        <v>6009</v>
      </c>
      <c r="K48" s="14">
        <f t="shared" si="159"/>
        <v>6011</v>
      </c>
      <c r="L48" s="14">
        <f t="shared" si="160"/>
        <v>6013</v>
      </c>
      <c r="M48" s="14">
        <f t="shared" si="161"/>
        <v>6015</v>
      </c>
      <c r="N48" s="14">
        <f t="shared" si="162"/>
        <v>6017</v>
      </c>
      <c r="O48" s="14">
        <f t="shared" si="163"/>
        <v>6019</v>
      </c>
      <c r="P48" s="14">
        <f t="shared" si="164"/>
        <v>6021</v>
      </c>
      <c r="Q48" s="14">
        <f t="shared" si="165"/>
        <v>6023</v>
      </c>
      <c r="R48" s="14">
        <f t="shared" si="166"/>
        <v>6025</v>
      </c>
      <c r="S48" s="14">
        <f t="shared" si="167"/>
        <v>6027</v>
      </c>
      <c r="T48" s="14">
        <f t="shared" si="168"/>
        <v>6029</v>
      </c>
      <c r="U48" s="14">
        <f t="shared" si="169"/>
        <v>6031</v>
      </c>
      <c r="V48" s="14">
        <f t="shared" si="170"/>
        <v>6033</v>
      </c>
      <c r="W48" s="14">
        <f t="shared" si="171"/>
        <v>6035</v>
      </c>
      <c r="X48" s="14">
        <f t="shared" si="172"/>
        <v>6037</v>
      </c>
      <c r="Y48" s="14">
        <f t="shared" si="173"/>
        <v>6039</v>
      </c>
      <c r="Z48" s="14">
        <f t="shared" si="174"/>
        <v>6041</v>
      </c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</row>
    <row r="49" spans="1:68" hidden="1" x14ac:dyDescent="0.25">
      <c r="A49" s="3">
        <v>32</v>
      </c>
      <c r="B49" s="3" t="s">
        <v>326</v>
      </c>
      <c r="C49" s="6" t="s">
        <v>97</v>
      </c>
      <c r="D49" s="6" t="s">
        <v>317</v>
      </c>
      <c r="E49" s="17">
        <f t="shared" si="126"/>
        <v>6200</v>
      </c>
      <c r="F49" s="14">
        <f t="shared" si="154"/>
        <v>6201</v>
      </c>
      <c r="G49" s="14">
        <f t="shared" si="155"/>
        <v>6203</v>
      </c>
      <c r="H49" s="14">
        <f t="shared" si="156"/>
        <v>6205</v>
      </c>
      <c r="I49" s="14">
        <f t="shared" si="157"/>
        <v>6207</v>
      </c>
      <c r="J49" s="14">
        <f t="shared" si="158"/>
        <v>6209</v>
      </c>
      <c r="K49" s="14">
        <f t="shared" si="159"/>
        <v>6211</v>
      </c>
      <c r="L49" s="14">
        <f t="shared" si="160"/>
        <v>6213</v>
      </c>
      <c r="M49" s="14">
        <f t="shared" si="161"/>
        <v>6215</v>
      </c>
      <c r="N49" s="14">
        <f t="shared" si="162"/>
        <v>6217</v>
      </c>
      <c r="O49" s="14">
        <f t="shared" si="163"/>
        <v>6219</v>
      </c>
      <c r="P49" s="14">
        <f t="shared" si="164"/>
        <v>6221</v>
      </c>
      <c r="Q49" s="14">
        <f t="shared" si="165"/>
        <v>6223</v>
      </c>
      <c r="R49" s="14">
        <f t="shared" si="166"/>
        <v>6225</v>
      </c>
      <c r="S49" s="14">
        <f t="shared" si="167"/>
        <v>6227</v>
      </c>
      <c r="T49" s="14">
        <f t="shared" si="168"/>
        <v>6229</v>
      </c>
      <c r="U49" s="14">
        <f t="shared" si="169"/>
        <v>6231</v>
      </c>
      <c r="V49" s="14">
        <f t="shared" si="170"/>
        <v>6233</v>
      </c>
      <c r="W49" s="14">
        <f t="shared" si="171"/>
        <v>6235</v>
      </c>
      <c r="X49" s="14">
        <f t="shared" si="172"/>
        <v>6237</v>
      </c>
      <c r="Y49" s="14">
        <f t="shared" si="173"/>
        <v>6239</v>
      </c>
      <c r="Z49" s="14">
        <f t="shared" si="174"/>
        <v>6241</v>
      </c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</row>
    <row r="50" spans="1:68" hidden="1" x14ac:dyDescent="0.25">
      <c r="A50" s="3">
        <v>33</v>
      </c>
      <c r="B50" s="3" t="s">
        <v>326</v>
      </c>
      <c r="C50" s="6" t="s">
        <v>98</v>
      </c>
      <c r="D50" s="6" t="s">
        <v>317</v>
      </c>
      <c r="E50" s="17">
        <f t="shared" si="126"/>
        <v>6400</v>
      </c>
      <c r="F50" s="14">
        <f t="shared" si="154"/>
        <v>6401</v>
      </c>
      <c r="G50" s="14">
        <f t="shared" si="155"/>
        <v>6403</v>
      </c>
      <c r="H50" s="14">
        <f t="shared" si="156"/>
        <v>6405</v>
      </c>
      <c r="I50" s="14">
        <f t="shared" si="157"/>
        <v>6407</v>
      </c>
      <c r="J50" s="14">
        <f t="shared" si="158"/>
        <v>6409</v>
      </c>
      <c r="K50" s="14">
        <f t="shared" si="159"/>
        <v>6411</v>
      </c>
      <c r="L50" s="14">
        <f t="shared" si="160"/>
        <v>6413</v>
      </c>
      <c r="M50" s="14">
        <f t="shared" si="161"/>
        <v>6415</v>
      </c>
      <c r="N50" s="14">
        <f t="shared" si="162"/>
        <v>6417</v>
      </c>
      <c r="O50" s="14">
        <f t="shared" si="163"/>
        <v>6419</v>
      </c>
      <c r="P50" s="14">
        <f t="shared" si="164"/>
        <v>6421</v>
      </c>
      <c r="Q50" s="14">
        <f t="shared" si="165"/>
        <v>6423</v>
      </c>
      <c r="R50" s="14">
        <f t="shared" si="166"/>
        <v>6425</v>
      </c>
      <c r="S50" s="14">
        <f t="shared" si="167"/>
        <v>6427</v>
      </c>
      <c r="T50" s="14">
        <f t="shared" si="168"/>
        <v>6429</v>
      </c>
      <c r="U50" s="14">
        <f t="shared" si="169"/>
        <v>6431</v>
      </c>
      <c r="V50" s="14">
        <f t="shared" si="170"/>
        <v>6433</v>
      </c>
      <c r="W50" s="14">
        <f t="shared" si="171"/>
        <v>6435</v>
      </c>
      <c r="X50" s="14">
        <f t="shared" si="172"/>
        <v>6437</v>
      </c>
      <c r="Y50" s="14">
        <f t="shared" si="173"/>
        <v>6439</v>
      </c>
      <c r="Z50" s="14">
        <f t="shared" si="174"/>
        <v>6441</v>
      </c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</row>
    <row r="51" spans="1:68" hidden="1" x14ac:dyDescent="0.25">
      <c r="A51" s="3">
        <v>34</v>
      </c>
      <c r="B51" s="3" t="s">
        <v>326</v>
      </c>
      <c r="C51" s="6" t="s">
        <v>99</v>
      </c>
      <c r="D51" s="6" t="s">
        <v>317</v>
      </c>
      <c r="E51" s="17">
        <f t="shared" si="126"/>
        <v>6600</v>
      </c>
      <c r="F51" s="14">
        <f t="shared" si="154"/>
        <v>6601</v>
      </c>
      <c r="G51" s="14">
        <f t="shared" si="155"/>
        <v>6603</v>
      </c>
      <c r="H51" s="14">
        <f t="shared" si="156"/>
        <v>6605</v>
      </c>
      <c r="I51" s="14">
        <f t="shared" si="157"/>
        <v>6607</v>
      </c>
      <c r="J51" s="14">
        <f t="shared" si="158"/>
        <v>6609</v>
      </c>
      <c r="K51" s="14">
        <f t="shared" si="159"/>
        <v>6611</v>
      </c>
      <c r="L51" s="14">
        <f t="shared" si="160"/>
        <v>6613</v>
      </c>
      <c r="M51" s="14">
        <f t="shared" si="161"/>
        <v>6615</v>
      </c>
      <c r="N51" s="14">
        <f t="shared" si="162"/>
        <v>6617</v>
      </c>
      <c r="O51" s="14">
        <f t="shared" si="163"/>
        <v>6619</v>
      </c>
      <c r="P51" s="14">
        <f t="shared" si="164"/>
        <v>6621</v>
      </c>
      <c r="Q51" s="14">
        <f t="shared" si="165"/>
        <v>6623</v>
      </c>
      <c r="R51" s="14">
        <f t="shared" si="166"/>
        <v>6625</v>
      </c>
      <c r="S51" s="14">
        <f t="shared" si="167"/>
        <v>6627</v>
      </c>
      <c r="T51" s="14">
        <f t="shared" si="168"/>
        <v>6629</v>
      </c>
      <c r="U51" s="14">
        <f t="shared" si="169"/>
        <v>6631</v>
      </c>
      <c r="V51" s="14">
        <f t="shared" si="170"/>
        <v>6633</v>
      </c>
      <c r="W51" s="14">
        <f t="shared" si="171"/>
        <v>6635</v>
      </c>
      <c r="X51" s="14">
        <f t="shared" si="172"/>
        <v>6637</v>
      </c>
      <c r="Y51" s="14">
        <f t="shared" si="173"/>
        <v>6639</v>
      </c>
      <c r="Z51" s="14">
        <f t="shared" si="174"/>
        <v>6641</v>
      </c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</row>
    <row r="52" spans="1:68" hidden="1" x14ac:dyDescent="0.25">
      <c r="A52" s="3">
        <v>35</v>
      </c>
      <c r="B52" s="3" t="s">
        <v>326</v>
      </c>
      <c r="C52" s="6" t="s">
        <v>100</v>
      </c>
      <c r="D52" s="6" t="s">
        <v>317</v>
      </c>
      <c r="E52" s="17">
        <f t="shared" si="126"/>
        <v>6800</v>
      </c>
      <c r="F52" s="14">
        <f t="shared" si="154"/>
        <v>6801</v>
      </c>
      <c r="G52" s="14">
        <f t="shared" si="155"/>
        <v>6803</v>
      </c>
      <c r="H52" s="14">
        <f t="shared" si="156"/>
        <v>6805</v>
      </c>
      <c r="I52" s="14">
        <f t="shared" si="157"/>
        <v>6807</v>
      </c>
      <c r="J52" s="14">
        <f t="shared" si="158"/>
        <v>6809</v>
      </c>
      <c r="K52" s="14">
        <f t="shared" si="159"/>
        <v>6811</v>
      </c>
      <c r="L52" s="14">
        <f t="shared" si="160"/>
        <v>6813</v>
      </c>
      <c r="M52" s="14">
        <f t="shared" si="161"/>
        <v>6815</v>
      </c>
      <c r="N52" s="14">
        <f t="shared" si="162"/>
        <v>6817</v>
      </c>
      <c r="O52" s="14">
        <f t="shared" si="163"/>
        <v>6819</v>
      </c>
      <c r="P52" s="14">
        <f t="shared" si="164"/>
        <v>6821</v>
      </c>
      <c r="Q52" s="14">
        <f t="shared" si="165"/>
        <v>6823</v>
      </c>
      <c r="R52" s="14">
        <f t="shared" si="166"/>
        <v>6825</v>
      </c>
      <c r="S52" s="14">
        <f t="shared" si="167"/>
        <v>6827</v>
      </c>
      <c r="T52" s="14">
        <f t="shared" si="168"/>
        <v>6829</v>
      </c>
      <c r="U52" s="14">
        <f t="shared" si="169"/>
        <v>6831</v>
      </c>
      <c r="V52" s="14">
        <f t="shared" si="170"/>
        <v>6833</v>
      </c>
      <c r="W52" s="14">
        <f t="shared" si="171"/>
        <v>6835</v>
      </c>
      <c r="X52" s="14">
        <f t="shared" si="172"/>
        <v>6837</v>
      </c>
      <c r="Y52" s="14">
        <f t="shared" si="173"/>
        <v>6839</v>
      </c>
      <c r="Z52" s="14">
        <f t="shared" si="174"/>
        <v>6841</v>
      </c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</row>
    <row r="53" spans="1:68" hidden="1" x14ac:dyDescent="0.25">
      <c r="A53" s="3">
        <v>36</v>
      </c>
      <c r="B53" s="3" t="s">
        <v>326</v>
      </c>
      <c r="C53" s="6" t="s">
        <v>101</v>
      </c>
      <c r="D53" s="6" t="s">
        <v>317</v>
      </c>
      <c r="E53" s="17">
        <f t="shared" si="126"/>
        <v>7000</v>
      </c>
      <c r="F53" s="14">
        <f t="shared" si="154"/>
        <v>7001</v>
      </c>
      <c r="G53" s="14">
        <f t="shared" si="155"/>
        <v>7003</v>
      </c>
      <c r="H53" s="14">
        <f t="shared" si="156"/>
        <v>7005</v>
      </c>
      <c r="I53" s="14">
        <f t="shared" si="157"/>
        <v>7007</v>
      </c>
      <c r="J53" s="14">
        <f t="shared" si="158"/>
        <v>7009</v>
      </c>
      <c r="K53" s="14">
        <f t="shared" si="159"/>
        <v>7011</v>
      </c>
      <c r="L53" s="14">
        <f t="shared" si="160"/>
        <v>7013</v>
      </c>
      <c r="M53" s="14">
        <f t="shared" si="161"/>
        <v>7015</v>
      </c>
      <c r="N53" s="14">
        <f t="shared" si="162"/>
        <v>7017</v>
      </c>
      <c r="O53" s="14">
        <f t="shared" si="163"/>
        <v>7019</v>
      </c>
      <c r="P53" s="14">
        <f t="shared" si="164"/>
        <v>7021</v>
      </c>
      <c r="Q53" s="14">
        <f t="shared" si="165"/>
        <v>7023</v>
      </c>
      <c r="R53" s="14">
        <f t="shared" si="166"/>
        <v>7025</v>
      </c>
      <c r="S53" s="14">
        <f t="shared" si="167"/>
        <v>7027</v>
      </c>
      <c r="T53" s="14">
        <f t="shared" si="168"/>
        <v>7029</v>
      </c>
      <c r="U53" s="14">
        <f t="shared" si="169"/>
        <v>7031</v>
      </c>
      <c r="V53" s="14">
        <f t="shared" si="170"/>
        <v>7033</v>
      </c>
      <c r="W53" s="14">
        <f t="shared" si="171"/>
        <v>7035</v>
      </c>
      <c r="X53" s="14">
        <f t="shared" si="172"/>
        <v>7037</v>
      </c>
      <c r="Y53" s="14">
        <f t="shared" si="173"/>
        <v>7039</v>
      </c>
      <c r="Z53" s="14">
        <f t="shared" si="174"/>
        <v>7041</v>
      </c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</row>
    <row r="54" spans="1:68" hidden="1" x14ac:dyDescent="0.25">
      <c r="A54" s="3">
        <v>37</v>
      </c>
      <c r="B54" s="3" t="s">
        <v>326</v>
      </c>
      <c r="C54" s="6" t="s">
        <v>546</v>
      </c>
      <c r="D54" s="6" t="s">
        <v>317</v>
      </c>
      <c r="E54" s="17">
        <f t="shared" si="126"/>
        <v>7200</v>
      </c>
      <c r="F54" s="14">
        <f t="shared" si="154"/>
        <v>7201</v>
      </c>
      <c r="G54" s="14">
        <f t="shared" si="155"/>
        <v>7203</v>
      </c>
      <c r="H54" s="14">
        <f t="shared" si="156"/>
        <v>7205</v>
      </c>
      <c r="I54" s="14">
        <f t="shared" si="157"/>
        <v>7207</v>
      </c>
      <c r="J54" s="14">
        <f t="shared" si="158"/>
        <v>7209</v>
      </c>
      <c r="K54" s="14">
        <f t="shared" si="159"/>
        <v>7211</v>
      </c>
      <c r="L54" s="14">
        <f t="shared" si="160"/>
        <v>7213</v>
      </c>
      <c r="M54" s="14">
        <f t="shared" si="161"/>
        <v>7215</v>
      </c>
      <c r="N54" s="14">
        <f t="shared" si="162"/>
        <v>7217</v>
      </c>
      <c r="O54" s="14">
        <f t="shared" si="163"/>
        <v>7219</v>
      </c>
      <c r="P54" s="14">
        <f t="shared" si="164"/>
        <v>7221</v>
      </c>
      <c r="Q54" s="14">
        <f t="shared" si="165"/>
        <v>7223</v>
      </c>
      <c r="R54" s="14">
        <f t="shared" si="166"/>
        <v>7225</v>
      </c>
      <c r="S54" s="14">
        <f t="shared" si="167"/>
        <v>7227</v>
      </c>
      <c r="T54" s="14">
        <f t="shared" si="168"/>
        <v>7229</v>
      </c>
      <c r="U54" s="14">
        <f t="shared" si="169"/>
        <v>7231</v>
      </c>
      <c r="V54" s="14">
        <f t="shared" si="170"/>
        <v>7233</v>
      </c>
      <c r="W54" s="14">
        <f t="shared" si="171"/>
        <v>7235</v>
      </c>
      <c r="X54" s="14">
        <f t="shared" si="172"/>
        <v>7237</v>
      </c>
      <c r="Y54" s="14">
        <f t="shared" si="173"/>
        <v>7239</v>
      </c>
      <c r="Z54" s="14">
        <f t="shared" si="174"/>
        <v>7241</v>
      </c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</row>
    <row r="55" spans="1:68" hidden="1" x14ac:dyDescent="0.25">
      <c r="A55" s="3">
        <v>38</v>
      </c>
      <c r="B55" s="3" t="s">
        <v>326</v>
      </c>
      <c r="C55" s="6" t="s">
        <v>548</v>
      </c>
      <c r="D55" s="6" t="s">
        <v>317</v>
      </c>
      <c r="E55" s="17">
        <f t="shared" si="126"/>
        <v>7400</v>
      </c>
      <c r="F55" s="14">
        <f t="shared" si="154"/>
        <v>7401</v>
      </c>
      <c r="G55" s="14">
        <f t="shared" si="155"/>
        <v>7403</v>
      </c>
      <c r="H55" s="14">
        <f t="shared" si="156"/>
        <v>7405</v>
      </c>
      <c r="I55" s="14">
        <f t="shared" si="157"/>
        <v>7407</v>
      </c>
      <c r="J55" s="14">
        <f t="shared" si="158"/>
        <v>7409</v>
      </c>
      <c r="K55" s="14">
        <f t="shared" si="159"/>
        <v>7411</v>
      </c>
      <c r="L55" s="14">
        <f t="shared" si="160"/>
        <v>7413</v>
      </c>
      <c r="M55" s="14">
        <f t="shared" si="161"/>
        <v>7415</v>
      </c>
      <c r="N55" s="14">
        <f t="shared" si="162"/>
        <v>7417</v>
      </c>
      <c r="O55" s="14">
        <f t="shared" si="163"/>
        <v>7419</v>
      </c>
      <c r="P55" s="14">
        <f t="shared" si="164"/>
        <v>7421</v>
      </c>
      <c r="Q55" s="14">
        <f t="shared" si="165"/>
        <v>7423</v>
      </c>
      <c r="R55" s="14">
        <f t="shared" si="166"/>
        <v>7425</v>
      </c>
      <c r="S55" s="14">
        <f t="shared" si="167"/>
        <v>7427</v>
      </c>
      <c r="T55" s="14">
        <f t="shared" si="168"/>
        <v>7429</v>
      </c>
      <c r="U55" s="14">
        <f t="shared" si="169"/>
        <v>7431</v>
      </c>
      <c r="V55" s="14">
        <f t="shared" si="170"/>
        <v>7433</v>
      </c>
      <c r="W55" s="14">
        <f t="shared" si="171"/>
        <v>7435</v>
      </c>
      <c r="X55" s="14">
        <f t="shared" si="172"/>
        <v>7437</v>
      </c>
      <c r="Y55" s="14">
        <f t="shared" si="173"/>
        <v>7439</v>
      </c>
      <c r="Z55" s="14">
        <f t="shared" si="174"/>
        <v>7441</v>
      </c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</row>
    <row r="56" spans="1:68" hidden="1" x14ac:dyDescent="0.25">
      <c r="A56" s="3">
        <v>40</v>
      </c>
      <c r="B56" s="3" t="s">
        <v>326</v>
      </c>
      <c r="C56" s="6" t="s">
        <v>584</v>
      </c>
      <c r="D56" s="6" t="s">
        <v>550</v>
      </c>
      <c r="E56" s="1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</row>
    <row r="57" spans="1:68" hidden="1" x14ac:dyDescent="0.25">
      <c r="A57" s="3">
        <v>41</v>
      </c>
      <c r="B57" s="3" t="s">
        <v>326</v>
      </c>
      <c r="C57" s="6" t="s">
        <v>553</v>
      </c>
      <c r="D57" s="6" t="s">
        <v>550</v>
      </c>
      <c r="E57" s="17">
        <f>E55+$E$2</f>
        <v>7600</v>
      </c>
      <c r="F57" s="14">
        <f t="shared" si="45"/>
        <v>7601</v>
      </c>
      <c r="G57" s="14">
        <f t="shared" ref="G57:G66" si="175">F57+F$6</f>
        <v>7603</v>
      </c>
      <c r="H57" s="14">
        <f t="shared" ref="H57:H66" si="176">G57+G$6</f>
        <v>7605</v>
      </c>
      <c r="I57" s="14">
        <f t="shared" ref="I57:J57" si="177">H57+H$6</f>
        <v>7607</v>
      </c>
      <c r="J57" s="14">
        <f t="shared" si="177"/>
        <v>7609</v>
      </c>
      <c r="K57" s="14">
        <f t="shared" ref="K57:K66" si="178">J57+J$6</f>
        <v>7611</v>
      </c>
      <c r="L57" s="14">
        <f t="shared" ref="L57:L66" si="179">K57+K$6</f>
        <v>7613</v>
      </c>
      <c r="M57" s="14">
        <f t="shared" ref="M57:M66" si="180">L57+L$6</f>
        <v>7615</v>
      </c>
      <c r="N57" s="14">
        <f t="shared" ref="N57:X65" si="181">M57+M$6</f>
        <v>7617</v>
      </c>
      <c r="O57" s="14">
        <f t="shared" si="181"/>
        <v>7619</v>
      </c>
      <c r="P57" s="14">
        <f t="shared" si="181"/>
        <v>7621</v>
      </c>
      <c r="Q57" s="14">
        <f t="shared" si="181"/>
        <v>7623</v>
      </c>
      <c r="R57" s="14">
        <f t="shared" si="181"/>
        <v>7625</v>
      </c>
      <c r="S57" s="14">
        <f t="shared" si="181"/>
        <v>7627</v>
      </c>
      <c r="T57" s="14">
        <f t="shared" si="181"/>
        <v>7629</v>
      </c>
      <c r="U57" s="14">
        <f t="shared" si="181"/>
        <v>7631</v>
      </c>
      <c r="V57" s="14">
        <f t="shared" si="181"/>
        <v>7633</v>
      </c>
      <c r="W57" s="14">
        <f t="shared" si="181"/>
        <v>7635</v>
      </c>
      <c r="X57" s="14">
        <f t="shared" si="181"/>
        <v>7637</v>
      </c>
      <c r="Y57" s="14">
        <f t="shared" si="149"/>
        <v>7639</v>
      </c>
      <c r="Z57" s="14">
        <f t="shared" si="53"/>
        <v>7641</v>
      </c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</row>
    <row r="58" spans="1:68" hidden="1" x14ac:dyDescent="0.25">
      <c r="A58" s="3">
        <v>42</v>
      </c>
      <c r="B58" s="3" t="s">
        <v>326</v>
      </c>
      <c r="C58" s="6" t="s">
        <v>554</v>
      </c>
      <c r="D58" s="6" t="s">
        <v>550</v>
      </c>
      <c r="E58" s="17">
        <f t="shared" si="126"/>
        <v>7800</v>
      </c>
      <c r="F58" s="14">
        <f t="shared" si="45"/>
        <v>7801</v>
      </c>
      <c r="G58" s="14">
        <f t="shared" si="175"/>
        <v>7803</v>
      </c>
      <c r="H58" s="14">
        <f t="shared" si="176"/>
        <v>7805</v>
      </c>
      <c r="I58" s="14">
        <f t="shared" ref="I58:J58" si="182">H58+H$6</f>
        <v>7807</v>
      </c>
      <c r="J58" s="14">
        <f t="shared" si="182"/>
        <v>7809</v>
      </c>
      <c r="K58" s="14">
        <f t="shared" si="178"/>
        <v>7811</v>
      </c>
      <c r="L58" s="14">
        <f t="shared" si="179"/>
        <v>7813</v>
      </c>
      <c r="M58" s="14">
        <f t="shared" si="180"/>
        <v>7815</v>
      </c>
      <c r="N58" s="14">
        <f t="shared" ref="N58:BP66" si="183">M58+M$6</f>
        <v>7817</v>
      </c>
      <c r="O58" s="14">
        <f t="shared" si="183"/>
        <v>7819</v>
      </c>
      <c r="P58" s="14">
        <f t="shared" si="183"/>
        <v>7821</v>
      </c>
      <c r="Q58" s="14">
        <f t="shared" si="181"/>
        <v>7823</v>
      </c>
      <c r="R58" s="14">
        <f t="shared" si="181"/>
        <v>7825</v>
      </c>
      <c r="S58" s="14">
        <f t="shared" si="183"/>
        <v>7827</v>
      </c>
      <c r="T58" s="14">
        <f t="shared" si="183"/>
        <v>7829</v>
      </c>
      <c r="U58" s="14">
        <f t="shared" si="183"/>
        <v>7831</v>
      </c>
      <c r="V58" s="14">
        <f t="shared" si="183"/>
        <v>7833</v>
      </c>
      <c r="W58" s="14">
        <f t="shared" si="183"/>
        <v>7835</v>
      </c>
      <c r="X58" s="14">
        <f t="shared" si="183"/>
        <v>7837</v>
      </c>
      <c r="Y58" s="14">
        <f t="shared" si="149"/>
        <v>7839</v>
      </c>
      <c r="Z58" s="14">
        <f t="shared" si="53"/>
        <v>7841</v>
      </c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</row>
    <row r="59" spans="1:68" hidden="1" x14ac:dyDescent="0.25">
      <c r="A59" s="3">
        <v>43</v>
      </c>
      <c r="B59" s="3" t="s">
        <v>326</v>
      </c>
      <c r="C59" s="6" t="s">
        <v>555</v>
      </c>
      <c r="D59" s="6" t="s">
        <v>550</v>
      </c>
      <c r="E59" s="17">
        <f t="shared" si="126"/>
        <v>8000</v>
      </c>
      <c r="F59" s="14">
        <f t="shared" si="45"/>
        <v>8001</v>
      </c>
      <c r="G59" s="14">
        <f t="shared" si="175"/>
        <v>8003</v>
      </c>
      <c r="H59" s="14">
        <f t="shared" si="176"/>
        <v>8005</v>
      </c>
      <c r="I59" s="14">
        <f t="shared" ref="I59:J59" si="184">H59+H$6</f>
        <v>8007</v>
      </c>
      <c r="J59" s="14">
        <f t="shared" si="184"/>
        <v>8009</v>
      </c>
      <c r="K59" s="14">
        <f t="shared" si="178"/>
        <v>8011</v>
      </c>
      <c r="L59" s="14">
        <f t="shared" si="179"/>
        <v>8013</v>
      </c>
      <c r="M59" s="14">
        <f t="shared" si="180"/>
        <v>8015</v>
      </c>
      <c r="N59" s="14">
        <f t="shared" ref="N59:X59" si="185">M59+M$6</f>
        <v>8017</v>
      </c>
      <c r="O59" s="14">
        <f t="shared" si="185"/>
        <v>8019</v>
      </c>
      <c r="P59" s="14">
        <f t="shared" si="185"/>
        <v>8021</v>
      </c>
      <c r="Q59" s="14">
        <f t="shared" si="181"/>
        <v>8023</v>
      </c>
      <c r="R59" s="14">
        <f t="shared" si="181"/>
        <v>8025</v>
      </c>
      <c r="S59" s="14">
        <f t="shared" si="185"/>
        <v>8027</v>
      </c>
      <c r="T59" s="14">
        <f t="shared" si="185"/>
        <v>8029</v>
      </c>
      <c r="U59" s="14">
        <f t="shared" si="185"/>
        <v>8031</v>
      </c>
      <c r="V59" s="14">
        <f t="shared" si="185"/>
        <v>8033</v>
      </c>
      <c r="W59" s="14">
        <f t="shared" si="185"/>
        <v>8035</v>
      </c>
      <c r="X59" s="14">
        <f t="shared" si="185"/>
        <v>8037</v>
      </c>
      <c r="Y59" s="14">
        <f t="shared" si="149"/>
        <v>8039</v>
      </c>
      <c r="Z59" s="14">
        <f t="shared" si="53"/>
        <v>8041</v>
      </c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</row>
    <row r="60" spans="1:68" hidden="1" x14ac:dyDescent="0.25">
      <c r="A60" s="3">
        <v>44</v>
      </c>
      <c r="B60" s="3" t="s">
        <v>326</v>
      </c>
      <c r="C60" s="6" t="s">
        <v>556</v>
      </c>
      <c r="D60" s="6" t="s">
        <v>550</v>
      </c>
      <c r="E60" s="17">
        <f t="shared" si="126"/>
        <v>8200</v>
      </c>
      <c r="F60" s="14">
        <f t="shared" si="45"/>
        <v>8201</v>
      </c>
      <c r="G60" s="14">
        <f t="shared" si="175"/>
        <v>8203</v>
      </c>
      <c r="H60" s="14">
        <f t="shared" si="176"/>
        <v>8205</v>
      </c>
      <c r="I60" s="14">
        <f t="shared" ref="I60:J60" si="186">H60+H$6</f>
        <v>8207</v>
      </c>
      <c r="J60" s="14">
        <f t="shared" si="186"/>
        <v>8209</v>
      </c>
      <c r="K60" s="14">
        <f t="shared" si="178"/>
        <v>8211</v>
      </c>
      <c r="L60" s="14">
        <f t="shared" si="179"/>
        <v>8213</v>
      </c>
      <c r="M60" s="14">
        <f t="shared" si="180"/>
        <v>8215</v>
      </c>
      <c r="N60" s="14">
        <f t="shared" ref="N60:X60" si="187">M60+M$6</f>
        <v>8217</v>
      </c>
      <c r="O60" s="14">
        <f t="shared" si="187"/>
        <v>8219</v>
      </c>
      <c r="P60" s="14">
        <f t="shared" si="187"/>
        <v>8221</v>
      </c>
      <c r="Q60" s="14">
        <f t="shared" si="181"/>
        <v>8223</v>
      </c>
      <c r="R60" s="14">
        <f t="shared" si="181"/>
        <v>8225</v>
      </c>
      <c r="S60" s="14">
        <f t="shared" si="187"/>
        <v>8227</v>
      </c>
      <c r="T60" s="14">
        <f t="shared" si="187"/>
        <v>8229</v>
      </c>
      <c r="U60" s="14">
        <f t="shared" si="187"/>
        <v>8231</v>
      </c>
      <c r="V60" s="14">
        <f t="shared" si="187"/>
        <v>8233</v>
      </c>
      <c r="W60" s="14">
        <f t="shared" si="187"/>
        <v>8235</v>
      </c>
      <c r="X60" s="14">
        <f t="shared" si="187"/>
        <v>8237</v>
      </c>
      <c r="Y60" s="14">
        <f t="shared" si="149"/>
        <v>8239</v>
      </c>
      <c r="Z60" s="14">
        <f t="shared" si="53"/>
        <v>8241</v>
      </c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</row>
    <row r="61" spans="1:68" hidden="1" x14ac:dyDescent="0.25">
      <c r="A61" s="3">
        <v>45</v>
      </c>
      <c r="B61" s="3" t="s">
        <v>326</v>
      </c>
      <c r="C61" s="6" t="s">
        <v>557</v>
      </c>
      <c r="D61" s="6" t="s">
        <v>550</v>
      </c>
      <c r="E61" s="17">
        <f t="shared" si="126"/>
        <v>8400</v>
      </c>
      <c r="F61" s="14">
        <f t="shared" si="45"/>
        <v>8401</v>
      </c>
      <c r="G61" s="14">
        <f t="shared" si="175"/>
        <v>8403</v>
      </c>
      <c r="H61" s="14">
        <f t="shared" si="176"/>
        <v>8405</v>
      </c>
      <c r="I61" s="14">
        <f t="shared" ref="I61:J61" si="188">H61+H$6</f>
        <v>8407</v>
      </c>
      <c r="J61" s="14">
        <f t="shared" si="188"/>
        <v>8409</v>
      </c>
      <c r="K61" s="14">
        <f t="shared" si="178"/>
        <v>8411</v>
      </c>
      <c r="L61" s="14">
        <f t="shared" si="179"/>
        <v>8413</v>
      </c>
      <c r="M61" s="14">
        <f t="shared" si="180"/>
        <v>8415</v>
      </c>
      <c r="N61" s="14">
        <f t="shared" ref="N61:X61" si="189">M61+M$6</f>
        <v>8417</v>
      </c>
      <c r="O61" s="14">
        <f t="shared" si="189"/>
        <v>8419</v>
      </c>
      <c r="P61" s="14">
        <f t="shared" si="189"/>
        <v>8421</v>
      </c>
      <c r="Q61" s="14">
        <f t="shared" si="181"/>
        <v>8423</v>
      </c>
      <c r="R61" s="14">
        <f t="shared" si="181"/>
        <v>8425</v>
      </c>
      <c r="S61" s="14">
        <f t="shared" si="189"/>
        <v>8427</v>
      </c>
      <c r="T61" s="14">
        <f t="shared" si="189"/>
        <v>8429</v>
      </c>
      <c r="U61" s="14">
        <f t="shared" si="189"/>
        <v>8431</v>
      </c>
      <c r="V61" s="14">
        <f t="shared" si="189"/>
        <v>8433</v>
      </c>
      <c r="W61" s="14">
        <f t="shared" si="189"/>
        <v>8435</v>
      </c>
      <c r="X61" s="14">
        <f t="shared" si="189"/>
        <v>8437</v>
      </c>
      <c r="Y61" s="14">
        <f t="shared" si="149"/>
        <v>8439</v>
      </c>
      <c r="Z61" s="14">
        <f t="shared" si="53"/>
        <v>8441</v>
      </c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</row>
    <row r="62" spans="1:68" hidden="1" x14ac:dyDescent="0.25">
      <c r="A62" s="3">
        <v>46</v>
      </c>
      <c r="B62" s="3" t="s">
        <v>326</v>
      </c>
      <c r="C62" s="6" t="s">
        <v>558</v>
      </c>
      <c r="D62" s="6" t="s">
        <v>550</v>
      </c>
      <c r="E62" s="17">
        <f t="shared" si="126"/>
        <v>8600</v>
      </c>
      <c r="F62" s="14">
        <f t="shared" si="45"/>
        <v>8601</v>
      </c>
      <c r="G62" s="14">
        <f t="shared" si="175"/>
        <v>8603</v>
      </c>
      <c r="H62" s="14">
        <f t="shared" si="176"/>
        <v>8605</v>
      </c>
      <c r="I62" s="14">
        <f t="shared" ref="I62:J62" si="190">H62+H$6</f>
        <v>8607</v>
      </c>
      <c r="J62" s="14">
        <f t="shared" si="190"/>
        <v>8609</v>
      </c>
      <c r="K62" s="14">
        <f t="shared" si="178"/>
        <v>8611</v>
      </c>
      <c r="L62" s="14">
        <f t="shared" si="179"/>
        <v>8613</v>
      </c>
      <c r="M62" s="14">
        <f t="shared" si="180"/>
        <v>8615</v>
      </c>
      <c r="N62" s="14">
        <f t="shared" ref="N62:X62" si="191">M62+M$6</f>
        <v>8617</v>
      </c>
      <c r="O62" s="14">
        <f t="shared" si="191"/>
        <v>8619</v>
      </c>
      <c r="P62" s="14">
        <f t="shared" si="191"/>
        <v>8621</v>
      </c>
      <c r="Q62" s="14">
        <f t="shared" si="181"/>
        <v>8623</v>
      </c>
      <c r="R62" s="14">
        <f t="shared" si="181"/>
        <v>8625</v>
      </c>
      <c r="S62" s="14">
        <f t="shared" si="191"/>
        <v>8627</v>
      </c>
      <c r="T62" s="14">
        <f t="shared" si="191"/>
        <v>8629</v>
      </c>
      <c r="U62" s="14">
        <f t="shared" si="191"/>
        <v>8631</v>
      </c>
      <c r="V62" s="14">
        <f t="shared" si="191"/>
        <v>8633</v>
      </c>
      <c r="W62" s="14">
        <f t="shared" si="191"/>
        <v>8635</v>
      </c>
      <c r="X62" s="14">
        <f t="shared" si="191"/>
        <v>8637</v>
      </c>
      <c r="Y62" s="14">
        <f t="shared" si="149"/>
        <v>8639</v>
      </c>
      <c r="Z62" s="14">
        <f t="shared" si="53"/>
        <v>8641</v>
      </c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</row>
    <row r="63" spans="1:68" hidden="1" x14ac:dyDescent="0.25">
      <c r="A63" s="3">
        <v>47</v>
      </c>
      <c r="B63" s="3" t="s">
        <v>326</v>
      </c>
      <c r="C63" s="6" t="s">
        <v>559</v>
      </c>
      <c r="D63" s="6" t="s">
        <v>550</v>
      </c>
      <c r="E63" s="17">
        <f t="shared" si="126"/>
        <v>8800</v>
      </c>
      <c r="F63" s="14">
        <f t="shared" si="45"/>
        <v>8801</v>
      </c>
      <c r="G63" s="14">
        <f t="shared" si="175"/>
        <v>8803</v>
      </c>
      <c r="H63" s="14">
        <f t="shared" si="176"/>
        <v>8805</v>
      </c>
      <c r="I63" s="14">
        <f t="shared" ref="I63:J63" si="192">H63+H$6</f>
        <v>8807</v>
      </c>
      <c r="J63" s="14">
        <f t="shared" si="192"/>
        <v>8809</v>
      </c>
      <c r="K63" s="14">
        <f t="shared" si="178"/>
        <v>8811</v>
      </c>
      <c r="L63" s="14">
        <f t="shared" si="179"/>
        <v>8813</v>
      </c>
      <c r="M63" s="14">
        <f t="shared" si="180"/>
        <v>8815</v>
      </c>
      <c r="N63" s="14">
        <f t="shared" ref="N63:X63" si="193">M63+M$6</f>
        <v>8817</v>
      </c>
      <c r="O63" s="14">
        <f t="shared" si="193"/>
        <v>8819</v>
      </c>
      <c r="P63" s="14">
        <f t="shared" si="193"/>
        <v>8821</v>
      </c>
      <c r="Q63" s="14">
        <f t="shared" si="181"/>
        <v>8823</v>
      </c>
      <c r="R63" s="14">
        <f t="shared" si="181"/>
        <v>8825</v>
      </c>
      <c r="S63" s="14">
        <f t="shared" si="193"/>
        <v>8827</v>
      </c>
      <c r="T63" s="14">
        <f t="shared" si="193"/>
        <v>8829</v>
      </c>
      <c r="U63" s="14">
        <f t="shared" si="193"/>
        <v>8831</v>
      </c>
      <c r="V63" s="14">
        <f t="shared" si="193"/>
        <v>8833</v>
      </c>
      <c r="W63" s="14">
        <f t="shared" si="193"/>
        <v>8835</v>
      </c>
      <c r="X63" s="14">
        <f t="shared" si="193"/>
        <v>8837</v>
      </c>
      <c r="Y63" s="14">
        <f t="shared" si="149"/>
        <v>8839</v>
      </c>
      <c r="Z63" s="14">
        <f t="shared" si="53"/>
        <v>8841</v>
      </c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</row>
    <row r="64" spans="1:68" hidden="1" x14ac:dyDescent="0.25">
      <c r="A64" s="3">
        <v>47</v>
      </c>
      <c r="B64" s="3" t="s">
        <v>326</v>
      </c>
      <c r="C64" s="6" t="s">
        <v>585</v>
      </c>
      <c r="D64" s="6" t="s">
        <v>550</v>
      </c>
      <c r="E64" s="17">
        <f t="shared" si="126"/>
        <v>9000</v>
      </c>
      <c r="F64" s="14">
        <f t="shared" ref="F64" si="194">E64+1</f>
        <v>9001</v>
      </c>
      <c r="G64" s="14">
        <f t="shared" ref="G64" si="195">F64+F$6</f>
        <v>9003</v>
      </c>
      <c r="H64" s="14">
        <f t="shared" ref="H64" si="196">G64+G$6</f>
        <v>9005</v>
      </c>
      <c r="I64" s="14">
        <f t="shared" ref="I64" si="197">H64+H$6</f>
        <v>9007</v>
      </c>
      <c r="J64" s="14">
        <f t="shared" ref="J64" si="198">I64+I$6</f>
        <v>9009</v>
      </c>
      <c r="K64" s="14">
        <f t="shared" ref="K64" si="199">J64+J$6</f>
        <v>9011</v>
      </c>
      <c r="L64" s="14">
        <f t="shared" ref="L64" si="200">K64+K$6</f>
        <v>9013</v>
      </c>
      <c r="M64" s="14">
        <f t="shared" ref="M64" si="201">L64+L$6</f>
        <v>9015</v>
      </c>
      <c r="N64" s="14">
        <f t="shared" ref="N64" si="202">M64+M$6</f>
        <v>9017</v>
      </c>
      <c r="O64" s="14">
        <f t="shared" ref="O64" si="203">N64+N$6</f>
        <v>9019</v>
      </c>
      <c r="P64" s="14">
        <f t="shared" ref="P64" si="204">O64+O$6</f>
        <v>9021</v>
      </c>
      <c r="Q64" s="14">
        <f t="shared" ref="Q64" si="205">P64+P$6</f>
        <v>9023</v>
      </c>
      <c r="R64" s="14">
        <f t="shared" ref="R64" si="206">Q64+Q$6</f>
        <v>9025</v>
      </c>
      <c r="S64" s="14">
        <f t="shared" ref="S64" si="207">R64+R$6</f>
        <v>9027</v>
      </c>
      <c r="T64" s="14">
        <f t="shared" ref="T64" si="208">S64+S$6</f>
        <v>9029</v>
      </c>
      <c r="U64" s="14">
        <f t="shared" ref="U64" si="209">T64+T$6</f>
        <v>9031</v>
      </c>
      <c r="V64" s="14">
        <f t="shared" ref="V64" si="210">U64+U$6</f>
        <v>9033</v>
      </c>
      <c r="W64" s="14">
        <f t="shared" ref="W64" si="211">V64+V$6</f>
        <v>9035</v>
      </c>
      <c r="X64" s="14">
        <f t="shared" ref="X64" si="212">W64+W$6</f>
        <v>9037</v>
      </c>
      <c r="Y64" s="14">
        <f t="shared" ref="Y64" si="213">X64+X$6</f>
        <v>9039</v>
      </c>
      <c r="Z64" s="14">
        <f t="shared" ref="Z64" si="214">Y64+Y$6</f>
        <v>9041</v>
      </c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</row>
    <row r="65" spans="1:68" hidden="1" x14ac:dyDescent="0.25">
      <c r="A65" s="3">
        <v>48</v>
      </c>
      <c r="B65" s="3" t="s">
        <v>326</v>
      </c>
      <c r="C65" s="3" t="s">
        <v>55</v>
      </c>
      <c r="D65" s="3" t="s">
        <v>281</v>
      </c>
      <c r="E65" s="14">
        <f t="shared" si="126"/>
        <v>9200</v>
      </c>
      <c r="F65" s="14">
        <f>E65+1</f>
        <v>9201</v>
      </c>
      <c r="G65" s="14">
        <f t="shared" si="175"/>
        <v>9203</v>
      </c>
      <c r="H65" s="14">
        <f t="shared" si="176"/>
        <v>9205</v>
      </c>
      <c r="I65" s="14">
        <f t="shared" ref="I65:J65" si="215">H65+H$6</f>
        <v>9207</v>
      </c>
      <c r="J65" s="14">
        <f t="shared" si="215"/>
        <v>9209</v>
      </c>
      <c r="K65" s="14">
        <f t="shared" si="178"/>
        <v>9211</v>
      </c>
      <c r="L65" s="14">
        <f t="shared" si="179"/>
        <v>9213</v>
      </c>
      <c r="M65" s="14">
        <f t="shared" si="180"/>
        <v>9215</v>
      </c>
      <c r="N65" s="14">
        <f t="shared" ref="N65:X65" si="216">M65+M$6</f>
        <v>9217</v>
      </c>
      <c r="O65" s="14">
        <f t="shared" si="216"/>
        <v>9219</v>
      </c>
      <c r="P65" s="14">
        <f t="shared" si="216"/>
        <v>9221</v>
      </c>
      <c r="Q65" s="14">
        <f t="shared" si="181"/>
        <v>9223</v>
      </c>
      <c r="R65" s="14">
        <f t="shared" si="181"/>
        <v>9225</v>
      </c>
      <c r="S65" s="14">
        <f t="shared" si="216"/>
        <v>9227</v>
      </c>
      <c r="T65" s="14">
        <f t="shared" si="216"/>
        <v>9229</v>
      </c>
      <c r="U65" s="14">
        <f t="shared" si="216"/>
        <v>9231</v>
      </c>
      <c r="V65" s="14">
        <f t="shared" si="216"/>
        <v>9233</v>
      </c>
      <c r="W65" s="14">
        <f t="shared" si="216"/>
        <v>9235</v>
      </c>
      <c r="X65" s="14">
        <f t="shared" si="216"/>
        <v>9237</v>
      </c>
      <c r="Y65" s="14">
        <f t="shared" si="149"/>
        <v>9239</v>
      </c>
      <c r="Z65" s="14"/>
      <c r="AA65" s="14">
        <f t="shared" si="84"/>
        <v>9243</v>
      </c>
      <c r="AB65" s="14">
        <f t="shared" ref="AB65:AB66" si="217">AA65+AA$6</f>
        <v>9245</v>
      </c>
      <c r="AC65" s="14">
        <f t="shared" ref="AC65:AC66" si="218">AB65+AB$6</f>
        <v>9247</v>
      </c>
      <c r="AD65" s="14">
        <f t="shared" ref="AD65:AD66" si="219">AC65+AC$6</f>
        <v>9249</v>
      </c>
      <c r="AE65" s="14">
        <f t="shared" ref="AE65:AE66" si="220">AD65+AD$6</f>
        <v>9251</v>
      </c>
      <c r="AF65" s="14">
        <f t="shared" ref="AF65:AF66" si="221">AE65+AE$6</f>
        <v>9253</v>
      </c>
      <c r="AG65" s="14">
        <f t="shared" ref="AG65:AG66" si="222">AF65+AF$6</f>
        <v>9255</v>
      </c>
      <c r="AH65" s="14">
        <f t="shared" ref="AH65:AH66" si="223">AG65+AG$6</f>
        <v>9257</v>
      </c>
      <c r="AI65" s="14">
        <f t="shared" ref="AI65:AI66" si="224">AH65+AH$6</f>
        <v>9259</v>
      </c>
      <c r="AJ65" s="14">
        <f t="shared" ref="AJ65:AJ66" si="225">AI65+AI$6</f>
        <v>9261</v>
      </c>
      <c r="AK65" s="14">
        <f t="shared" ref="AK65:AK66" si="226">AJ65+AJ$6</f>
        <v>9263</v>
      </c>
      <c r="AL65" s="14">
        <f t="shared" ref="AL65:AL66" si="227">AK65+AK$6</f>
        <v>9265</v>
      </c>
      <c r="AM65" s="14">
        <f t="shared" ref="AM65:AM66" si="228">AL65+AL$6</f>
        <v>9267</v>
      </c>
      <c r="AN65" s="14">
        <f t="shared" ref="AN65:AN66" si="229">AM65+AM$6</f>
        <v>9269</v>
      </c>
      <c r="AO65" s="14">
        <f t="shared" ref="AO65:AO66" si="230">AN65+AN$6</f>
        <v>9271</v>
      </c>
      <c r="AP65" s="14">
        <f t="shared" ref="AP65:AP66" si="231">AO65+AO$6</f>
        <v>9273</v>
      </c>
      <c r="AQ65" s="14">
        <f t="shared" ref="AQ65:AQ66" si="232">AP65+AP$6</f>
        <v>9275</v>
      </c>
      <c r="AR65" s="14">
        <f t="shared" ref="AR65:AR66" si="233">AQ65+AQ$6</f>
        <v>9277</v>
      </c>
      <c r="AS65" s="14">
        <f t="shared" ref="AS65:AS66" si="234">AR65+AR$6</f>
        <v>9279</v>
      </c>
      <c r="AT65" s="14">
        <f t="shared" ref="AT65:AT66" si="235">AS65+AS$6</f>
        <v>9281</v>
      </c>
      <c r="AU65" s="14">
        <f t="shared" ref="AU65:AU66" si="236">AT65+AT$6</f>
        <v>9283</v>
      </c>
      <c r="AV65" s="14">
        <f t="shared" ref="AV65:AV66" si="237">AU65+AU$6</f>
        <v>9285</v>
      </c>
      <c r="AW65" s="14">
        <f t="shared" ref="AW65:AW66" si="238">AV65+AV$6</f>
        <v>9287</v>
      </c>
      <c r="AX65" s="14">
        <f t="shared" ref="AX65:AX66" si="239">AW65+AW$6</f>
        <v>9289</v>
      </c>
      <c r="AY65" s="14">
        <f t="shared" ref="AY65:AY66" si="240">AX65+AX$6</f>
        <v>9291</v>
      </c>
      <c r="AZ65" s="14">
        <f t="shared" ref="AZ65:AZ66" si="241">AY65+AY$6</f>
        <v>9293</v>
      </c>
      <c r="BA65" s="14">
        <f t="shared" ref="BA65:BA66" si="242">AZ65+AZ$6</f>
        <v>9295</v>
      </c>
      <c r="BB65" s="14">
        <f t="shared" ref="BB65:BB66" si="243">BA65+BA$6</f>
        <v>9297</v>
      </c>
      <c r="BC65" s="14">
        <f t="shared" ref="BC65:BC66" si="244">BB65+BB$6</f>
        <v>9299</v>
      </c>
      <c r="BD65" s="14">
        <f t="shared" ref="BD65:BD66" si="245">BC65+BC$6</f>
        <v>9301</v>
      </c>
      <c r="BE65" s="14">
        <f t="shared" ref="BE65:BE66" si="246">BD65+BD$6</f>
        <v>9303</v>
      </c>
      <c r="BF65" s="14">
        <f t="shared" ref="BF65:BF66" si="247">BE65+BE$6</f>
        <v>9305</v>
      </c>
      <c r="BG65" s="14">
        <f t="shared" ref="BG65:BG66" si="248">BF65+BF$6</f>
        <v>9307</v>
      </c>
      <c r="BH65" s="14">
        <f t="shared" ref="BH65:BH66" si="249">BG65+BG$6</f>
        <v>9309</v>
      </c>
      <c r="BI65" s="14">
        <f t="shared" ref="BI65:BI66" si="250">BH65+BH$6</f>
        <v>9311</v>
      </c>
      <c r="BJ65" s="14">
        <f t="shared" ref="BJ65:BJ66" si="251">BI65+BI$6</f>
        <v>9313</v>
      </c>
      <c r="BK65" s="14">
        <f t="shared" si="183"/>
        <v>9315</v>
      </c>
      <c r="BL65" s="14">
        <f t="shared" si="183"/>
        <v>9317</v>
      </c>
      <c r="BM65" s="14">
        <f t="shared" si="183"/>
        <v>9319</v>
      </c>
      <c r="BN65" s="14">
        <f t="shared" si="183"/>
        <v>9321</v>
      </c>
      <c r="BO65" s="14">
        <f t="shared" si="183"/>
        <v>9323</v>
      </c>
      <c r="BP65" s="14">
        <f t="shared" si="183"/>
        <v>9325</v>
      </c>
    </row>
    <row r="66" spans="1:68" hidden="1" x14ac:dyDescent="0.25">
      <c r="A66" s="3">
        <v>49</v>
      </c>
      <c r="B66" s="3" t="s">
        <v>326</v>
      </c>
      <c r="C66" s="3" t="s">
        <v>56</v>
      </c>
      <c r="D66" s="3" t="s">
        <v>281</v>
      </c>
      <c r="E66" s="14">
        <f t="shared" si="126"/>
        <v>9400</v>
      </c>
      <c r="F66" s="14">
        <f>E66+1</f>
        <v>9401</v>
      </c>
      <c r="G66" s="14">
        <f t="shared" si="175"/>
        <v>9403</v>
      </c>
      <c r="H66" s="14">
        <f t="shared" si="176"/>
        <v>9405</v>
      </c>
      <c r="I66" s="14">
        <f t="shared" ref="I66:J66" si="252">H66+H$6</f>
        <v>9407</v>
      </c>
      <c r="J66" s="14">
        <f t="shared" si="252"/>
        <v>9409</v>
      </c>
      <c r="K66" s="14">
        <f t="shared" si="178"/>
        <v>9411</v>
      </c>
      <c r="L66" s="14">
        <f t="shared" si="179"/>
        <v>9413</v>
      </c>
      <c r="M66" s="14">
        <f t="shared" si="180"/>
        <v>9415</v>
      </c>
      <c r="N66" s="14">
        <f t="shared" ref="N66:X66" si="253">M66+M$6</f>
        <v>9417</v>
      </c>
      <c r="O66" s="14">
        <f t="shared" si="253"/>
        <v>9419</v>
      </c>
      <c r="P66" s="14">
        <f t="shared" si="253"/>
        <v>9421</v>
      </c>
      <c r="Q66" s="14">
        <f>P66+P$6</f>
        <v>9423</v>
      </c>
      <c r="R66" s="14">
        <f>Q66+Q$6</f>
        <v>9425</v>
      </c>
      <c r="S66" s="14">
        <f t="shared" si="253"/>
        <v>9427</v>
      </c>
      <c r="T66" s="14">
        <f t="shared" si="253"/>
        <v>9429</v>
      </c>
      <c r="U66" s="14">
        <f t="shared" si="253"/>
        <v>9431</v>
      </c>
      <c r="V66" s="14">
        <f t="shared" si="253"/>
        <v>9433</v>
      </c>
      <c r="W66" s="14">
        <f t="shared" si="253"/>
        <v>9435</v>
      </c>
      <c r="X66" s="14">
        <f t="shared" si="253"/>
        <v>9437</v>
      </c>
      <c r="Y66" s="14">
        <f t="shared" si="149"/>
        <v>9439</v>
      </c>
      <c r="Z66" s="14"/>
      <c r="AA66" s="14">
        <f t="shared" si="84"/>
        <v>9443</v>
      </c>
      <c r="AB66" s="14">
        <f t="shared" si="217"/>
        <v>9445</v>
      </c>
      <c r="AC66" s="14">
        <f t="shared" si="218"/>
        <v>9447</v>
      </c>
      <c r="AD66" s="14">
        <f t="shared" si="219"/>
        <v>9449</v>
      </c>
      <c r="AE66" s="14">
        <f t="shared" si="220"/>
        <v>9451</v>
      </c>
      <c r="AF66" s="14">
        <f t="shared" si="221"/>
        <v>9453</v>
      </c>
      <c r="AG66" s="14">
        <f t="shared" si="222"/>
        <v>9455</v>
      </c>
      <c r="AH66" s="14">
        <f t="shared" si="223"/>
        <v>9457</v>
      </c>
      <c r="AI66" s="14">
        <f t="shared" si="224"/>
        <v>9459</v>
      </c>
      <c r="AJ66" s="14">
        <f t="shared" si="225"/>
        <v>9461</v>
      </c>
      <c r="AK66" s="14">
        <f t="shared" si="226"/>
        <v>9463</v>
      </c>
      <c r="AL66" s="14">
        <f t="shared" si="227"/>
        <v>9465</v>
      </c>
      <c r="AM66" s="14">
        <f t="shared" si="228"/>
        <v>9467</v>
      </c>
      <c r="AN66" s="14">
        <f t="shared" si="229"/>
        <v>9469</v>
      </c>
      <c r="AO66" s="14">
        <f t="shared" si="230"/>
        <v>9471</v>
      </c>
      <c r="AP66" s="14">
        <f t="shared" si="231"/>
        <v>9473</v>
      </c>
      <c r="AQ66" s="14">
        <f t="shared" si="232"/>
        <v>9475</v>
      </c>
      <c r="AR66" s="14">
        <f t="shared" si="233"/>
        <v>9477</v>
      </c>
      <c r="AS66" s="14">
        <f t="shared" si="234"/>
        <v>9479</v>
      </c>
      <c r="AT66" s="14">
        <f t="shared" si="235"/>
        <v>9481</v>
      </c>
      <c r="AU66" s="14">
        <f t="shared" si="236"/>
        <v>9483</v>
      </c>
      <c r="AV66" s="14">
        <f t="shared" si="237"/>
        <v>9485</v>
      </c>
      <c r="AW66" s="14">
        <f t="shared" si="238"/>
        <v>9487</v>
      </c>
      <c r="AX66" s="14">
        <f t="shared" si="239"/>
        <v>9489</v>
      </c>
      <c r="AY66" s="14">
        <f t="shared" si="240"/>
        <v>9491</v>
      </c>
      <c r="AZ66" s="14">
        <f t="shared" si="241"/>
        <v>9493</v>
      </c>
      <c r="BA66" s="14">
        <f t="shared" si="242"/>
        <v>9495</v>
      </c>
      <c r="BB66" s="14">
        <f t="shared" si="243"/>
        <v>9497</v>
      </c>
      <c r="BC66" s="14">
        <f t="shared" si="244"/>
        <v>9499</v>
      </c>
      <c r="BD66" s="14">
        <f t="shared" si="245"/>
        <v>9501</v>
      </c>
      <c r="BE66" s="14">
        <f t="shared" si="246"/>
        <v>9503</v>
      </c>
      <c r="BF66" s="14">
        <f t="shared" si="247"/>
        <v>9505</v>
      </c>
      <c r="BG66" s="14">
        <f t="shared" si="248"/>
        <v>9507</v>
      </c>
      <c r="BH66" s="14">
        <f t="shared" si="249"/>
        <v>9509</v>
      </c>
      <c r="BI66" s="14">
        <f t="shared" si="250"/>
        <v>9511</v>
      </c>
      <c r="BJ66" s="14">
        <f t="shared" si="251"/>
        <v>9513</v>
      </c>
      <c r="BK66" s="14">
        <f t="shared" si="183"/>
        <v>9515</v>
      </c>
      <c r="BL66" s="14">
        <f t="shared" si="183"/>
        <v>9517</v>
      </c>
      <c r="BM66" s="14">
        <f t="shared" si="183"/>
        <v>9519</v>
      </c>
      <c r="BN66" s="14">
        <f t="shared" si="183"/>
        <v>9521</v>
      </c>
      <c r="BO66" s="14">
        <f t="shared" si="183"/>
        <v>9523</v>
      </c>
      <c r="BP66" s="14">
        <f t="shared" si="183"/>
        <v>9525</v>
      </c>
    </row>
    <row r="67" spans="1:68" hidden="1" x14ac:dyDescent="0.25">
      <c r="A67" s="3">
        <v>50</v>
      </c>
      <c r="B67" s="3" t="s">
        <v>326</v>
      </c>
      <c r="C67" s="3" t="s">
        <v>244</v>
      </c>
      <c r="D67" s="3" t="s">
        <v>295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</row>
    <row r="68" spans="1:68" hidden="1" x14ac:dyDescent="0.25">
      <c r="A68" s="3">
        <v>51</v>
      </c>
      <c r="B68" s="3" t="s">
        <v>326</v>
      </c>
      <c r="C68" s="3" t="s">
        <v>252</v>
      </c>
      <c r="D68" s="3" t="s">
        <v>303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</row>
    <row r="69" spans="1:68" hidden="1" x14ac:dyDescent="0.25">
      <c r="A69" s="3">
        <v>52</v>
      </c>
      <c r="B69" s="3" t="s">
        <v>326</v>
      </c>
      <c r="C69" s="3" t="s">
        <v>228</v>
      </c>
      <c r="D69" s="3" t="s">
        <v>318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</row>
    <row r="70" spans="1:68" hidden="1" x14ac:dyDescent="0.25">
      <c r="A70" s="3">
        <v>53</v>
      </c>
      <c r="B70" s="3" t="s">
        <v>326</v>
      </c>
      <c r="C70" s="3" t="s">
        <v>102</v>
      </c>
      <c r="D70" s="3" t="s">
        <v>318</v>
      </c>
      <c r="E70" s="14">
        <f>E66+$E$2</f>
        <v>9600</v>
      </c>
      <c r="F70" s="14">
        <f t="shared" si="45"/>
        <v>9601</v>
      </c>
      <c r="G70" s="14">
        <f t="shared" ref="G70:G79" si="254">F70+F$6</f>
        <v>9603</v>
      </c>
      <c r="H70" s="14">
        <f t="shared" ref="H70:H79" si="255">G70+G$6</f>
        <v>9605</v>
      </c>
      <c r="I70" s="14">
        <f t="shared" ref="I70:J70" si="256">H70+H$6</f>
        <v>9607</v>
      </c>
      <c r="J70" s="14">
        <f t="shared" si="256"/>
        <v>9609</v>
      </c>
      <c r="K70" s="14">
        <f t="shared" ref="K70:K79" si="257">J70+J$6</f>
        <v>9611</v>
      </c>
      <c r="L70" s="14">
        <f t="shared" ref="L70:L79" si="258">K70+K$6</f>
        <v>9613</v>
      </c>
      <c r="M70" s="14">
        <f t="shared" ref="M70:M79" si="259">L70+L$6</f>
        <v>9615</v>
      </c>
      <c r="N70" s="14">
        <f t="shared" ref="N70:X79" si="260">M70+M$6</f>
        <v>9617</v>
      </c>
      <c r="O70" s="14">
        <f t="shared" si="260"/>
        <v>9619</v>
      </c>
      <c r="P70" s="14">
        <f t="shared" si="260"/>
        <v>9621</v>
      </c>
      <c r="Q70" s="14">
        <f t="shared" si="260"/>
        <v>9623</v>
      </c>
      <c r="R70" s="14">
        <f t="shared" si="260"/>
        <v>9625</v>
      </c>
      <c r="S70" s="14">
        <f t="shared" si="260"/>
        <v>9627</v>
      </c>
      <c r="T70" s="14">
        <f t="shared" si="260"/>
        <v>9629</v>
      </c>
      <c r="U70" s="14">
        <f t="shared" si="260"/>
        <v>9631</v>
      </c>
      <c r="V70" s="14">
        <f t="shared" si="260"/>
        <v>9633</v>
      </c>
      <c r="W70" s="14">
        <f t="shared" si="260"/>
        <v>9635</v>
      </c>
      <c r="X70" s="14">
        <f t="shared" si="260"/>
        <v>9637</v>
      </c>
      <c r="Y70" s="14">
        <f t="shared" ref="Y70:Z131" si="261">X70+X$6</f>
        <v>9639</v>
      </c>
      <c r="Z70" s="14">
        <f t="shared" si="53"/>
        <v>9641</v>
      </c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</row>
    <row r="71" spans="1:68" hidden="1" x14ac:dyDescent="0.25">
      <c r="A71" s="3">
        <v>54</v>
      </c>
      <c r="B71" s="3" t="s">
        <v>326</v>
      </c>
      <c r="C71" s="3" t="s">
        <v>103</v>
      </c>
      <c r="D71" s="3" t="s">
        <v>318</v>
      </c>
      <c r="E71" s="14">
        <f t="shared" ref="E71:E79" si="262">E70+$E$2</f>
        <v>9800</v>
      </c>
      <c r="F71" s="14">
        <f t="shared" si="45"/>
        <v>9801</v>
      </c>
      <c r="G71" s="14">
        <f t="shared" si="254"/>
        <v>9803</v>
      </c>
      <c r="H71" s="14">
        <f t="shared" si="255"/>
        <v>9805</v>
      </c>
      <c r="I71" s="14">
        <f t="shared" ref="I71:J71" si="263">H71+H$6</f>
        <v>9807</v>
      </c>
      <c r="J71" s="14">
        <f t="shared" si="263"/>
        <v>9809</v>
      </c>
      <c r="K71" s="14">
        <f t="shared" si="257"/>
        <v>9811</v>
      </c>
      <c r="L71" s="14">
        <f t="shared" si="258"/>
        <v>9813</v>
      </c>
      <c r="M71" s="14">
        <f t="shared" si="259"/>
        <v>9815</v>
      </c>
      <c r="N71" s="14">
        <f t="shared" ref="N71:X71" si="264">M71+M$6</f>
        <v>9817</v>
      </c>
      <c r="O71" s="14">
        <f t="shared" si="264"/>
        <v>9819</v>
      </c>
      <c r="P71" s="14">
        <f t="shared" si="264"/>
        <v>9821</v>
      </c>
      <c r="Q71" s="14">
        <f t="shared" si="260"/>
        <v>9823</v>
      </c>
      <c r="R71" s="14">
        <f t="shared" si="260"/>
        <v>9825</v>
      </c>
      <c r="S71" s="14">
        <f t="shared" si="264"/>
        <v>9827</v>
      </c>
      <c r="T71" s="14">
        <f t="shared" si="264"/>
        <v>9829</v>
      </c>
      <c r="U71" s="14">
        <f t="shared" si="264"/>
        <v>9831</v>
      </c>
      <c r="V71" s="14">
        <f t="shared" si="264"/>
        <v>9833</v>
      </c>
      <c r="W71" s="14">
        <f t="shared" si="264"/>
        <v>9835</v>
      </c>
      <c r="X71" s="14">
        <f t="shared" si="264"/>
        <v>9837</v>
      </c>
      <c r="Y71" s="14">
        <f t="shared" si="261"/>
        <v>9839</v>
      </c>
      <c r="Z71" s="14">
        <f t="shared" si="53"/>
        <v>9841</v>
      </c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</row>
    <row r="72" spans="1:68" hidden="1" x14ac:dyDescent="0.25">
      <c r="A72" s="3">
        <v>55</v>
      </c>
      <c r="B72" s="3" t="s">
        <v>326</v>
      </c>
      <c r="C72" s="3" t="s">
        <v>104</v>
      </c>
      <c r="D72" s="3" t="s">
        <v>318</v>
      </c>
      <c r="E72" s="14">
        <f t="shared" si="262"/>
        <v>10000</v>
      </c>
      <c r="F72" s="14">
        <f t="shared" si="45"/>
        <v>10001</v>
      </c>
      <c r="G72" s="14">
        <f t="shared" si="254"/>
        <v>10003</v>
      </c>
      <c r="H72" s="14">
        <f t="shared" si="255"/>
        <v>10005</v>
      </c>
      <c r="I72" s="14">
        <f t="shared" ref="I72:J72" si="265">H72+H$6</f>
        <v>10007</v>
      </c>
      <c r="J72" s="14">
        <f t="shared" si="265"/>
        <v>10009</v>
      </c>
      <c r="K72" s="14">
        <f t="shared" si="257"/>
        <v>10011</v>
      </c>
      <c r="L72" s="14">
        <f t="shared" si="258"/>
        <v>10013</v>
      </c>
      <c r="M72" s="14">
        <f t="shared" si="259"/>
        <v>10015</v>
      </c>
      <c r="N72" s="14">
        <f t="shared" ref="N72:X72" si="266">M72+M$6</f>
        <v>10017</v>
      </c>
      <c r="O72" s="14">
        <f t="shared" si="266"/>
        <v>10019</v>
      </c>
      <c r="P72" s="14">
        <f t="shared" si="266"/>
        <v>10021</v>
      </c>
      <c r="Q72" s="14">
        <f t="shared" si="260"/>
        <v>10023</v>
      </c>
      <c r="R72" s="14">
        <f t="shared" si="260"/>
        <v>10025</v>
      </c>
      <c r="S72" s="14">
        <f t="shared" si="266"/>
        <v>10027</v>
      </c>
      <c r="T72" s="14">
        <f t="shared" si="266"/>
        <v>10029</v>
      </c>
      <c r="U72" s="14">
        <f t="shared" si="266"/>
        <v>10031</v>
      </c>
      <c r="V72" s="14">
        <f t="shared" si="266"/>
        <v>10033</v>
      </c>
      <c r="W72" s="14">
        <f t="shared" si="266"/>
        <v>10035</v>
      </c>
      <c r="X72" s="14">
        <f t="shared" si="266"/>
        <v>10037</v>
      </c>
      <c r="Y72" s="14">
        <f t="shared" si="261"/>
        <v>10039</v>
      </c>
      <c r="Z72" s="14">
        <f t="shared" si="53"/>
        <v>10041</v>
      </c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</row>
    <row r="73" spans="1:68" hidden="1" x14ac:dyDescent="0.25">
      <c r="A73" s="3">
        <v>56</v>
      </c>
      <c r="B73" s="3" t="s">
        <v>326</v>
      </c>
      <c r="C73" s="3" t="s">
        <v>105</v>
      </c>
      <c r="D73" s="3" t="s">
        <v>318</v>
      </c>
      <c r="E73" s="14">
        <f t="shared" si="262"/>
        <v>10200</v>
      </c>
      <c r="F73" s="14">
        <f t="shared" si="45"/>
        <v>10201</v>
      </c>
      <c r="G73" s="14">
        <f t="shared" si="254"/>
        <v>10203</v>
      </c>
      <c r="H73" s="14">
        <f t="shared" si="255"/>
        <v>10205</v>
      </c>
      <c r="I73" s="14">
        <f t="shared" ref="I73:J73" si="267">H73+H$6</f>
        <v>10207</v>
      </c>
      <c r="J73" s="14">
        <f t="shared" si="267"/>
        <v>10209</v>
      </c>
      <c r="K73" s="14">
        <f t="shared" si="257"/>
        <v>10211</v>
      </c>
      <c r="L73" s="14">
        <f t="shared" si="258"/>
        <v>10213</v>
      </c>
      <c r="M73" s="14">
        <f t="shared" si="259"/>
        <v>10215</v>
      </c>
      <c r="N73" s="14">
        <f t="shared" ref="N73:X73" si="268">M73+M$6</f>
        <v>10217</v>
      </c>
      <c r="O73" s="14">
        <f t="shared" si="268"/>
        <v>10219</v>
      </c>
      <c r="P73" s="14">
        <f t="shared" si="268"/>
        <v>10221</v>
      </c>
      <c r="Q73" s="14">
        <f t="shared" si="260"/>
        <v>10223</v>
      </c>
      <c r="R73" s="14">
        <f t="shared" si="260"/>
        <v>10225</v>
      </c>
      <c r="S73" s="14">
        <f t="shared" si="268"/>
        <v>10227</v>
      </c>
      <c r="T73" s="14">
        <f t="shared" si="268"/>
        <v>10229</v>
      </c>
      <c r="U73" s="14">
        <f t="shared" si="268"/>
        <v>10231</v>
      </c>
      <c r="V73" s="14">
        <f t="shared" si="268"/>
        <v>10233</v>
      </c>
      <c r="W73" s="14">
        <f t="shared" si="268"/>
        <v>10235</v>
      </c>
      <c r="X73" s="14">
        <f t="shared" si="268"/>
        <v>10237</v>
      </c>
      <c r="Y73" s="14">
        <f t="shared" si="261"/>
        <v>10239</v>
      </c>
      <c r="Z73" s="14">
        <f t="shared" si="53"/>
        <v>10241</v>
      </c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</row>
    <row r="74" spans="1:68" hidden="1" x14ac:dyDescent="0.25">
      <c r="A74" s="3">
        <v>57</v>
      </c>
      <c r="B74" s="3" t="s">
        <v>326</v>
      </c>
      <c r="C74" s="3" t="s">
        <v>106</v>
      </c>
      <c r="D74" s="3" t="s">
        <v>318</v>
      </c>
      <c r="E74" s="14">
        <f t="shared" si="262"/>
        <v>10400</v>
      </c>
      <c r="F74" s="14">
        <f t="shared" si="45"/>
        <v>10401</v>
      </c>
      <c r="G74" s="14">
        <f t="shared" si="254"/>
        <v>10403</v>
      </c>
      <c r="H74" s="14">
        <f t="shared" si="255"/>
        <v>10405</v>
      </c>
      <c r="I74" s="14">
        <f t="shared" ref="I74:J74" si="269">H74+H$6</f>
        <v>10407</v>
      </c>
      <c r="J74" s="14">
        <f t="shared" si="269"/>
        <v>10409</v>
      </c>
      <c r="K74" s="14">
        <f t="shared" si="257"/>
        <v>10411</v>
      </c>
      <c r="L74" s="14">
        <f t="shared" si="258"/>
        <v>10413</v>
      </c>
      <c r="M74" s="14">
        <f t="shared" si="259"/>
        <v>10415</v>
      </c>
      <c r="N74" s="14">
        <f t="shared" ref="N74:X74" si="270">M74+M$6</f>
        <v>10417</v>
      </c>
      <c r="O74" s="14">
        <f t="shared" si="270"/>
        <v>10419</v>
      </c>
      <c r="P74" s="14">
        <f t="shared" si="270"/>
        <v>10421</v>
      </c>
      <c r="Q74" s="14">
        <f t="shared" si="260"/>
        <v>10423</v>
      </c>
      <c r="R74" s="14">
        <f t="shared" si="260"/>
        <v>10425</v>
      </c>
      <c r="S74" s="14">
        <f t="shared" si="270"/>
        <v>10427</v>
      </c>
      <c r="T74" s="14">
        <f t="shared" si="270"/>
        <v>10429</v>
      </c>
      <c r="U74" s="14">
        <f t="shared" si="270"/>
        <v>10431</v>
      </c>
      <c r="V74" s="14">
        <f t="shared" si="270"/>
        <v>10433</v>
      </c>
      <c r="W74" s="14">
        <f t="shared" si="270"/>
        <v>10435</v>
      </c>
      <c r="X74" s="14">
        <f t="shared" si="270"/>
        <v>10437</v>
      </c>
      <c r="Y74" s="14">
        <f t="shared" si="261"/>
        <v>10439</v>
      </c>
      <c r="Z74" s="14">
        <f t="shared" si="53"/>
        <v>10441</v>
      </c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</row>
    <row r="75" spans="1:68" hidden="1" x14ac:dyDescent="0.25">
      <c r="A75" s="3">
        <v>58</v>
      </c>
      <c r="B75" s="3" t="s">
        <v>326</v>
      </c>
      <c r="C75" s="3" t="s">
        <v>107</v>
      </c>
      <c r="D75" s="3" t="s">
        <v>318</v>
      </c>
      <c r="E75" s="14">
        <f t="shared" si="262"/>
        <v>10600</v>
      </c>
      <c r="F75" s="14">
        <f t="shared" si="45"/>
        <v>10601</v>
      </c>
      <c r="G75" s="14">
        <f t="shared" si="254"/>
        <v>10603</v>
      </c>
      <c r="H75" s="14">
        <f t="shared" si="255"/>
        <v>10605</v>
      </c>
      <c r="I75" s="14">
        <f t="shared" ref="I75:J75" si="271">H75+H$6</f>
        <v>10607</v>
      </c>
      <c r="J75" s="14">
        <f t="shared" si="271"/>
        <v>10609</v>
      </c>
      <c r="K75" s="14">
        <f t="shared" si="257"/>
        <v>10611</v>
      </c>
      <c r="L75" s="14">
        <f t="shared" si="258"/>
        <v>10613</v>
      </c>
      <c r="M75" s="14">
        <f t="shared" si="259"/>
        <v>10615</v>
      </c>
      <c r="N75" s="14">
        <f t="shared" ref="N75:X75" si="272">M75+M$6</f>
        <v>10617</v>
      </c>
      <c r="O75" s="14">
        <f t="shared" si="272"/>
        <v>10619</v>
      </c>
      <c r="P75" s="14">
        <f t="shared" si="272"/>
        <v>10621</v>
      </c>
      <c r="Q75" s="14">
        <f t="shared" si="260"/>
        <v>10623</v>
      </c>
      <c r="R75" s="14">
        <f t="shared" si="260"/>
        <v>10625</v>
      </c>
      <c r="S75" s="14">
        <f t="shared" si="272"/>
        <v>10627</v>
      </c>
      <c r="T75" s="14">
        <f t="shared" si="272"/>
        <v>10629</v>
      </c>
      <c r="U75" s="14">
        <f t="shared" si="272"/>
        <v>10631</v>
      </c>
      <c r="V75" s="14">
        <f t="shared" si="272"/>
        <v>10633</v>
      </c>
      <c r="W75" s="14">
        <f t="shared" si="272"/>
        <v>10635</v>
      </c>
      <c r="X75" s="14">
        <f t="shared" si="272"/>
        <v>10637</v>
      </c>
      <c r="Y75" s="14">
        <f t="shared" si="261"/>
        <v>10639</v>
      </c>
      <c r="Z75" s="14">
        <f t="shared" si="53"/>
        <v>10641</v>
      </c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</row>
    <row r="76" spans="1:68" hidden="1" x14ac:dyDescent="0.25">
      <c r="A76" s="3">
        <v>59</v>
      </c>
      <c r="B76" s="3" t="s">
        <v>326</v>
      </c>
      <c r="C76" s="3" t="s">
        <v>108</v>
      </c>
      <c r="D76" s="3" t="s">
        <v>318</v>
      </c>
      <c r="E76" s="14">
        <f t="shared" si="262"/>
        <v>10800</v>
      </c>
      <c r="F76" s="14">
        <f t="shared" ref="F76:F179" si="273">E76+1</f>
        <v>10801</v>
      </c>
      <c r="G76" s="14">
        <f t="shared" si="254"/>
        <v>10803</v>
      </c>
      <c r="H76" s="14">
        <f t="shared" si="255"/>
        <v>10805</v>
      </c>
      <c r="I76" s="14">
        <f t="shared" ref="I76:J76" si="274">H76+H$6</f>
        <v>10807</v>
      </c>
      <c r="J76" s="14">
        <f t="shared" si="274"/>
        <v>10809</v>
      </c>
      <c r="K76" s="14">
        <f t="shared" si="257"/>
        <v>10811</v>
      </c>
      <c r="L76" s="14">
        <f t="shared" si="258"/>
        <v>10813</v>
      </c>
      <c r="M76" s="14">
        <f t="shared" si="259"/>
        <v>10815</v>
      </c>
      <c r="N76" s="14">
        <f t="shared" ref="N76:X76" si="275">M76+M$6</f>
        <v>10817</v>
      </c>
      <c r="O76" s="14">
        <f t="shared" si="275"/>
        <v>10819</v>
      </c>
      <c r="P76" s="14">
        <f t="shared" si="275"/>
        <v>10821</v>
      </c>
      <c r="Q76" s="14">
        <f t="shared" si="260"/>
        <v>10823</v>
      </c>
      <c r="R76" s="14">
        <f t="shared" si="260"/>
        <v>10825</v>
      </c>
      <c r="S76" s="14">
        <f t="shared" si="275"/>
        <v>10827</v>
      </c>
      <c r="T76" s="14">
        <f t="shared" si="275"/>
        <v>10829</v>
      </c>
      <c r="U76" s="14">
        <f t="shared" si="275"/>
        <v>10831</v>
      </c>
      <c r="V76" s="14">
        <f t="shared" si="275"/>
        <v>10833</v>
      </c>
      <c r="W76" s="14">
        <f t="shared" si="275"/>
        <v>10835</v>
      </c>
      <c r="X76" s="14">
        <f t="shared" si="275"/>
        <v>10837</v>
      </c>
      <c r="Y76" s="14">
        <f t="shared" si="261"/>
        <v>10839</v>
      </c>
      <c r="Z76" s="14">
        <f t="shared" si="53"/>
        <v>10841</v>
      </c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</row>
    <row r="77" spans="1:68" hidden="1" x14ac:dyDescent="0.25">
      <c r="A77" s="3">
        <v>60</v>
      </c>
      <c r="B77" s="3" t="s">
        <v>326</v>
      </c>
      <c r="C77" s="3" t="s">
        <v>109</v>
      </c>
      <c r="D77" s="3" t="s">
        <v>318</v>
      </c>
      <c r="E77" s="14">
        <f t="shared" si="262"/>
        <v>11000</v>
      </c>
      <c r="F77" s="14">
        <f t="shared" si="273"/>
        <v>11001</v>
      </c>
      <c r="G77" s="14">
        <f t="shared" si="254"/>
        <v>11003</v>
      </c>
      <c r="H77" s="14">
        <f t="shared" si="255"/>
        <v>11005</v>
      </c>
      <c r="I77" s="14">
        <f t="shared" ref="I77:J77" si="276">H77+H$6</f>
        <v>11007</v>
      </c>
      <c r="J77" s="14">
        <f t="shared" si="276"/>
        <v>11009</v>
      </c>
      <c r="K77" s="14">
        <f t="shared" si="257"/>
        <v>11011</v>
      </c>
      <c r="L77" s="14">
        <f t="shared" si="258"/>
        <v>11013</v>
      </c>
      <c r="M77" s="14">
        <f t="shared" si="259"/>
        <v>11015</v>
      </c>
      <c r="N77" s="14">
        <f t="shared" ref="N77:X77" si="277">M77+M$6</f>
        <v>11017</v>
      </c>
      <c r="O77" s="14">
        <f t="shared" si="277"/>
        <v>11019</v>
      </c>
      <c r="P77" s="14">
        <f t="shared" si="277"/>
        <v>11021</v>
      </c>
      <c r="Q77" s="14">
        <f t="shared" si="260"/>
        <v>11023</v>
      </c>
      <c r="R77" s="14">
        <f t="shared" si="260"/>
        <v>11025</v>
      </c>
      <c r="S77" s="14">
        <f t="shared" si="277"/>
        <v>11027</v>
      </c>
      <c r="T77" s="14">
        <f t="shared" si="277"/>
        <v>11029</v>
      </c>
      <c r="U77" s="14">
        <f t="shared" si="277"/>
        <v>11031</v>
      </c>
      <c r="V77" s="14">
        <f t="shared" si="277"/>
        <v>11033</v>
      </c>
      <c r="W77" s="14">
        <f t="shared" si="277"/>
        <v>11035</v>
      </c>
      <c r="X77" s="14">
        <f t="shared" si="277"/>
        <v>11037</v>
      </c>
      <c r="Y77" s="14">
        <f t="shared" si="261"/>
        <v>11039</v>
      </c>
      <c r="Z77" s="14">
        <f t="shared" si="53"/>
        <v>11041</v>
      </c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</row>
    <row r="78" spans="1:68" hidden="1" x14ac:dyDescent="0.25">
      <c r="A78" s="3">
        <v>61</v>
      </c>
      <c r="B78" s="3" t="s">
        <v>326</v>
      </c>
      <c r="C78" s="3" t="s">
        <v>110</v>
      </c>
      <c r="D78" s="3" t="s">
        <v>318</v>
      </c>
      <c r="E78" s="14">
        <f t="shared" si="262"/>
        <v>11200</v>
      </c>
      <c r="F78" s="14">
        <f t="shared" si="273"/>
        <v>11201</v>
      </c>
      <c r="G78" s="14">
        <f t="shared" si="254"/>
        <v>11203</v>
      </c>
      <c r="H78" s="14">
        <f t="shared" si="255"/>
        <v>11205</v>
      </c>
      <c r="I78" s="14">
        <f t="shared" ref="I78:J78" si="278">H78+H$6</f>
        <v>11207</v>
      </c>
      <c r="J78" s="14">
        <f t="shared" si="278"/>
        <v>11209</v>
      </c>
      <c r="K78" s="14">
        <f t="shared" si="257"/>
        <v>11211</v>
      </c>
      <c r="L78" s="14">
        <f t="shared" si="258"/>
        <v>11213</v>
      </c>
      <c r="M78" s="14">
        <f t="shared" si="259"/>
        <v>11215</v>
      </c>
      <c r="N78" s="14">
        <f t="shared" ref="N78:X78" si="279">M78+M$6</f>
        <v>11217</v>
      </c>
      <c r="O78" s="14">
        <f t="shared" si="279"/>
        <v>11219</v>
      </c>
      <c r="P78" s="14">
        <f t="shared" si="279"/>
        <v>11221</v>
      </c>
      <c r="Q78" s="14">
        <f t="shared" si="260"/>
        <v>11223</v>
      </c>
      <c r="R78" s="14">
        <f t="shared" si="260"/>
        <v>11225</v>
      </c>
      <c r="S78" s="14">
        <f t="shared" si="279"/>
        <v>11227</v>
      </c>
      <c r="T78" s="14">
        <f t="shared" si="279"/>
        <v>11229</v>
      </c>
      <c r="U78" s="14">
        <f t="shared" si="279"/>
        <v>11231</v>
      </c>
      <c r="V78" s="14">
        <f t="shared" si="279"/>
        <v>11233</v>
      </c>
      <c r="W78" s="14">
        <f t="shared" si="279"/>
        <v>11235</v>
      </c>
      <c r="X78" s="14">
        <f t="shared" si="279"/>
        <v>11237</v>
      </c>
      <c r="Y78" s="14">
        <f t="shared" si="261"/>
        <v>11239</v>
      </c>
      <c r="Z78" s="14">
        <f t="shared" si="53"/>
        <v>11241</v>
      </c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</row>
    <row r="79" spans="1:68" hidden="1" x14ac:dyDescent="0.25">
      <c r="A79" s="3">
        <v>62</v>
      </c>
      <c r="B79" s="3" t="s">
        <v>326</v>
      </c>
      <c r="C79" s="3" t="s">
        <v>111</v>
      </c>
      <c r="D79" s="3" t="s">
        <v>318</v>
      </c>
      <c r="E79" s="14">
        <f t="shared" si="262"/>
        <v>11400</v>
      </c>
      <c r="F79" s="14">
        <f t="shared" si="273"/>
        <v>11401</v>
      </c>
      <c r="G79" s="14">
        <f t="shared" si="254"/>
        <v>11403</v>
      </c>
      <c r="H79" s="14">
        <f t="shared" si="255"/>
        <v>11405</v>
      </c>
      <c r="I79" s="14">
        <f t="shared" ref="I79:J79" si="280">H79+H$6</f>
        <v>11407</v>
      </c>
      <c r="J79" s="14">
        <f t="shared" si="280"/>
        <v>11409</v>
      </c>
      <c r="K79" s="14">
        <f t="shared" si="257"/>
        <v>11411</v>
      </c>
      <c r="L79" s="14">
        <f t="shared" si="258"/>
        <v>11413</v>
      </c>
      <c r="M79" s="14">
        <f t="shared" si="259"/>
        <v>11415</v>
      </c>
      <c r="N79" s="14">
        <f t="shared" ref="N79:X79" si="281">M79+M$6</f>
        <v>11417</v>
      </c>
      <c r="O79" s="14">
        <f t="shared" si="281"/>
        <v>11419</v>
      </c>
      <c r="P79" s="14">
        <f t="shared" si="281"/>
        <v>11421</v>
      </c>
      <c r="Q79" s="14">
        <f t="shared" si="260"/>
        <v>11423</v>
      </c>
      <c r="R79" s="14">
        <f t="shared" si="260"/>
        <v>11425</v>
      </c>
      <c r="S79" s="14">
        <f t="shared" si="281"/>
        <v>11427</v>
      </c>
      <c r="T79" s="14">
        <f t="shared" si="281"/>
        <v>11429</v>
      </c>
      <c r="U79" s="14">
        <f t="shared" si="281"/>
        <v>11431</v>
      </c>
      <c r="V79" s="14">
        <f t="shared" si="281"/>
        <v>11433</v>
      </c>
      <c r="W79" s="14">
        <f t="shared" si="281"/>
        <v>11435</v>
      </c>
      <c r="X79" s="14">
        <f t="shared" si="281"/>
        <v>11437</v>
      </c>
      <c r="Y79" s="14">
        <f t="shared" si="261"/>
        <v>11439</v>
      </c>
      <c r="Z79" s="14">
        <f t="shared" si="53"/>
        <v>11441</v>
      </c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</row>
    <row r="80" spans="1:68" hidden="1" x14ac:dyDescent="0.25">
      <c r="A80" s="3">
        <v>63</v>
      </c>
      <c r="B80" s="3" t="s">
        <v>326</v>
      </c>
      <c r="C80" s="3" t="s">
        <v>229</v>
      </c>
      <c r="D80" s="3" t="s">
        <v>312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</row>
    <row r="81" spans="1:68" hidden="1" x14ac:dyDescent="0.25">
      <c r="A81" s="3">
        <v>64</v>
      </c>
      <c r="B81" s="3" t="s">
        <v>326</v>
      </c>
      <c r="C81" s="3" t="s">
        <v>261</v>
      </c>
      <c r="D81" s="3" t="s">
        <v>312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</row>
    <row r="82" spans="1:68" hidden="1" x14ac:dyDescent="0.25">
      <c r="A82" s="3">
        <v>65</v>
      </c>
      <c r="B82" s="3" t="s">
        <v>326</v>
      </c>
      <c r="C82" s="3" t="s">
        <v>112</v>
      </c>
      <c r="D82" s="3" t="s">
        <v>312</v>
      </c>
      <c r="E82" s="14">
        <f>E79+$E$2</f>
        <v>11600</v>
      </c>
      <c r="F82" s="14">
        <f t="shared" si="273"/>
        <v>11601</v>
      </c>
      <c r="G82" s="14">
        <f t="shared" ref="G82:G87" si="282">F82+F$6</f>
        <v>11603</v>
      </c>
      <c r="H82" s="14">
        <f t="shared" ref="H82:H87" si="283">G82+G$6</f>
        <v>11605</v>
      </c>
      <c r="I82" s="14">
        <f t="shared" ref="I82:J82" si="284">H82+H$6</f>
        <v>11607</v>
      </c>
      <c r="J82" s="14">
        <f t="shared" si="284"/>
        <v>11609</v>
      </c>
      <c r="K82" s="14">
        <f t="shared" ref="K82:K87" si="285">J82+J$6</f>
        <v>11611</v>
      </c>
      <c r="L82" s="14">
        <f t="shared" ref="L82:L87" si="286">K82+K$6</f>
        <v>11613</v>
      </c>
      <c r="M82" s="14">
        <f t="shared" ref="M82:M87" si="287">L82+L$6</f>
        <v>11615</v>
      </c>
      <c r="N82" s="14">
        <f t="shared" ref="N82:X87" si="288">M82+M$6</f>
        <v>11617</v>
      </c>
      <c r="O82" s="14">
        <f t="shared" si="288"/>
        <v>11619</v>
      </c>
      <c r="P82" s="14">
        <f t="shared" si="288"/>
        <v>11621</v>
      </c>
      <c r="Q82" s="14">
        <f t="shared" si="288"/>
        <v>11623</v>
      </c>
      <c r="R82" s="14">
        <f t="shared" si="288"/>
        <v>11625</v>
      </c>
      <c r="S82" s="14">
        <f t="shared" si="288"/>
        <v>11627</v>
      </c>
      <c r="T82" s="14">
        <f t="shared" si="288"/>
        <v>11629</v>
      </c>
      <c r="U82" s="14">
        <f t="shared" si="288"/>
        <v>11631</v>
      </c>
      <c r="V82" s="14">
        <f t="shared" si="288"/>
        <v>11633</v>
      </c>
      <c r="W82" s="14">
        <f t="shared" si="288"/>
        <v>11635</v>
      </c>
      <c r="X82" s="14">
        <f t="shared" si="288"/>
        <v>11637</v>
      </c>
      <c r="Y82" s="14">
        <f t="shared" si="261"/>
        <v>11639</v>
      </c>
      <c r="Z82" s="14">
        <f t="shared" si="53"/>
        <v>11641</v>
      </c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</row>
    <row r="83" spans="1:68" hidden="1" x14ac:dyDescent="0.25">
      <c r="A83" s="3">
        <v>66</v>
      </c>
      <c r="B83" s="3" t="s">
        <v>326</v>
      </c>
      <c r="C83" s="3" t="s">
        <v>113</v>
      </c>
      <c r="D83" s="3" t="s">
        <v>312</v>
      </c>
      <c r="E83" s="14">
        <f t="shared" ref="E83:E87" si="289">E82+$E$2</f>
        <v>11800</v>
      </c>
      <c r="F83" s="14">
        <f t="shared" si="273"/>
        <v>11801</v>
      </c>
      <c r="G83" s="14">
        <f t="shared" si="282"/>
        <v>11803</v>
      </c>
      <c r="H83" s="14">
        <f t="shared" si="283"/>
        <v>11805</v>
      </c>
      <c r="I83" s="14">
        <f t="shared" ref="I83:J83" si="290">H83+H$6</f>
        <v>11807</v>
      </c>
      <c r="J83" s="14">
        <f t="shared" si="290"/>
        <v>11809</v>
      </c>
      <c r="K83" s="14">
        <f t="shared" si="285"/>
        <v>11811</v>
      </c>
      <c r="L83" s="14">
        <f t="shared" si="286"/>
        <v>11813</v>
      </c>
      <c r="M83" s="14">
        <f t="shared" si="287"/>
        <v>11815</v>
      </c>
      <c r="N83" s="14">
        <f t="shared" ref="N83:BP87" si="291">M83+M$6</f>
        <v>11817</v>
      </c>
      <c r="O83" s="14">
        <f t="shared" si="291"/>
        <v>11819</v>
      </c>
      <c r="P83" s="14">
        <f t="shared" si="291"/>
        <v>11821</v>
      </c>
      <c r="Q83" s="14">
        <f t="shared" si="288"/>
        <v>11823</v>
      </c>
      <c r="R83" s="14">
        <f t="shared" si="288"/>
        <v>11825</v>
      </c>
      <c r="S83" s="14">
        <f t="shared" si="291"/>
        <v>11827</v>
      </c>
      <c r="T83" s="14">
        <f t="shared" si="291"/>
        <v>11829</v>
      </c>
      <c r="U83" s="14">
        <f t="shared" si="291"/>
        <v>11831</v>
      </c>
      <c r="V83" s="14">
        <f t="shared" si="291"/>
        <v>11833</v>
      </c>
      <c r="W83" s="14">
        <f t="shared" si="291"/>
        <v>11835</v>
      </c>
      <c r="X83" s="14">
        <f t="shared" si="291"/>
        <v>11837</v>
      </c>
      <c r="Y83" s="14">
        <f t="shared" si="261"/>
        <v>11839</v>
      </c>
      <c r="Z83" s="14">
        <f t="shared" si="53"/>
        <v>11841</v>
      </c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</row>
    <row r="84" spans="1:68" hidden="1" x14ac:dyDescent="0.25">
      <c r="A84" s="3">
        <v>67</v>
      </c>
      <c r="B84" s="3" t="s">
        <v>326</v>
      </c>
      <c r="C84" s="3" t="s">
        <v>114</v>
      </c>
      <c r="D84" s="3" t="s">
        <v>312</v>
      </c>
      <c r="E84" s="14">
        <f t="shared" si="289"/>
        <v>12000</v>
      </c>
      <c r="F84" s="14">
        <f t="shared" si="273"/>
        <v>12001</v>
      </c>
      <c r="G84" s="14">
        <f t="shared" si="282"/>
        <v>12003</v>
      </c>
      <c r="H84" s="14">
        <f t="shared" si="283"/>
        <v>12005</v>
      </c>
      <c r="I84" s="14">
        <f t="shared" ref="I84:J84" si="292">H84+H$6</f>
        <v>12007</v>
      </c>
      <c r="J84" s="14">
        <f t="shared" si="292"/>
        <v>12009</v>
      </c>
      <c r="K84" s="14">
        <f t="shared" si="285"/>
        <v>12011</v>
      </c>
      <c r="L84" s="14">
        <f t="shared" si="286"/>
        <v>12013</v>
      </c>
      <c r="M84" s="14">
        <f t="shared" si="287"/>
        <v>12015</v>
      </c>
      <c r="N84" s="14">
        <f t="shared" ref="N84:X84" si="293">M84+M$6</f>
        <v>12017</v>
      </c>
      <c r="O84" s="14">
        <f t="shared" si="293"/>
        <v>12019</v>
      </c>
      <c r="P84" s="14">
        <f t="shared" si="293"/>
        <v>12021</v>
      </c>
      <c r="Q84" s="14">
        <f t="shared" si="288"/>
        <v>12023</v>
      </c>
      <c r="R84" s="14">
        <f t="shared" si="288"/>
        <v>12025</v>
      </c>
      <c r="S84" s="14">
        <f t="shared" si="293"/>
        <v>12027</v>
      </c>
      <c r="T84" s="14">
        <f t="shared" si="293"/>
        <v>12029</v>
      </c>
      <c r="U84" s="14">
        <f t="shared" si="293"/>
        <v>12031</v>
      </c>
      <c r="V84" s="14">
        <f t="shared" si="293"/>
        <v>12033</v>
      </c>
      <c r="W84" s="14">
        <f t="shared" si="293"/>
        <v>12035</v>
      </c>
      <c r="X84" s="14">
        <f t="shared" si="293"/>
        <v>12037</v>
      </c>
      <c r="Y84" s="14">
        <f t="shared" si="261"/>
        <v>12039</v>
      </c>
      <c r="Z84" s="14">
        <f t="shared" si="53"/>
        <v>12041</v>
      </c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</row>
    <row r="85" spans="1:68" hidden="1" x14ac:dyDescent="0.25">
      <c r="A85" s="3">
        <v>68</v>
      </c>
      <c r="B85" s="3" t="s">
        <v>326</v>
      </c>
      <c r="C85" s="3" t="s">
        <v>115</v>
      </c>
      <c r="D85" s="3" t="s">
        <v>312</v>
      </c>
      <c r="E85" s="14">
        <f t="shared" si="289"/>
        <v>12200</v>
      </c>
      <c r="F85" s="14">
        <f t="shared" si="273"/>
        <v>12201</v>
      </c>
      <c r="G85" s="14">
        <f t="shared" si="282"/>
        <v>12203</v>
      </c>
      <c r="H85" s="14">
        <f t="shared" si="283"/>
        <v>12205</v>
      </c>
      <c r="I85" s="14">
        <f t="shared" ref="I85:J85" si="294">H85+H$6</f>
        <v>12207</v>
      </c>
      <c r="J85" s="14">
        <f t="shared" si="294"/>
        <v>12209</v>
      </c>
      <c r="K85" s="14">
        <f t="shared" si="285"/>
        <v>12211</v>
      </c>
      <c r="L85" s="14">
        <f t="shared" si="286"/>
        <v>12213</v>
      </c>
      <c r="M85" s="14">
        <f t="shared" si="287"/>
        <v>12215</v>
      </c>
      <c r="N85" s="14">
        <f t="shared" ref="N85:X85" si="295">M85+M$6</f>
        <v>12217</v>
      </c>
      <c r="O85" s="14">
        <f t="shared" si="295"/>
        <v>12219</v>
      </c>
      <c r="P85" s="14">
        <f t="shared" si="295"/>
        <v>12221</v>
      </c>
      <c r="Q85" s="14">
        <f t="shared" si="288"/>
        <v>12223</v>
      </c>
      <c r="R85" s="14">
        <f t="shared" si="288"/>
        <v>12225</v>
      </c>
      <c r="S85" s="14">
        <f t="shared" si="295"/>
        <v>12227</v>
      </c>
      <c r="T85" s="14">
        <f t="shared" si="295"/>
        <v>12229</v>
      </c>
      <c r="U85" s="14">
        <f t="shared" si="295"/>
        <v>12231</v>
      </c>
      <c r="V85" s="14">
        <f t="shared" si="295"/>
        <v>12233</v>
      </c>
      <c r="W85" s="14">
        <f t="shared" si="295"/>
        <v>12235</v>
      </c>
      <c r="X85" s="14">
        <f t="shared" si="295"/>
        <v>12237</v>
      </c>
      <c r="Y85" s="14">
        <f t="shared" si="261"/>
        <v>12239</v>
      </c>
      <c r="Z85" s="14">
        <f t="shared" si="53"/>
        <v>12241</v>
      </c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</row>
    <row r="86" spans="1:68" hidden="1" x14ac:dyDescent="0.25">
      <c r="A86" s="3">
        <v>69</v>
      </c>
      <c r="B86" s="3" t="s">
        <v>326</v>
      </c>
      <c r="C86" s="3" t="s">
        <v>116</v>
      </c>
      <c r="D86" s="3" t="s">
        <v>312</v>
      </c>
      <c r="E86" s="14">
        <f t="shared" si="289"/>
        <v>12400</v>
      </c>
      <c r="F86" s="14">
        <f t="shared" si="273"/>
        <v>12401</v>
      </c>
      <c r="G86" s="14">
        <f t="shared" si="282"/>
        <v>12403</v>
      </c>
      <c r="H86" s="14">
        <f t="shared" si="283"/>
        <v>12405</v>
      </c>
      <c r="I86" s="14">
        <f t="shared" ref="I86:J86" si="296">H86+H$6</f>
        <v>12407</v>
      </c>
      <c r="J86" s="14">
        <f t="shared" si="296"/>
        <v>12409</v>
      </c>
      <c r="K86" s="14">
        <f t="shared" si="285"/>
        <v>12411</v>
      </c>
      <c r="L86" s="14">
        <f t="shared" si="286"/>
        <v>12413</v>
      </c>
      <c r="M86" s="14">
        <f t="shared" si="287"/>
        <v>12415</v>
      </c>
      <c r="N86" s="14">
        <f t="shared" ref="N86:X86" si="297">M86+M$6</f>
        <v>12417</v>
      </c>
      <c r="O86" s="14">
        <f t="shared" si="297"/>
        <v>12419</v>
      </c>
      <c r="P86" s="14">
        <f t="shared" si="297"/>
        <v>12421</v>
      </c>
      <c r="Q86" s="14">
        <f t="shared" si="288"/>
        <v>12423</v>
      </c>
      <c r="R86" s="14">
        <f t="shared" si="288"/>
        <v>12425</v>
      </c>
      <c r="S86" s="14">
        <f t="shared" si="297"/>
        <v>12427</v>
      </c>
      <c r="T86" s="14">
        <f t="shared" si="297"/>
        <v>12429</v>
      </c>
      <c r="U86" s="14">
        <f t="shared" si="297"/>
        <v>12431</v>
      </c>
      <c r="V86" s="14">
        <f t="shared" si="297"/>
        <v>12433</v>
      </c>
      <c r="W86" s="14">
        <f t="shared" si="297"/>
        <v>12435</v>
      </c>
      <c r="X86" s="14">
        <f t="shared" si="297"/>
        <v>12437</v>
      </c>
      <c r="Y86" s="14">
        <f t="shared" si="261"/>
        <v>12439</v>
      </c>
      <c r="Z86" s="14">
        <f t="shared" si="53"/>
        <v>12441</v>
      </c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</row>
    <row r="87" spans="1:68" hidden="1" x14ac:dyDescent="0.25">
      <c r="A87" s="3">
        <v>70</v>
      </c>
      <c r="B87" s="3" t="s">
        <v>326</v>
      </c>
      <c r="C87" s="3" t="s">
        <v>57</v>
      </c>
      <c r="D87" s="3" t="s">
        <v>282</v>
      </c>
      <c r="E87" s="14">
        <f t="shared" si="289"/>
        <v>12600</v>
      </c>
      <c r="F87" s="14">
        <f>E87+1</f>
        <v>12601</v>
      </c>
      <c r="G87" s="14">
        <f t="shared" si="282"/>
        <v>12603</v>
      </c>
      <c r="H87" s="14">
        <f t="shared" si="283"/>
        <v>12605</v>
      </c>
      <c r="I87" s="14">
        <f t="shared" ref="I87:J87" si="298">H87+H$6</f>
        <v>12607</v>
      </c>
      <c r="J87" s="14">
        <f t="shared" si="298"/>
        <v>12609</v>
      </c>
      <c r="K87" s="14">
        <f t="shared" si="285"/>
        <v>12611</v>
      </c>
      <c r="L87" s="14">
        <f t="shared" si="286"/>
        <v>12613</v>
      </c>
      <c r="M87" s="14">
        <f t="shared" si="287"/>
        <v>12615</v>
      </c>
      <c r="N87" s="14">
        <f t="shared" ref="N87:X87" si="299">M87+M$6</f>
        <v>12617</v>
      </c>
      <c r="O87" s="14">
        <f t="shared" si="299"/>
        <v>12619</v>
      </c>
      <c r="P87" s="14">
        <f t="shared" si="299"/>
        <v>12621</v>
      </c>
      <c r="Q87" s="14">
        <f t="shared" si="288"/>
        <v>12623</v>
      </c>
      <c r="R87" s="14">
        <f t="shared" si="288"/>
        <v>12625</v>
      </c>
      <c r="S87" s="14">
        <f t="shared" si="299"/>
        <v>12627</v>
      </c>
      <c r="T87" s="14">
        <f t="shared" si="299"/>
        <v>12629</v>
      </c>
      <c r="U87" s="14">
        <f t="shared" si="299"/>
        <v>12631</v>
      </c>
      <c r="V87" s="14">
        <f t="shared" si="299"/>
        <v>12633</v>
      </c>
      <c r="W87" s="14">
        <f t="shared" si="299"/>
        <v>12635</v>
      </c>
      <c r="X87" s="14">
        <f t="shared" si="299"/>
        <v>12637</v>
      </c>
      <c r="Y87" s="14">
        <f t="shared" si="261"/>
        <v>12639</v>
      </c>
      <c r="Z87" s="14"/>
      <c r="AA87" s="14">
        <f t="shared" si="84"/>
        <v>12643</v>
      </c>
      <c r="AB87" s="14">
        <f t="shared" ref="AB87" si="300">AA87+AA$6</f>
        <v>12645</v>
      </c>
      <c r="AC87" s="14">
        <f t="shared" ref="AC87" si="301">AB87+AB$6</f>
        <v>12647</v>
      </c>
      <c r="AD87" s="14">
        <f t="shared" ref="AD87" si="302">AC87+AC$6</f>
        <v>12649</v>
      </c>
      <c r="AE87" s="14">
        <f t="shared" ref="AE87" si="303">AD87+AD$6</f>
        <v>12651</v>
      </c>
      <c r="AF87" s="14">
        <f t="shared" ref="AF87" si="304">AE87+AE$6</f>
        <v>12653</v>
      </c>
      <c r="AG87" s="14">
        <f t="shared" ref="AG87" si="305">AF87+AF$6</f>
        <v>12655</v>
      </c>
      <c r="AH87" s="14">
        <f t="shared" ref="AH87" si="306">AG87+AG$6</f>
        <v>12657</v>
      </c>
      <c r="AI87" s="14">
        <f t="shared" ref="AI87" si="307">AH87+AH$6</f>
        <v>12659</v>
      </c>
      <c r="AJ87" s="14">
        <f t="shared" ref="AJ87" si="308">AI87+AI$6</f>
        <v>12661</v>
      </c>
      <c r="AK87" s="14">
        <f t="shared" ref="AK87" si="309">AJ87+AJ$6</f>
        <v>12663</v>
      </c>
      <c r="AL87" s="14">
        <f t="shared" ref="AL87" si="310">AK87+AK$6</f>
        <v>12665</v>
      </c>
      <c r="AM87" s="14">
        <f t="shared" ref="AM87" si="311">AL87+AL$6</f>
        <v>12667</v>
      </c>
      <c r="AN87" s="14">
        <f t="shared" ref="AN87" si="312">AM87+AM$6</f>
        <v>12669</v>
      </c>
      <c r="AO87" s="14">
        <f t="shared" ref="AO87" si="313">AN87+AN$6</f>
        <v>12671</v>
      </c>
      <c r="AP87" s="14">
        <f t="shared" ref="AP87" si="314">AO87+AO$6</f>
        <v>12673</v>
      </c>
      <c r="AQ87" s="14">
        <f t="shared" ref="AQ87" si="315">AP87+AP$6</f>
        <v>12675</v>
      </c>
      <c r="AR87" s="14">
        <f t="shared" ref="AR87" si="316">AQ87+AQ$6</f>
        <v>12677</v>
      </c>
      <c r="AS87" s="14">
        <f t="shared" ref="AS87" si="317">AR87+AR$6</f>
        <v>12679</v>
      </c>
      <c r="AT87" s="14">
        <f t="shared" ref="AT87" si="318">AS87+AS$6</f>
        <v>12681</v>
      </c>
      <c r="AU87" s="14">
        <f t="shared" ref="AU87" si="319">AT87+AT$6</f>
        <v>12683</v>
      </c>
      <c r="AV87" s="14">
        <f t="shared" ref="AV87" si="320">AU87+AU$6</f>
        <v>12685</v>
      </c>
      <c r="AW87" s="14">
        <f t="shared" ref="AW87" si="321">AV87+AV$6</f>
        <v>12687</v>
      </c>
      <c r="AX87" s="14">
        <f t="shared" ref="AX87" si="322">AW87+AW$6</f>
        <v>12689</v>
      </c>
      <c r="AY87" s="14">
        <f t="shared" ref="AY87" si="323">AX87+AX$6</f>
        <v>12691</v>
      </c>
      <c r="AZ87" s="14">
        <f t="shared" ref="AZ87" si="324">AY87+AY$6</f>
        <v>12693</v>
      </c>
      <c r="BA87" s="14">
        <f t="shared" ref="BA87" si="325">AZ87+AZ$6</f>
        <v>12695</v>
      </c>
      <c r="BB87" s="14">
        <f t="shared" ref="BB87" si="326">BA87+BA$6</f>
        <v>12697</v>
      </c>
      <c r="BC87" s="14">
        <f t="shared" ref="BC87" si="327">BB87+BB$6</f>
        <v>12699</v>
      </c>
      <c r="BD87" s="14">
        <f t="shared" ref="BD87" si="328">BC87+BC$6</f>
        <v>12701</v>
      </c>
      <c r="BE87" s="14">
        <f t="shared" ref="BE87" si="329">BD87+BD$6</f>
        <v>12703</v>
      </c>
      <c r="BF87" s="14">
        <f t="shared" ref="BF87" si="330">BE87+BE$6</f>
        <v>12705</v>
      </c>
      <c r="BG87" s="14">
        <f t="shared" ref="BG87" si="331">BF87+BF$6</f>
        <v>12707</v>
      </c>
      <c r="BH87" s="14">
        <f t="shared" ref="BH87" si="332">BG87+BG$6</f>
        <v>12709</v>
      </c>
      <c r="BI87" s="14">
        <f t="shared" ref="BI87" si="333">BH87+BH$6</f>
        <v>12711</v>
      </c>
      <c r="BJ87" s="14">
        <f t="shared" ref="BJ87" si="334">BI87+BI$6</f>
        <v>12713</v>
      </c>
      <c r="BK87" s="14">
        <f t="shared" si="291"/>
        <v>12715</v>
      </c>
      <c r="BL87" s="14">
        <f t="shared" si="291"/>
        <v>12717</v>
      </c>
      <c r="BM87" s="14">
        <f t="shared" si="291"/>
        <v>12719</v>
      </c>
      <c r="BN87" s="14">
        <f t="shared" si="291"/>
        <v>12721</v>
      </c>
      <c r="BO87" s="14">
        <f t="shared" si="291"/>
        <v>12723</v>
      </c>
      <c r="BP87" s="14">
        <f t="shared" si="291"/>
        <v>12725</v>
      </c>
    </row>
    <row r="88" spans="1:68" hidden="1" x14ac:dyDescent="0.25">
      <c r="A88" s="3">
        <v>71</v>
      </c>
      <c r="B88" s="3" t="s">
        <v>326</v>
      </c>
      <c r="C88" s="3" t="s">
        <v>539</v>
      </c>
      <c r="D88" s="3" t="s">
        <v>282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</row>
    <row r="89" spans="1:68" hidden="1" x14ac:dyDescent="0.25">
      <c r="A89" s="3">
        <v>72</v>
      </c>
      <c r="B89" s="3" t="s">
        <v>326</v>
      </c>
      <c r="C89" s="3" t="s">
        <v>230</v>
      </c>
      <c r="D89" s="3" t="s">
        <v>319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</row>
    <row r="90" spans="1:68" hidden="1" x14ac:dyDescent="0.25">
      <c r="A90" s="3">
        <v>73</v>
      </c>
      <c r="B90" s="3" t="s">
        <v>326</v>
      </c>
      <c r="C90" s="3" t="s">
        <v>231</v>
      </c>
      <c r="D90" s="3" t="s">
        <v>320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</row>
    <row r="91" spans="1:68" hidden="1" x14ac:dyDescent="0.25">
      <c r="A91" s="3">
        <v>74</v>
      </c>
      <c r="B91" s="3" t="s">
        <v>326</v>
      </c>
      <c r="C91" s="3" t="s">
        <v>245</v>
      </c>
      <c r="D91" s="3" t="s">
        <v>296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</row>
    <row r="92" spans="1:68" hidden="1" x14ac:dyDescent="0.25">
      <c r="A92" s="3">
        <v>75</v>
      </c>
      <c r="B92" s="3" t="s">
        <v>326</v>
      </c>
      <c r="C92" s="3" t="s">
        <v>253</v>
      </c>
      <c r="D92" s="3" t="s">
        <v>304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</row>
    <row r="93" spans="1:68" hidden="1" x14ac:dyDescent="0.25">
      <c r="A93" s="3">
        <v>76</v>
      </c>
      <c r="B93" s="3" t="s">
        <v>326</v>
      </c>
      <c r="C93" s="3" t="s">
        <v>58</v>
      </c>
      <c r="D93" s="3" t="s">
        <v>283</v>
      </c>
      <c r="E93" s="14">
        <f>E87+$E$2</f>
        <v>12800</v>
      </c>
      <c r="F93" s="14">
        <f>E93+1</f>
        <v>12801</v>
      </c>
      <c r="G93" s="14">
        <f t="shared" ref="G93" si="335">F93+F$6</f>
        <v>12803</v>
      </c>
      <c r="H93" s="14">
        <f t="shared" ref="H93" si="336">G93+G$6</f>
        <v>12805</v>
      </c>
      <c r="I93" s="14">
        <f>H93+H$6</f>
        <v>12807</v>
      </c>
      <c r="J93" s="14">
        <f>I93+I$6</f>
        <v>12809</v>
      </c>
      <c r="K93" s="14">
        <f t="shared" ref="K93" si="337">J93+J$6</f>
        <v>12811</v>
      </c>
      <c r="L93" s="14">
        <f t="shared" ref="L93" si="338">K93+K$6</f>
        <v>12813</v>
      </c>
      <c r="M93" s="14">
        <f t="shared" ref="M93" si="339">L93+L$6</f>
        <v>12815</v>
      </c>
      <c r="N93" s="14">
        <f t="shared" ref="N93:X93" si="340">M93+M$6</f>
        <v>12817</v>
      </c>
      <c r="O93" s="14">
        <f t="shared" si="340"/>
        <v>12819</v>
      </c>
      <c r="P93" s="14">
        <f t="shared" si="340"/>
        <v>12821</v>
      </c>
      <c r="Q93" s="14">
        <f>P93+P$6</f>
        <v>12823</v>
      </c>
      <c r="R93" s="14">
        <f>Q93+Q$6</f>
        <v>12825</v>
      </c>
      <c r="S93" s="14">
        <f t="shared" si="340"/>
        <v>12827</v>
      </c>
      <c r="T93" s="14">
        <f t="shared" si="340"/>
        <v>12829</v>
      </c>
      <c r="U93" s="14">
        <f t="shared" si="340"/>
        <v>12831</v>
      </c>
      <c r="V93" s="14">
        <f t="shared" si="340"/>
        <v>12833</v>
      </c>
      <c r="W93" s="14">
        <f t="shared" si="340"/>
        <v>12835</v>
      </c>
      <c r="X93" s="14">
        <f t="shared" si="340"/>
        <v>12837</v>
      </c>
      <c r="Y93" s="14">
        <f t="shared" si="261"/>
        <v>12839</v>
      </c>
      <c r="Z93" s="14"/>
      <c r="AA93" s="14">
        <f t="shared" si="84"/>
        <v>12843</v>
      </c>
      <c r="AB93" s="14">
        <f t="shared" ref="AB93" si="341">AA93+AA$6</f>
        <v>12845</v>
      </c>
      <c r="AC93" s="14">
        <f t="shared" ref="AC93" si="342">AB93+AB$6</f>
        <v>12847</v>
      </c>
      <c r="AD93" s="14">
        <f t="shared" ref="AD93" si="343">AC93+AC$6</f>
        <v>12849</v>
      </c>
      <c r="AE93" s="14">
        <f t="shared" ref="AE93" si="344">AD93+AD$6</f>
        <v>12851</v>
      </c>
      <c r="AF93" s="14">
        <f t="shared" ref="AF93" si="345">AE93+AE$6</f>
        <v>12853</v>
      </c>
      <c r="AG93" s="14">
        <f t="shared" ref="AG93" si="346">AF93+AF$6</f>
        <v>12855</v>
      </c>
      <c r="AH93" s="14">
        <f t="shared" ref="AH93" si="347">AG93+AG$6</f>
        <v>12857</v>
      </c>
      <c r="AI93" s="14">
        <f t="shared" ref="AI93" si="348">AH93+AH$6</f>
        <v>12859</v>
      </c>
      <c r="AJ93" s="14">
        <f t="shared" ref="AJ93" si="349">AI93+AI$6</f>
        <v>12861</v>
      </c>
      <c r="AK93" s="14">
        <f t="shared" ref="AK93" si="350">AJ93+AJ$6</f>
        <v>12863</v>
      </c>
      <c r="AL93" s="14">
        <f t="shared" ref="AL93" si="351">AK93+AK$6</f>
        <v>12865</v>
      </c>
      <c r="AM93" s="14">
        <f t="shared" ref="AM93" si="352">AL93+AL$6</f>
        <v>12867</v>
      </c>
      <c r="AN93" s="14">
        <f t="shared" ref="AN93" si="353">AM93+AM$6</f>
        <v>12869</v>
      </c>
      <c r="AO93" s="14">
        <f t="shared" ref="AO93" si="354">AN93+AN$6</f>
        <v>12871</v>
      </c>
      <c r="AP93" s="14">
        <f t="shared" ref="AP93" si="355">AO93+AO$6</f>
        <v>12873</v>
      </c>
      <c r="AQ93" s="14">
        <f t="shared" ref="AQ93" si="356">AP93+AP$6</f>
        <v>12875</v>
      </c>
      <c r="AR93" s="14">
        <f t="shared" ref="AR93" si="357">AQ93+AQ$6</f>
        <v>12877</v>
      </c>
      <c r="AS93" s="14">
        <f>AR93+AR$6</f>
        <v>12879</v>
      </c>
      <c r="AT93" s="14">
        <f t="shared" ref="AT93" si="358">AS93+AS$6</f>
        <v>12881</v>
      </c>
      <c r="AU93" s="14">
        <f t="shared" ref="AU93" si="359">AT93+AT$6</f>
        <v>12883</v>
      </c>
      <c r="AV93" s="14">
        <f t="shared" ref="AV93" si="360">AU93+AU$6</f>
        <v>12885</v>
      </c>
      <c r="AW93" s="14">
        <f t="shared" ref="AW93" si="361">AV93+AV$6</f>
        <v>12887</v>
      </c>
      <c r="AX93" s="14">
        <f t="shared" ref="AX93" si="362">AW93+AW$6</f>
        <v>12889</v>
      </c>
      <c r="AY93" s="14">
        <f t="shared" ref="AY93" si="363">AX93+AX$6</f>
        <v>12891</v>
      </c>
      <c r="AZ93" s="14">
        <f t="shared" ref="AZ93" si="364">AY93+AY$6</f>
        <v>12893</v>
      </c>
      <c r="BA93" s="14">
        <f t="shared" ref="BA93" si="365">AZ93+AZ$6</f>
        <v>12895</v>
      </c>
      <c r="BB93" s="14">
        <f t="shared" ref="BB93" si="366">BA93+BA$6</f>
        <v>12897</v>
      </c>
      <c r="BC93" s="14">
        <f t="shared" ref="BC93" si="367">BB93+BB$6</f>
        <v>12899</v>
      </c>
      <c r="BD93" s="14">
        <f t="shared" ref="BD93" si="368">BC93+BC$6</f>
        <v>12901</v>
      </c>
      <c r="BE93" s="14">
        <f t="shared" ref="BE93" si="369">BD93+BD$6</f>
        <v>12903</v>
      </c>
      <c r="BF93" s="14">
        <f t="shared" ref="BF93" si="370">BE93+BE$6</f>
        <v>12905</v>
      </c>
      <c r="BG93" s="14">
        <f t="shared" ref="BG93" si="371">BF93+BF$6</f>
        <v>12907</v>
      </c>
      <c r="BH93" s="14">
        <f t="shared" ref="BH93" si="372">BG93+BG$6</f>
        <v>12909</v>
      </c>
      <c r="BI93" s="14">
        <f t="shared" ref="BI93" si="373">BH93+BH$6</f>
        <v>12911</v>
      </c>
      <c r="BJ93" s="14">
        <f t="shared" ref="BJ93" si="374">BI93+BI$6</f>
        <v>12913</v>
      </c>
      <c r="BK93" s="14">
        <f>BJ93+BJ$6</f>
        <v>12915</v>
      </c>
      <c r="BL93" s="14">
        <f>BK93+BK$6</f>
        <v>12917</v>
      </c>
      <c r="BM93" s="14">
        <f t="shared" ref="BM93:BP93" si="375">BL93+BL$6</f>
        <v>12919</v>
      </c>
      <c r="BN93" s="14">
        <f t="shared" si="375"/>
        <v>12921</v>
      </c>
      <c r="BO93" s="14">
        <f t="shared" si="375"/>
        <v>12923</v>
      </c>
      <c r="BP93" s="14">
        <f t="shared" si="375"/>
        <v>12925</v>
      </c>
    </row>
    <row r="94" spans="1:68" hidden="1" x14ac:dyDescent="0.25">
      <c r="A94" s="3">
        <v>77</v>
      </c>
      <c r="B94" s="3" t="s">
        <v>326</v>
      </c>
      <c r="C94" s="3" t="s">
        <v>232</v>
      </c>
      <c r="D94" s="3" t="s">
        <v>283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</row>
    <row r="95" spans="1:68" hidden="1" x14ac:dyDescent="0.25">
      <c r="A95" s="3">
        <v>78</v>
      </c>
      <c r="B95" s="3" t="s">
        <v>326</v>
      </c>
      <c r="C95" s="3" t="s">
        <v>233</v>
      </c>
      <c r="D95" s="3" t="s">
        <v>321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</row>
    <row r="96" spans="1:68" hidden="1" x14ac:dyDescent="0.25">
      <c r="A96" s="3">
        <v>79</v>
      </c>
      <c r="B96" s="3" t="s">
        <v>326</v>
      </c>
      <c r="C96" s="3" t="s">
        <v>234</v>
      </c>
      <c r="D96" s="3" t="s">
        <v>322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</row>
    <row r="97" spans="1:68" hidden="1" x14ac:dyDescent="0.25">
      <c r="A97" s="3">
        <v>80</v>
      </c>
      <c r="B97" s="3" t="s">
        <v>326</v>
      </c>
      <c r="C97" s="3" t="s">
        <v>246</v>
      </c>
      <c r="D97" s="3" t="s">
        <v>297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</row>
    <row r="98" spans="1:68" hidden="1" x14ac:dyDescent="0.25">
      <c r="A98" s="3">
        <v>81</v>
      </c>
      <c r="B98" s="3" t="s">
        <v>326</v>
      </c>
      <c r="C98" s="3" t="s">
        <v>254</v>
      </c>
      <c r="D98" s="3" t="s">
        <v>305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</row>
    <row r="99" spans="1:68" hidden="1" x14ac:dyDescent="0.25">
      <c r="A99" s="3">
        <v>82</v>
      </c>
      <c r="B99" s="3" t="s">
        <v>326</v>
      </c>
      <c r="C99" s="3" t="s">
        <v>59</v>
      </c>
      <c r="D99" s="3" t="s">
        <v>284</v>
      </c>
      <c r="E99" s="14">
        <f>E93+$E$2</f>
        <v>13000</v>
      </c>
      <c r="F99" s="14">
        <f>E99+1</f>
        <v>13001</v>
      </c>
      <c r="G99" s="14">
        <f t="shared" ref="G99" si="376">F99+F$6</f>
        <v>13003</v>
      </c>
      <c r="H99" s="14">
        <f t="shared" ref="H99" si="377">G99+G$6</f>
        <v>13005</v>
      </c>
      <c r="I99" s="14">
        <f>H99+H$6</f>
        <v>13007</v>
      </c>
      <c r="J99" s="14">
        <f>I99+I$6</f>
        <v>13009</v>
      </c>
      <c r="K99" s="14">
        <f t="shared" ref="K99" si="378">J99+J$6</f>
        <v>13011</v>
      </c>
      <c r="L99" s="14">
        <f t="shared" ref="L99" si="379">K99+K$6</f>
        <v>13013</v>
      </c>
      <c r="M99" s="14">
        <f t="shared" ref="M99" si="380">L99+L$6</f>
        <v>13015</v>
      </c>
      <c r="N99" s="14">
        <f t="shared" ref="N99:X99" si="381">M99+M$6</f>
        <v>13017</v>
      </c>
      <c r="O99" s="14">
        <f t="shared" si="381"/>
        <v>13019</v>
      </c>
      <c r="P99" s="14">
        <f t="shared" si="381"/>
        <v>13021</v>
      </c>
      <c r="Q99" s="14">
        <f>P99+P$6</f>
        <v>13023</v>
      </c>
      <c r="R99" s="14">
        <f>Q99+Q$6</f>
        <v>13025</v>
      </c>
      <c r="S99" s="14">
        <f t="shared" si="381"/>
        <v>13027</v>
      </c>
      <c r="T99" s="14">
        <f t="shared" si="381"/>
        <v>13029</v>
      </c>
      <c r="U99" s="14">
        <f t="shared" si="381"/>
        <v>13031</v>
      </c>
      <c r="V99" s="14">
        <f t="shared" si="381"/>
        <v>13033</v>
      </c>
      <c r="W99" s="14">
        <f t="shared" si="381"/>
        <v>13035</v>
      </c>
      <c r="X99" s="14">
        <f t="shared" si="381"/>
        <v>13037</v>
      </c>
      <c r="Y99" s="14">
        <f t="shared" si="261"/>
        <v>13039</v>
      </c>
      <c r="Z99" s="14"/>
      <c r="AA99" s="14">
        <f t="shared" si="84"/>
        <v>13043</v>
      </c>
      <c r="AB99" s="14">
        <f t="shared" ref="AB99" si="382">AA99+AA$6</f>
        <v>13045</v>
      </c>
      <c r="AC99" s="14">
        <f t="shared" ref="AC99" si="383">AB99+AB$6</f>
        <v>13047</v>
      </c>
      <c r="AD99" s="14">
        <f t="shared" ref="AD99" si="384">AC99+AC$6</f>
        <v>13049</v>
      </c>
      <c r="AE99" s="14">
        <f t="shared" ref="AE99" si="385">AD99+AD$6</f>
        <v>13051</v>
      </c>
      <c r="AF99" s="14">
        <f t="shared" ref="AF99" si="386">AE99+AE$6</f>
        <v>13053</v>
      </c>
      <c r="AG99" s="14">
        <f t="shared" ref="AG99" si="387">AF99+AF$6</f>
        <v>13055</v>
      </c>
      <c r="AH99" s="14">
        <f t="shared" ref="AH99" si="388">AG99+AG$6</f>
        <v>13057</v>
      </c>
      <c r="AI99" s="14">
        <f t="shared" ref="AI99" si="389">AH99+AH$6</f>
        <v>13059</v>
      </c>
      <c r="AJ99" s="14">
        <f t="shared" ref="AJ99" si="390">AI99+AI$6</f>
        <v>13061</v>
      </c>
      <c r="AK99" s="14">
        <f t="shared" ref="AK99" si="391">AJ99+AJ$6</f>
        <v>13063</v>
      </c>
      <c r="AL99" s="14">
        <f t="shared" ref="AL99" si="392">AK99+AK$6</f>
        <v>13065</v>
      </c>
      <c r="AM99" s="14">
        <f t="shared" ref="AM99" si="393">AL99+AL$6</f>
        <v>13067</v>
      </c>
      <c r="AN99" s="14">
        <f t="shared" ref="AN99" si="394">AM99+AM$6</f>
        <v>13069</v>
      </c>
      <c r="AO99" s="14">
        <f t="shared" ref="AO99" si="395">AN99+AN$6</f>
        <v>13071</v>
      </c>
      <c r="AP99" s="14">
        <f t="shared" ref="AP99" si="396">AO99+AO$6</f>
        <v>13073</v>
      </c>
      <c r="AQ99" s="14">
        <f t="shared" ref="AQ99" si="397">AP99+AP$6</f>
        <v>13075</v>
      </c>
      <c r="AR99" s="14">
        <f t="shared" ref="AR99" si="398">AQ99+AQ$6</f>
        <v>13077</v>
      </c>
      <c r="AS99" s="14">
        <f>AR99+AR$6</f>
        <v>13079</v>
      </c>
      <c r="AT99" s="14">
        <f t="shared" ref="AT99" si="399">AS99+AS$6</f>
        <v>13081</v>
      </c>
      <c r="AU99" s="14">
        <f t="shared" ref="AU99" si="400">AT99+AT$6</f>
        <v>13083</v>
      </c>
      <c r="AV99" s="14">
        <f t="shared" ref="AV99" si="401">AU99+AU$6</f>
        <v>13085</v>
      </c>
      <c r="AW99" s="14">
        <f t="shared" ref="AW99" si="402">AV99+AV$6</f>
        <v>13087</v>
      </c>
      <c r="AX99" s="14">
        <f t="shared" ref="AX99" si="403">AW99+AW$6</f>
        <v>13089</v>
      </c>
      <c r="AY99" s="14">
        <f t="shared" ref="AY99" si="404">AX99+AX$6</f>
        <v>13091</v>
      </c>
      <c r="AZ99" s="14">
        <f t="shared" ref="AZ99" si="405">AY99+AY$6</f>
        <v>13093</v>
      </c>
      <c r="BA99" s="14">
        <f t="shared" ref="BA99" si="406">AZ99+AZ$6</f>
        <v>13095</v>
      </c>
      <c r="BB99" s="14">
        <f t="shared" ref="BB99" si="407">BA99+BA$6</f>
        <v>13097</v>
      </c>
      <c r="BC99" s="14">
        <f t="shared" ref="BC99" si="408">BB99+BB$6</f>
        <v>13099</v>
      </c>
      <c r="BD99" s="14">
        <f t="shared" ref="BD99" si="409">BC99+BC$6</f>
        <v>13101</v>
      </c>
      <c r="BE99" s="14">
        <f t="shared" ref="BE99" si="410">BD99+BD$6</f>
        <v>13103</v>
      </c>
      <c r="BF99" s="14">
        <f t="shared" ref="BF99" si="411">BE99+BE$6</f>
        <v>13105</v>
      </c>
      <c r="BG99" s="14">
        <f t="shared" ref="BG99" si="412">BF99+BF$6</f>
        <v>13107</v>
      </c>
      <c r="BH99" s="14">
        <f t="shared" ref="BH99" si="413">BG99+BG$6</f>
        <v>13109</v>
      </c>
      <c r="BI99" s="14">
        <f t="shared" ref="BI99" si="414">BH99+BH$6</f>
        <v>13111</v>
      </c>
      <c r="BJ99" s="14">
        <f t="shared" ref="BJ99" si="415">BI99+BI$6</f>
        <v>13113</v>
      </c>
      <c r="BK99" s="14">
        <f>BJ99+BJ$6</f>
        <v>13115</v>
      </c>
      <c r="BL99" s="14">
        <f>BK99+BK$6</f>
        <v>13117</v>
      </c>
      <c r="BM99" s="14">
        <f t="shared" ref="BM99:BP99" si="416">BL99+BL$6</f>
        <v>13119</v>
      </c>
      <c r="BN99" s="14">
        <f t="shared" si="416"/>
        <v>13121</v>
      </c>
      <c r="BO99" s="14">
        <f t="shared" si="416"/>
        <v>13123</v>
      </c>
      <c r="BP99" s="14">
        <f t="shared" si="416"/>
        <v>13125</v>
      </c>
    </row>
    <row r="100" spans="1:68" hidden="1" x14ac:dyDescent="0.25">
      <c r="A100" s="3">
        <v>83</v>
      </c>
      <c r="B100" s="3" t="s">
        <v>326</v>
      </c>
      <c r="C100" s="3" t="s">
        <v>235</v>
      </c>
      <c r="D100" s="3" t="s">
        <v>284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</row>
    <row r="101" spans="1:68" hidden="1" x14ac:dyDescent="0.25">
      <c r="A101" s="3">
        <v>84</v>
      </c>
      <c r="B101" s="3" t="s">
        <v>326</v>
      </c>
      <c r="C101" s="3" t="s">
        <v>236</v>
      </c>
      <c r="D101" s="3" t="s">
        <v>323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</row>
    <row r="102" spans="1:68" hidden="1" x14ac:dyDescent="0.25">
      <c r="A102" s="3">
        <v>85</v>
      </c>
      <c r="B102" s="3" t="s">
        <v>326</v>
      </c>
      <c r="C102" s="3" t="s">
        <v>237</v>
      </c>
      <c r="D102" s="3" t="s">
        <v>313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</row>
    <row r="103" spans="1:68" hidden="1" x14ac:dyDescent="0.25">
      <c r="A103" s="3">
        <v>86</v>
      </c>
      <c r="B103" s="3" t="s">
        <v>326</v>
      </c>
      <c r="C103" s="3" t="s">
        <v>247</v>
      </c>
      <c r="D103" s="3" t="s">
        <v>298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</row>
    <row r="104" spans="1:68" hidden="1" x14ac:dyDescent="0.25">
      <c r="A104" s="3">
        <v>87</v>
      </c>
      <c r="B104" s="3" t="s">
        <v>326</v>
      </c>
      <c r="C104" s="3" t="s">
        <v>255</v>
      </c>
      <c r="D104" s="3" t="s">
        <v>306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</row>
    <row r="105" spans="1:68" hidden="1" x14ac:dyDescent="0.25">
      <c r="A105" s="13">
        <v>1</v>
      </c>
      <c r="B105" s="13" t="s">
        <v>327</v>
      </c>
      <c r="C105" s="13" t="s">
        <v>60</v>
      </c>
      <c r="D105" s="13" t="s">
        <v>285</v>
      </c>
      <c r="E105" s="18">
        <f>E8</f>
        <v>0</v>
      </c>
      <c r="F105" s="19">
        <f>E105+1</f>
        <v>1</v>
      </c>
      <c r="G105" s="19">
        <f t="shared" ref="G105" si="417">F105+F$6</f>
        <v>3</v>
      </c>
      <c r="H105" s="19">
        <f t="shared" ref="H105" si="418">G105+G$6</f>
        <v>5</v>
      </c>
      <c r="I105" s="19">
        <f>H105+H$6</f>
        <v>7</v>
      </c>
      <c r="J105" s="19">
        <f>I105+I$6</f>
        <v>9</v>
      </c>
      <c r="K105" s="19">
        <f t="shared" ref="K105" si="419">J105+J$6</f>
        <v>11</v>
      </c>
      <c r="L105" s="19">
        <f t="shared" ref="L105" si="420">K105+K$6</f>
        <v>13</v>
      </c>
      <c r="M105" s="19">
        <f t="shared" ref="M105" si="421">L105+L$6</f>
        <v>15</v>
      </c>
      <c r="N105" s="19">
        <f t="shared" ref="N105:X105" si="422">M105+M$6</f>
        <v>17</v>
      </c>
      <c r="O105" s="19">
        <f t="shared" si="422"/>
        <v>19</v>
      </c>
      <c r="P105" s="19">
        <f t="shared" si="422"/>
        <v>21</v>
      </c>
      <c r="Q105" s="19">
        <f>P105+P$6</f>
        <v>23</v>
      </c>
      <c r="R105" s="19">
        <f>Q105+Q$6</f>
        <v>25</v>
      </c>
      <c r="S105" s="19">
        <f t="shared" si="422"/>
        <v>27</v>
      </c>
      <c r="T105" s="19">
        <f t="shared" si="422"/>
        <v>29</v>
      </c>
      <c r="U105" s="19">
        <f t="shared" si="422"/>
        <v>31</v>
      </c>
      <c r="V105" s="19">
        <f t="shared" si="422"/>
        <v>33</v>
      </c>
      <c r="W105" s="19">
        <f t="shared" si="422"/>
        <v>35</v>
      </c>
      <c r="X105" s="19">
        <f t="shared" si="422"/>
        <v>37</v>
      </c>
      <c r="Y105" s="19">
        <f t="shared" si="261"/>
        <v>39</v>
      </c>
      <c r="Z105" s="19"/>
      <c r="AA105" s="19">
        <f t="shared" ref="AA105:AA110" si="423">Y105+$Z$6+$Y$6</f>
        <v>43</v>
      </c>
      <c r="AB105" s="19">
        <f t="shared" ref="AB105" si="424">AA105+AA$6</f>
        <v>45</v>
      </c>
      <c r="AC105" s="19">
        <f t="shared" ref="AC105" si="425">AB105+AB$6</f>
        <v>47</v>
      </c>
      <c r="AD105" s="19">
        <f t="shared" ref="AD105" si="426">AC105+AC$6</f>
        <v>49</v>
      </c>
      <c r="AE105" s="19">
        <f t="shared" ref="AE105" si="427">AD105+AD$6</f>
        <v>51</v>
      </c>
      <c r="AF105" s="19">
        <f t="shared" ref="AF105" si="428">AE105+AE$6</f>
        <v>53</v>
      </c>
      <c r="AG105" s="19">
        <f t="shared" ref="AG105" si="429">AF105+AF$6</f>
        <v>55</v>
      </c>
      <c r="AH105" s="19">
        <f t="shared" ref="AH105" si="430">AG105+AG$6</f>
        <v>57</v>
      </c>
      <c r="AI105" s="19">
        <f t="shared" ref="AI105" si="431">AH105+AH$6</f>
        <v>59</v>
      </c>
      <c r="AJ105" s="19">
        <f t="shared" ref="AJ105" si="432">AI105+AI$6</f>
        <v>61</v>
      </c>
      <c r="AK105" s="19">
        <f t="shared" ref="AK105" si="433">AJ105+AJ$6</f>
        <v>63</v>
      </c>
      <c r="AL105" s="19">
        <f t="shared" ref="AL105" si="434">AK105+AK$6</f>
        <v>65</v>
      </c>
      <c r="AM105" s="19">
        <f t="shared" ref="AM105" si="435">AL105+AL$6</f>
        <v>67</v>
      </c>
      <c r="AN105" s="19">
        <f t="shared" ref="AN105" si="436">AM105+AM$6</f>
        <v>69</v>
      </c>
      <c r="AO105" s="19">
        <f t="shared" ref="AO105" si="437">AN105+AN$6</f>
        <v>71</v>
      </c>
      <c r="AP105" s="19">
        <f t="shared" ref="AP105" si="438">AO105+AO$6</f>
        <v>73</v>
      </c>
      <c r="AQ105" s="19">
        <f t="shared" ref="AQ105" si="439">AP105+AP$6</f>
        <v>75</v>
      </c>
      <c r="AR105" s="19">
        <f t="shared" ref="AR105" si="440">AQ105+AQ$6</f>
        <v>77</v>
      </c>
      <c r="AS105" s="19">
        <f>AR105+AR$6</f>
        <v>79</v>
      </c>
      <c r="AT105" s="19">
        <f t="shared" ref="AT105" si="441">AS105+AS$6</f>
        <v>81</v>
      </c>
      <c r="AU105" s="19">
        <f t="shared" ref="AU105" si="442">AT105+AT$6</f>
        <v>83</v>
      </c>
      <c r="AV105" s="19">
        <f t="shared" ref="AV105" si="443">AU105+AU$6</f>
        <v>85</v>
      </c>
      <c r="AW105" s="19">
        <f t="shared" ref="AW105" si="444">AV105+AV$6</f>
        <v>87</v>
      </c>
      <c r="AX105" s="19">
        <f t="shared" ref="AX105" si="445">AW105+AW$6</f>
        <v>89</v>
      </c>
      <c r="AY105" s="19">
        <f t="shared" ref="AY105" si="446">AX105+AX$6</f>
        <v>91</v>
      </c>
      <c r="AZ105" s="19">
        <f t="shared" ref="AZ105" si="447">AY105+AY$6</f>
        <v>93</v>
      </c>
      <c r="BA105" s="19">
        <f t="shared" ref="BA105" si="448">AZ105+AZ$6</f>
        <v>95</v>
      </c>
      <c r="BB105" s="19">
        <f t="shared" ref="BB105" si="449">BA105+BA$6</f>
        <v>97</v>
      </c>
      <c r="BC105" s="19">
        <f t="shared" ref="BC105" si="450">BB105+BB$6</f>
        <v>99</v>
      </c>
      <c r="BD105" s="19">
        <f t="shared" ref="BD105" si="451">BC105+BC$6</f>
        <v>101</v>
      </c>
      <c r="BE105" s="19">
        <f t="shared" ref="BE105" si="452">BD105+BD$6</f>
        <v>103</v>
      </c>
      <c r="BF105" s="19">
        <f t="shared" ref="BF105" si="453">BE105+BE$6</f>
        <v>105</v>
      </c>
      <c r="BG105" s="19">
        <f t="shared" ref="BG105" si="454">BF105+BF$6</f>
        <v>107</v>
      </c>
      <c r="BH105" s="19">
        <f t="shared" ref="BH105" si="455">BG105+BG$6</f>
        <v>109</v>
      </c>
      <c r="BI105" s="19">
        <f t="shared" ref="BI105" si="456">BH105+BH$6</f>
        <v>111</v>
      </c>
      <c r="BJ105" s="19">
        <f t="shared" ref="BJ105" si="457">BI105+BI$6</f>
        <v>113</v>
      </c>
      <c r="BK105" s="19">
        <f>BJ105+BJ$6</f>
        <v>115</v>
      </c>
      <c r="BL105" s="19">
        <f>BK105+BK$6</f>
        <v>117</v>
      </c>
      <c r="BM105" s="19">
        <f t="shared" ref="BM105:BP105" si="458">BL105+BL$6</f>
        <v>119</v>
      </c>
      <c r="BN105" s="19">
        <f t="shared" si="458"/>
        <v>121</v>
      </c>
      <c r="BO105" s="19">
        <f t="shared" si="458"/>
        <v>123</v>
      </c>
      <c r="BP105" s="19">
        <f t="shared" si="458"/>
        <v>125</v>
      </c>
    </row>
    <row r="106" spans="1:68" hidden="1" x14ac:dyDescent="0.25">
      <c r="A106" s="3">
        <v>2</v>
      </c>
      <c r="B106" s="3" t="s">
        <v>327</v>
      </c>
      <c r="C106" s="3" t="s">
        <v>248</v>
      </c>
      <c r="D106" s="3" t="s">
        <v>299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</row>
    <row r="107" spans="1:68" hidden="1" x14ac:dyDescent="0.25">
      <c r="A107" s="3">
        <v>3</v>
      </c>
      <c r="B107" s="3" t="s">
        <v>327</v>
      </c>
      <c r="C107" s="3" t="s">
        <v>256</v>
      </c>
      <c r="D107" s="3" t="s">
        <v>307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</row>
    <row r="108" spans="1:68" hidden="1" x14ac:dyDescent="0.25">
      <c r="A108" s="3">
        <v>4</v>
      </c>
      <c r="B108" s="3" t="s">
        <v>327</v>
      </c>
      <c r="C108" s="3" t="s">
        <v>63</v>
      </c>
      <c r="D108" s="3" t="s">
        <v>287</v>
      </c>
      <c r="E108" s="14">
        <f>E105+$E$2</f>
        <v>200</v>
      </c>
      <c r="F108" s="14">
        <f>E108+1</f>
        <v>201</v>
      </c>
      <c r="G108" s="14">
        <f t="shared" ref="G108:G110" si="459">F108+F$6</f>
        <v>203</v>
      </c>
      <c r="H108" s="14">
        <f t="shared" ref="H108:H110" si="460">G108+G$6</f>
        <v>205</v>
      </c>
      <c r="I108" s="14">
        <f t="shared" ref="I108:J108" si="461">H108+H$6</f>
        <v>207</v>
      </c>
      <c r="J108" s="14">
        <f t="shared" si="461"/>
        <v>209</v>
      </c>
      <c r="K108" s="14">
        <f t="shared" ref="K108:K110" si="462">J108+J$6</f>
        <v>211</v>
      </c>
      <c r="L108" s="14">
        <f t="shared" ref="L108:L110" si="463">K108+K$6</f>
        <v>213</v>
      </c>
      <c r="M108" s="14">
        <f t="shared" ref="M108:M110" si="464">L108+L$6</f>
        <v>215</v>
      </c>
      <c r="N108" s="14">
        <f t="shared" ref="N108:X110" si="465">M108+M$6</f>
        <v>217</v>
      </c>
      <c r="O108" s="14">
        <f t="shared" si="465"/>
        <v>219</v>
      </c>
      <c r="P108" s="14">
        <f t="shared" si="465"/>
        <v>221</v>
      </c>
      <c r="Q108" s="14">
        <f t="shared" si="465"/>
        <v>223</v>
      </c>
      <c r="R108" s="14">
        <f t="shared" si="465"/>
        <v>225</v>
      </c>
      <c r="S108" s="14">
        <f t="shared" si="465"/>
        <v>227</v>
      </c>
      <c r="T108" s="14">
        <f t="shared" si="465"/>
        <v>229</v>
      </c>
      <c r="U108" s="14">
        <f t="shared" si="465"/>
        <v>231</v>
      </c>
      <c r="V108" s="14">
        <f t="shared" si="465"/>
        <v>233</v>
      </c>
      <c r="W108" s="14">
        <f t="shared" si="465"/>
        <v>235</v>
      </c>
      <c r="X108" s="14">
        <f t="shared" si="465"/>
        <v>237</v>
      </c>
      <c r="Y108" s="14">
        <f t="shared" si="261"/>
        <v>239</v>
      </c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</row>
    <row r="109" spans="1:68" hidden="1" x14ac:dyDescent="0.25">
      <c r="A109" s="3">
        <v>5</v>
      </c>
      <c r="B109" s="3" t="s">
        <v>327</v>
      </c>
      <c r="C109" s="3" t="s">
        <v>61</v>
      </c>
      <c r="D109" s="3" t="s">
        <v>286</v>
      </c>
      <c r="E109" s="14">
        <f t="shared" ref="E109:E111" si="466">E108+$E$2</f>
        <v>400</v>
      </c>
      <c r="F109" s="14">
        <f>E109+1</f>
        <v>401</v>
      </c>
      <c r="G109" s="14">
        <f t="shared" si="459"/>
        <v>403</v>
      </c>
      <c r="H109" s="14">
        <f t="shared" si="460"/>
        <v>405</v>
      </c>
      <c r="I109" s="14">
        <f t="shared" ref="I109:J109" si="467">H109+H$6</f>
        <v>407</v>
      </c>
      <c r="J109" s="14">
        <f t="shared" si="467"/>
        <v>409</v>
      </c>
      <c r="K109" s="14">
        <f t="shared" si="462"/>
        <v>411</v>
      </c>
      <c r="L109" s="14">
        <f t="shared" si="463"/>
        <v>413</v>
      </c>
      <c r="M109" s="14">
        <f t="shared" si="464"/>
        <v>415</v>
      </c>
      <c r="N109" s="14">
        <f t="shared" ref="N109:BP110" si="468">M109+M$6</f>
        <v>417</v>
      </c>
      <c r="O109" s="14">
        <f t="shared" si="468"/>
        <v>419</v>
      </c>
      <c r="P109" s="14">
        <f t="shared" si="468"/>
        <v>421</v>
      </c>
      <c r="Q109" s="14">
        <f t="shared" si="465"/>
        <v>423</v>
      </c>
      <c r="R109" s="14">
        <f t="shared" si="465"/>
        <v>425</v>
      </c>
      <c r="S109" s="14">
        <f t="shared" si="468"/>
        <v>427</v>
      </c>
      <c r="T109" s="14">
        <f t="shared" si="468"/>
        <v>429</v>
      </c>
      <c r="U109" s="14">
        <f t="shared" si="468"/>
        <v>431</v>
      </c>
      <c r="V109" s="14">
        <f t="shared" si="468"/>
        <v>433</v>
      </c>
      <c r="W109" s="14">
        <f t="shared" si="468"/>
        <v>435</v>
      </c>
      <c r="X109" s="14">
        <f t="shared" si="468"/>
        <v>437</v>
      </c>
      <c r="Y109" s="14">
        <f t="shared" si="261"/>
        <v>439</v>
      </c>
      <c r="Z109" s="14"/>
      <c r="AA109" s="14">
        <f t="shared" si="423"/>
        <v>443</v>
      </c>
      <c r="AB109" s="14">
        <f t="shared" ref="AB109:AB110" si="469">AA109+AA$6</f>
        <v>445</v>
      </c>
      <c r="AC109" s="14">
        <f t="shared" ref="AC109:AC110" si="470">AB109+AB$6</f>
        <v>447</v>
      </c>
      <c r="AD109" s="14">
        <f t="shared" ref="AD109:AD110" si="471">AC109+AC$6</f>
        <v>449</v>
      </c>
      <c r="AE109" s="14">
        <f t="shared" ref="AE109:AE110" si="472">AD109+AD$6</f>
        <v>451</v>
      </c>
      <c r="AF109" s="14">
        <f t="shared" ref="AF109:AF110" si="473">AE109+AE$6</f>
        <v>453</v>
      </c>
      <c r="AG109" s="14">
        <f t="shared" ref="AG109:AG110" si="474">AF109+AF$6</f>
        <v>455</v>
      </c>
      <c r="AH109" s="14">
        <f t="shared" ref="AH109:AH110" si="475">AG109+AG$6</f>
        <v>457</v>
      </c>
      <c r="AI109" s="14">
        <f t="shared" ref="AI109:AI110" si="476">AH109+AH$6</f>
        <v>459</v>
      </c>
      <c r="AJ109" s="14">
        <f t="shared" ref="AJ109:AJ110" si="477">AI109+AI$6</f>
        <v>461</v>
      </c>
      <c r="AK109" s="14">
        <f t="shared" ref="AK109:AK110" si="478">AJ109+AJ$6</f>
        <v>463</v>
      </c>
      <c r="AL109" s="14">
        <f t="shared" ref="AL109:AL110" si="479">AK109+AK$6</f>
        <v>465</v>
      </c>
      <c r="AM109" s="14">
        <f t="shared" ref="AM109:AM110" si="480">AL109+AL$6</f>
        <v>467</v>
      </c>
      <c r="AN109" s="14">
        <f t="shared" ref="AN109:AN110" si="481">AM109+AM$6</f>
        <v>469</v>
      </c>
      <c r="AO109" s="14">
        <f t="shared" ref="AO109:AO110" si="482">AN109+AN$6</f>
        <v>471</v>
      </c>
      <c r="AP109" s="14">
        <f t="shared" ref="AP109:AP110" si="483">AO109+AO$6</f>
        <v>473</v>
      </c>
      <c r="AQ109" s="14">
        <f t="shared" ref="AQ109:AQ110" si="484">AP109+AP$6</f>
        <v>475</v>
      </c>
      <c r="AR109" s="14">
        <f t="shared" ref="AR109:AR110" si="485">AQ109+AQ$6</f>
        <v>477</v>
      </c>
      <c r="AS109" s="14">
        <f t="shared" ref="AS109:AS110" si="486">AR109+AR$6</f>
        <v>479</v>
      </c>
      <c r="AT109" s="14">
        <f t="shared" ref="AT109:AT110" si="487">AS109+AS$6</f>
        <v>481</v>
      </c>
      <c r="AU109" s="14">
        <f t="shared" ref="AU109:AU110" si="488">AT109+AT$6</f>
        <v>483</v>
      </c>
      <c r="AV109" s="14">
        <f t="shared" ref="AV109:AV110" si="489">AU109+AU$6</f>
        <v>485</v>
      </c>
      <c r="AW109" s="14">
        <f t="shared" ref="AW109:AW110" si="490">AV109+AV$6</f>
        <v>487</v>
      </c>
      <c r="AX109" s="14">
        <f t="shared" ref="AX109:AX110" si="491">AW109+AW$6</f>
        <v>489</v>
      </c>
      <c r="AY109" s="14">
        <f t="shared" ref="AY109:AY110" si="492">AX109+AX$6</f>
        <v>491</v>
      </c>
      <c r="AZ109" s="14">
        <f t="shared" ref="AZ109:AZ110" si="493">AY109+AY$6</f>
        <v>493</v>
      </c>
      <c r="BA109" s="14">
        <f t="shared" ref="BA109:BA110" si="494">AZ109+AZ$6</f>
        <v>495</v>
      </c>
      <c r="BB109" s="14">
        <f t="shared" ref="BB109:BB110" si="495">BA109+BA$6</f>
        <v>497</v>
      </c>
      <c r="BC109" s="14">
        <f t="shared" ref="BC109:BC110" si="496">BB109+BB$6</f>
        <v>499</v>
      </c>
      <c r="BD109" s="14">
        <f t="shared" ref="BD109:BD110" si="497">BC109+BC$6</f>
        <v>501</v>
      </c>
      <c r="BE109" s="14">
        <f t="shared" ref="BE109:BE110" si="498">BD109+BD$6</f>
        <v>503</v>
      </c>
      <c r="BF109" s="14">
        <f t="shared" ref="BF109:BF110" si="499">BE109+BE$6</f>
        <v>505</v>
      </c>
      <c r="BG109" s="14">
        <f t="shared" ref="BG109:BG110" si="500">BF109+BF$6</f>
        <v>507</v>
      </c>
      <c r="BH109" s="14">
        <f t="shared" ref="BH109:BH110" si="501">BG109+BG$6</f>
        <v>509</v>
      </c>
      <c r="BI109" s="14">
        <f t="shared" ref="BI109:BI110" si="502">BH109+BH$6</f>
        <v>511</v>
      </c>
      <c r="BJ109" s="14">
        <f t="shared" ref="BJ109:BJ110" si="503">BI109+BI$6</f>
        <v>513</v>
      </c>
      <c r="BK109" s="14">
        <f t="shared" si="468"/>
        <v>515</v>
      </c>
      <c r="BL109" s="14">
        <f t="shared" si="468"/>
        <v>517</v>
      </c>
      <c r="BM109" s="14">
        <f t="shared" si="468"/>
        <v>519</v>
      </c>
      <c r="BN109" s="14">
        <f t="shared" si="468"/>
        <v>521</v>
      </c>
      <c r="BO109" s="14">
        <f t="shared" si="468"/>
        <v>523</v>
      </c>
      <c r="BP109" s="14">
        <f t="shared" si="468"/>
        <v>525</v>
      </c>
    </row>
    <row r="110" spans="1:68" hidden="1" x14ac:dyDescent="0.25">
      <c r="A110" s="3">
        <v>6</v>
      </c>
      <c r="B110" s="3" t="s">
        <v>327</v>
      </c>
      <c r="C110" s="3" t="s">
        <v>62</v>
      </c>
      <c r="D110" s="3" t="s">
        <v>286</v>
      </c>
      <c r="E110" s="14">
        <f t="shared" si="466"/>
        <v>600</v>
      </c>
      <c r="F110" s="14">
        <f>E110+1</f>
        <v>601</v>
      </c>
      <c r="G110" s="14">
        <f t="shared" si="459"/>
        <v>603</v>
      </c>
      <c r="H110" s="14">
        <f t="shared" si="460"/>
        <v>605</v>
      </c>
      <c r="I110" s="14">
        <f t="shared" ref="I110:J110" si="504">H110+H$6</f>
        <v>607</v>
      </c>
      <c r="J110" s="14">
        <f t="shared" si="504"/>
        <v>609</v>
      </c>
      <c r="K110" s="14">
        <f t="shared" si="462"/>
        <v>611</v>
      </c>
      <c r="L110" s="14">
        <f t="shared" si="463"/>
        <v>613</v>
      </c>
      <c r="M110" s="14">
        <f t="shared" si="464"/>
        <v>615</v>
      </c>
      <c r="N110" s="14">
        <f t="shared" ref="N110:X110" si="505">M110+M$6</f>
        <v>617</v>
      </c>
      <c r="O110" s="14">
        <f t="shared" si="505"/>
        <v>619</v>
      </c>
      <c r="P110" s="14">
        <f t="shared" si="505"/>
        <v>621</v>
      </c>
      <c r="Q110" s="14">
        <f t="shared" si="465"/>
        <v>623</v>
      </c>
      <c r="R110" s="14">
        <f t="shared" si="465"/>
        <v>625</v>
      </c>
      <c r="S110" s="14">
        <f t="shared" si="505"/>
        <v>627</v>
      </c>
      <c r="T110" s="14">
        <f t="shared" si="505"/>
        <v>629</v>
      </c>
      <c r="U110" s="14">
        <f t="shared" si="505"/>
        <v>631</v>
      </c>
      <c r="V110" s="14">
        <f t="shared" si="505"/>
        <v>633</v>
      </c>
      <c r="W110" s="14">
        <f t="shared" si="505"/>
        <v>635</v>
      </c>
      <c r="X110" s="14">
        <f t="shared" si="505"/>
        <v>637</v>
      </c>
      <c r="Y110" s="14">
        <f t="shared" si="261"/>
        <v>639</v>
      </c>
      <c r="Z110" s="14"/>
      <c r="AA110" s="14">
        <f t="shared" si="423"/>
        <v>643</v>
      </c>
      <c r="AB110" s="14">
        <f t="shared" si="469"/>
        <v>645</v>
      </c>
      <c r="AC110" s="14">
        <f t="shared" si="470"/>
        <v>647</v>
      </c>
      <c r="AD110" s="14">
        <f t="shared" si="471"/>
        <v>649</v>
      </c>
      <c r="AE110" s="14">
        <f t="shared" si="472"/>
        <v>651</v>
      </c>
      <c r="AF110" s="14">
        <f t="shared" si="473"/>
        <v>653</v>
      </c>
      <c r="AG110" s="14">
        <f t="shared" si="474"/>
        <v>655</v>
      </c>
      <c r="AH110" s="14">
        <f t="shared" si="475"/>
        <v>657</v>
      </c>
      <c r="AI110" s="14">
        <f t="shared" si="476"/>
        <v>659</v>
      </c>
      <c r="AJ110" s="14">
        <f t="shared" si="477"/>
        <v>661</v>
      </c>
      <c r="AK110" s="14">
        <f t="shared" si="478"/>
        <v>663</v>
      </c>
      <c r="AL110" s="14">
        <f t="shared" si="479"/>
        <v>665</v>
      </c>
      <c r="AM110" s="14">
        <f t="shared" si="480"/>
        <v>667</v>
      </c>
      <c r="AN110" s="14">
        <f t="shared" si="481"/>
        <v>669</v>
      </c>
      <c r="AO110" s="14">
        <f t="shared" si="482"/>
        <v>671</v>
      </c>
      <c r="AP110" s="14">
        <f t="shared" si="483"/>
        <v>673</v>
      </c>
      <c r="AQ110" s="14">
        <f t="shared" si="484"/>
        <v>675</v>
      </c>
      <c r="AR110" s="14">
        <f t="shared" si="485"/>
        <v>677</v>
      </c>
      <c r="AS110" s="14">
        <f t="shared" si="486"/>
        <v>679</v>
      </c>
      <c r="AT110" s="14">
        <f t="shared" si="487"/>
        <v>681</v>
      </c>
      <c r="AU110" s="14">
        <f t="shared" si="488"/>
        <v>683</v>
      </c>
      <c r="AV110" s="14">
        <f t="shared" si="489"/>
        <v>685</v>
      </c>
      <c r="AW110" s="14">
        <f t="shared" si="490"/>
        <v>687</v>
      </c>
      <c r="AX110" s="14">
        <f t="shared" si="491"/>
        <v>689</v>
      </c>
      <c r="AY110" s="14">
        <f t="shared" si="492"/>
        <v>691</v>
      </c>
      <c r="AZ110" s="14">
        <f t="shared" si="493"/>
        <v>693</v>
      </c>
      <c r="BA110" s="14">
        <f t="shared" si="494"/>
        <v>695</v>
      </c>
      <c r="BB110" s="14">
        <f t="shared" si="495"/>
        <v>697</v>
      </c>
      <c r="BC110" s="14">
        <f t="shared" si="496"/>
        <v>699</v>
      </c>
      <c r="BD110" s="14">
        <f t="shared" si="497"/>
        <v>701</v>
      </c>
      <c r="BE110" s="14">
        <f t="shared" si="498"/>
        <v>703</v>
      </c>
      <c r="BF110" s="14">
        <f t="shared" si="499"/>
        <v>705</v>
      </c>
      <c r="BG110" s="14">
        <f t="shared" si="500"/>
        <v>707</v>
      </c>
      <c r="BH110" s="14">
        <f t="shared" si="501"/>
        <v>709</v>
      </c>
      <c r="BI110" s="14">
        <f t="shared" si="502"/>
        <v>711</v>
      </c>
      <c r="BJ110" s="14">
        <f t="shared" si="503"/>
        <v>713</v>
      </c>
      <c r="BK110" s="14">
        <f t="shared" si="468"/>
        <v>715</v>
      </c>
      <c r="BL110" s="14">
        <f t="shared" si="468"/>
        <v>717</v>
      </c>
      <c r="BM110" s="14">
        <f t="shared" si="468"/>
        <v>719</v>
      </c>
      <c r="BN110" s="14">
        <f t="shared" si="468"/>
        <v>721</v>
      </c>
      <c r="BO110" s="14">
        <f t="shared" si="468"/>
        <v>723</v>
      </c>
      <c r="BP110" s="14">
        <f t="shared" si="468"/>
        <v>725</v>
      </c>
    </row>
    <row r="111" spans="1:68" hidden="1" x14ac:dyDescent="0.25">
      <c r="A111" s="3">
        <v>7</v>
      </c>
      <c r="B111" s="3" t="s">
        <v>327</v>
      </c>
      <c r="C111" s="6" t="s">
        <v>582</v>
      </c>
      <c r="D111" s="6" t="s">
        <v>575</v>
      </c>
      <c r="E111" s="17">
        <f t="shared" si="466"/>
        <v>800</v>
      </c>
      <c r="F111" s="14">
        <f>E111+1</f>
        <v>801</v>
      </c>
      <c r="G111" s="14">
        <f t="shared" ref="G111" si="506">F111+F$6</f>
        <v>803</v>
      </c>
      <c r="H111" s="14">
        <f t="shared" ref="H111" si="507">G111+G$6</f>
        <v>805</v>
      </c>
      <c r="I111" s="14">
        <f t="shared" ref="I111" si="508">H111+H$6</f>
        <v>807</v>
      </c>
      <c r="J111" s="14">
        <f t="shared" ref="J111" si="509">I111+I$6</f>
        <v>809</v>
      </c>
      <c r="K111" s="14">
        <f t="shared" ref="K111" si="510">J111+J$6</f>
        <v>811</v>
      </c>
      <c r="L111" s="14">
        <f t="shared" ref="L111" si="511">K111+K$6</f>
        <v>813</v>
      </c>
      <c r="M111" s="14">
        <f t="shared" ref="M111" si="512">L111+L$6</f>
        <v>815</v>
      </c>
      <c r="N111" s="14">
        <f t="shared" ref="N111" si="513">M111+M$6</f>
        <v>817</v>
      </c>
      <c r="O111" s="14">
        <f t="shared" ref="O111" si="514">N111+N$6</f>
        <v>819</v>
      </c>
      <c r="P111" s="14">
        <f t="shared" ref="P111" si="515">O111+O$6</f>
        <v>821</v>
      </c>
      <c r="Q111" s="14">
        <f t="shared" ref="Q111" si="516">P111+P$6</f>
        <v>823</v>
      </c>
      <c r="R111" s="14">
        <f t="shared" ref="R111" si="517">Q111+Q$6</f>
        <v>825</v>
      </c>
      <c r="S111" s="14">
        <f t="shared" ref="S111" si="518">R111+R$6</f>
        <v>827</v>
      </c>
      <c r="T111" s="14">
        <f t="shared" ref="T111" si="519">S111+S$6</f>
        <v>829</v>
      </c>
      <c r="U111" s="14">
        <f t="shared" ref="U111" si="520">T111+T$6</f>
        <v>831</v>
      </c>
      <c r="V111" s="14">
        <f t="shared" ref="V111" si="521">U111+U$6</f>
        <v>833</v>
      </c>
      <c r="W111" s="14">
        <f t="shared" ref="W111" si="522">V111+V$6</f>
        <v>835</v>
      </c>
      <c r="X111" s="14">
        <f t="shared" ref="X111" si="523">W111+W$6</f>
        <v>837</v>
      </c>
      <c r="Y111" s="14">
        <f t="shared" ref="Y111" si="524">X111+X$6</f>
        <v>839</v>
      </c>
      <c r="Z111" s="14"/>
      <c r="AA111" s="14">
        <f t="shared" ref="AA111" si="525">Y111+$Z$6+$Y$6</f>
        <v>843</v>
      </c>
      <c r="AB111" s="14">
        <f t="shared" ref="AB111" si="526">AA111+AA$6</f>
        <v>845</v>
      </c>
      <c r="AC111" s="14">
        <f t="shared" ref="AC111" si="527">AB111+AB$6</f>
        <v>847</v>
      </c>
      <c r="AD111" s="14">
        <f t="shared" ref="AD111" si="528">AC111+AC$6</f>
        <v>849</v>
      </c>
      <c r="AE111" s="14">
        <f t="shared" ref="AE111" si="529">AD111+AD$6</f>
        <v>851</v>
      </c>
      <c r="AF111" s="14">
        <f t="shared" ref="AF111" si="530">AE111+AE$6</f>
        <v>853</v>
      </c>
      <c r="AG111" s="14">
        <f t="shared" ref="AG111" si="531">AF111+AF$6</f>
        <v>855</v>
      </c>
      <c r="AH111" s="14">
        <f t="shared" ref="AH111" si="532">AG111+AG$6</f>
        <v>857</v>
      </c>
      <c r="AI111" s="14">
        <f t="shared" ref="AI111" si="533">AH111+AH$6</f>
        <v>859</v>
      </c>
      <c r="AJ111" s="14">
        <f t="shared" ref="AJ111" si="534">AI111+AI$6</f>
        <v>861</v>
      </c>
      <c r="AK111" s="14">
        <f t="shared" ref="AK111" si="535">AJ111+AJ$6</f>
        <v>863</v>
      </c>
      <c r="AL111" s="14">
        <f t="shared" ref="AL111" si="536">AK111+AK$6</f>
        <v>865</v>
      </c>
      <c r="AM111" s="14">
        <f t="shared" ref="AM111" si="537">AL111+AL$6</f>
        <v>867</v>
      </c>
      <c r="AN111" s="14">
        <f t="shared" ref="AN111" si="538">AM111+AM$6</f>
        <v>869</v>
      </c>
      <c r="AO111" s="14">
        <f t="shared" ref="AO111" si="539">AN111+AN$6</f>
        <v>871</v>
      </c>
      <c r="AP111" s="14">
        <f t="shared" ref="AP111" si="540">AO111+AO$6</f>
        <v>873</v>
      </c>
      <c r="AQ111" s="14">
        <f t="shared" ref="AQ111" si="541">AP111+AP$6</f>
        <v>875</v>
      </c>
      <c r="AR111" s="14">
        <f t="shared" ref="AR111" si="542">AQ111+AQ$6</f>
        <v>877</v>
      </c>
      <c r="AS111" s="14">
        <f t="shared" ref="AS111" si="543">AR111+AR$6</f>
        <v>879</v>
      </c>
      <c r="AT111" s="14">
        <f t="shared" ref="AT111" si="544">AS111+AS$6</f>
        <v>881</v>
      </c>
      <c r="AU111" s="14">
        <f t="shared" ref="AU111" si="545">AT111+AT$6</f>
        <v>883</v>
      </c>
      <c r="AV111" s="14">
        <f t="shared" ref="AV111" si="546">AU111+AU$6</f>
        <v>885</v>
      </c>
      <c r="AW111" s="14">
        <f t="shared" ref="AW111" si="547">AV111+AV$6</f>
        <v>887</v>
      </c>
      <c r="AX111" s="14">
        <f t="shared" ref="AX111" si="548">AW111+AW$6</f>
        <v>889</v>
      </c>
      <c r="AY111" s="14">
        <f t="shared" ref="AY111" si="549">AX111+AX$6</f>
        <v>891</v>
      </c>
      <c r="AZ111" s="14">
        <f t="shared" ref="AZ111" si="550">AY111+AY$6</f>
        <v>893</v>
      </c>
      <c r="BA111" s="14">
        <f t="shared" ref="BA111" si="551">AZ111+AZ$6</f>
        <v>895</v>
      </c>
      <c r="BB111" s="14">
        <f t="shared" ref="BB111" si="552">BA111+BA$6</f>
        <v>897</v>
      </c>
      <c r="BC111" s="14">
        <f t="shared" ref="BC111" si="553">BB111+BB$6</f>
        <v>899</v>
      </c>
      <c r="BD111" s="14">
        <f t="shared" ref="BD111" si="554">BC111+BC$6</f>
        <v>901</v>
      </c>
      <c r="BE111" s="14">
        <f t="shared" ref="BE111" si="555">BD111+BD$6</f>
        <v>903</v>
      </c>
      <c r="BF111" s="14">
        <f t="shared" ref="BF111" si="556">BE111+BE$6</f>
        <v>905</v>
      </c>
      <c r="BG111" s="14">
        <f t="shared" ref="BG111" si="557">BF111+BF$6</f>
        <v>907</v>
      </c>
      <c r="BH111" s="14">
        <f t="shared" ref="BH111" si="558">BG111+BG$6</f>
        <v>909</v>
      </c>
      <c r="BI111" s="14">
        <f t="shared" ref="BI111" si="559">BH111+BH$6</f>
        <v>911</v>
      </c>
      <c r="BJ111" s="14">
        <f t="shared" ref="BJ111" si="560">BI111+BI$6</f>
        <v>913</v>
      </c>
      <c r="BK111" s="14">
        <f t="shared" ref="BK111" si="561">BJ111+BJ$6</f>
        <v>915</v>
      </c>
      <c r="BL111" s="14">
        <f t="shared" ref="BL111" si="562">BK111+BK$6</f>
        <v>917</v>
      </c>
      <c r="BM111" s="14">
        <f t="shared" ref="BM111" si="563">BL111+BL$6</f>
        <v>919</v>
      </c>
      <c r="BN111" s="14">
        <f t="shared" ref="BN111" si="564">BM111+BM$6</f>
        <v>921</v>
      </c>
      <c r="BO111" s="14">
        <f t="shared" ref="BO111" si="565">BN111+BN$6</f>
        <v>923</v>
      </c>
      <c r="BP111" s="14">
        <f t="shared" ref="BP111" si="566">BO111+BO$6</f>
        <v>925</v>
      </c>
    </row>
    <row r="112" spans="1:68" hidden="1" x14ac:dyDescent="0.25">
      <c r="A112" s="3">
        <v>8</v>
      </c>
      <c r="B112" s="3" t="s">
        <v>327</v>
      </c>
      <c r="C112" s="3" t="s">
        <v>249</v>
      </c>
      <c r="D112" s="3" t="s">
        <v>300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</row>
    <row r="113" spans="1:68" hidden="1" x14ac:dyDescent="0.25">
      <c r="A113" s="3">
        <v>9</v>
      </c>
      <c r="B113" s="3" t="s">
        <v>327</v>
      </c>
      <c r="C113" s="3" t="s">
        <v>257</v>
      </c>
      <c r="D113" s="3" t="s">
        <v>308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</row>
    <row r="114" spans="1:68" hidden="1" x14ac:dyDescent="0.25">
      <c r="A114" s="3">
        <v>10</v>
      </c>
      <c r="B114" s="3" t="s">
        <v>327</v>
      </c>
      <c r="C114" s="3" t="s">
        <v>258</v>
      </c>
      <c r="D114" s="3" t="s">
        <v>309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</row>
    <row r="115" spans="1:68" hidden="1" x14ac:dyDescent="0.25">
      <c r="A115" s="3">
        <v>11</v>
      </c>
      <c r="B115" s="3" t="s">
        <v>327</v>
      </c>
      <c r="C115" s="3" t="s">
        <v>64</v>
      </c>
      <c r="D115" s="3" t="s">
        <v>288</v>
      </c>
      <c r="E115" s="14">
        <f>E111+$E$2</f>
        <v>1000</v>
      </c>
      <c r="F115" s="14">
        <f>E115+1</f>
        <v>1001</v>
      </c>
      <c r="G115" s="14">
        <f t="shared" ref="G115" si="567">F115+F$6</f>
        <v>1003</v>
      </c>
      <c r="H115" s="14">
        <f t="shared" ref="H115" si="568">G115+G$6</f>
        <v>1005</v>
      </c>
      <c r="I115" s="14">
        <f>H115+H$6</f>
        <v>1007</v>
      </c>
      <c r="J115" s="14">
        <f>I115+I$6</f>
        <v>1009</v>
      </c>
      <c r="K115" s="14">
        <f t="shared" ref="K115" si="569">J115+J$6</f>
        <v>1011</v>
      </c>
      <c r="L115" s="14">
        <f t="shared" ref="L115" si="570">K115+K$6</f>
        <v>1013</v>
      </c>
      <c r="M115" s="14">
        <f t="shared" ref="M115" si="571">L115+L$6</f>
        <v>1015</v>
      </c>
      <c r="N115" s="14">
        <f t="shared" ref="N115:X115" si="572">M115+M$6</f>
        <v>1017</v>
      </c>
      <c r="O115" s="14">
        <f t="shared" si="572"/>
        <v>1019</v>
      </c>
      <c r="P115" s="14">
        <f t="shared" si="572"/>
        <v>1021</v>
      </c>
      <c r="Q115" s="14">
        <f>P115+P$6</f>
        <v>1023</v>
      </c>
      <c r="R115" s="14">
        <f>Q115+Q$6</f>
        <v>1025</v>
      </c>
      <c r="S115" s="14">
        <f t="shared" si="572"/>
        <v>1027</v>
      </c>
      <c r="T115" s="14">
        <f t="shared" si="572"/>
        <v>1029</v>
      </c>
      <c r="U115" s="14">
        <f t="shared" si="572"/>
        <v>1031</v>
      </c>
      <c r="V115" s="14">
        <f t="shared" si="572"/>
        <v>1033</v>
      </c>
      <c r="W115" s="14">
        <f t="shared" si="572"/>
        <v>1035</v>
      </c>
      <c r="X115" s="14">
        <f t="shared" si="572"/>
        <v>1037</v>
      </c>
      <c r="Y115" s="14">
        <f t="shared" si="261"/>
        <v>1039</v>
      </c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</row>
    <row r="116" spans="1:68" hidden="1" x14ac:dyDescent="0.25">
      <c r="A116" s="3">
        <v>12</v>
      </c>
      <c r="B116" s="3" t="s">
        <v>327</v>
      </c>
      <c r="C116" s="3" t="s">
        <v>259</v>
      </c>
      <c r="D116" s="3" t="s">
        <v>310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</row>
    <row r="117" spans="1:68" hidden="1" x14ac:dyDescent="0.25">
      <c r="A117" s="3">
        <v>13</v>
      </c>
      <c r="B117" s="3" t="s">
        <v>327</v>
      </c>
      <c r="C117" s="3" t="s">
        <v>65</v>
      </c>
      <c r="D117" s="3" t="s">
        <v>289</v>
      </c>
      <c r="E117" s="14">
        <f>E115+$E$2</f>
        <v>1200</v>
      </c>
      <c r="F117" s="14">
        <f>E117+1</f>
        <v>1201</v>
      </c>
      <c r="G117" s="14">
        <f t="shared" ref="G117:G118" si="573">F117+F$6</f>
        <v>1203</v>
      </c>
      <c r="H117" s="14">
        <f t="shared" ref="H117:H118" si="574">G117+G$6</f>
        <v>1205</v>
      </c>
      <c r="I117" s="14">
        <f t="shared" ref="I117:J117" si="575">H117+H$6</f>
        <v>1207</v>
      </c>
      <c r="J117" s="14">
        <f t="shared" si="575"/>
        <v>1209</v>
      </c>
      <c r="K117" s="14">
        <f t="shared" ref="K117:K118" si="576">J117+J$6</f>
        <v>1211</v>
      </c>
      <c r="L117" s="14">
        <f t="shared" ref="L117:L118" si="577">K117+K$6</f>
        <v>1213</v>
      </c>
      <c r="M117" s="14">
        <f t="shared" ref="M117:M118" si="578">L117+L$6</f>
        <v>1215</v>
      </c>
      <c r="N117" s="14">
        <f t="shared" ref="N117:X118" si="579">M117+M$6</f>
        <v>1217</v>
      </c>
      <c r="O117" s="14">
        <f t="shared" si="579"/>
        <v>1219</v>
      </c>
      <c r="P117" s="14">
        <f t="shared" si="579"/>
        <v>1221</v>
      </c>
      <c r="Q117" s="14">
        <f t="shared" si="579"/>
        <v>1223</v>
      </c>
      <c r="R117" s="14">
        <f t="shared" si="579"/>
        <v>1225</v>
      </c>
      <c r="S117" s="14">
        <f t="shared" si="579"/>
        <v>1227</v>
      </c>
      <c r="T117" s="14">
        <f t="shared" si="579"/>
        <v>1229</v>
      </c>
      <c r="U117" s="14">
        <f t="shared" si="579"/>
        <v>1231</v>
      </c>
      <c r="V117" s="14">
        <f t="shared" si="579"/>
        <v>1233</v>
      </c>
      <c r="W117" s="14">
        <f t="shared" si="579"/>
        <v>1235</v>
      </c>
      <c r="X117" s="14">
        <f t="shared" si="579"/>
        <v>1237</v>
      </c>
      <c r="Y117" s="14">
        <f t="shared" si="261"/>
        <v>1239</v>
      </c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</row>
    <row r="118" spans="1:68" hidden="1" x14ac:dyDescent="0.25">
      <c r="A118" s="3">
        <v>14</v>
      </c>
      <c r="B118" s="3" t="s">
        <v>327</v>
      </c>
      <c r="C118" s="3" t="s">
        <v>66</v>
      </c>
      <c r="D118" s="3" t="s">
        <v>290</v>
      </c>
      <c r="E118" s="14">
        <f>E117+$E$2</f>
        <v>1400</v>
      </c>
      <c r="F118" s="14">
        <f>E118+1</f>
        <v>1401</v>
      </c>
      <c r="G118" s="14">
        <f t="shared" si="573"/>
        <v>1403</v>
      </c>
      <c r="H118" s="14">
        <f t="shared" si="574"/>
        <v>1405</v>
      </c>
      <c r="I118" s="14">
        <f t="shared" ref="I118:J118" si="580">H118+H$6</f>
        <v>1407</v>
      </c>
      <c r="J118" s="14">
        <f t="shared" si="580"/>
        <v>1409</v>
      </c>
      <c r="K118" s="14">
        <f t="shared" si="576"/>
        <v>1411</v>
      </c>
      <c r="L118" s="14">
        <f t="shared" si="577"/>
        <v>1413</v>
      </c>
      <c r="M118" s="14">
        <f t="shared" si="578"/>
        <v>1415</v>
      </c>
      <c r="N118" s="14">
        <f t="shared" ref="N118:X118" si="581">M118+M$6</f>
        <v>1417</v>
      </c>
      <c r="O118" s="14">
        <f t="shared" si="581"/>
        <v>1419</v>
      </c>
      <c r="P118" s="14">
        <f t="shared" si="581"/>
        <v>1421</v>
      </c>
      <c r="Q118" s="14">
        <f t="shared" si="579"/>
        <v>1423</v>
      </c>
      <c r="R118" s="14">
        <f t="shared" si="579"/>
        <v>1425</v>
      </c>
      <c r="S118" s="14">
        <f t="shared" si="581"/>
        <v>1427</v>
      </c>
      <c r="T118" s="14">
        <f t="shared" si="581"/>
        <v>1429</v>
      </c>
      <c r="U118" s="14">
        <f t="shared" si="581"/>
        <v>1431</v>
      </c>
      <c r="V118" s="14">
        <f t="shared" si="581"/>
        <v>1433</v>
      </c>
      <c r="W118" s="14">
        <f t="shared" si="581"/>
        <v>1435</v>
      </c>
      <c r="X118" s="14">
        <f t="shared" si="581"/>
        <v>1437</v>
      </c>
      <c r="Y118" s="14">
        <f t="shared" si="261"/>
        <v>1439</v>
      </c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</row>
    <row r="119" spans="1:68" hidden="1" x14ac:dyDescent="0.25">
      <c r="A119" s="3">
        <v>15</v>
      </c>
      <c r="B119" s="3" t="s">
        <v>327</v>
      </c>
      <c r="C119" s="3" t="s">
        <v>241</v>
      </c>
      <c r="D119" s="3" t="s">
        <v>290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</row>
    <row r="120" spans="1:68" x14ac:dyDescent="0.25">
      <c r="A120" s="3">
        <v>16</v>
      </c>
      <c r="B120" s="3" t="s">
        <v>327</v>
      </c>
      <c r="C120" s="3" t="s">
        <v>67</v>
      </c>
      <c r="D120" s="3" t="s">
        <v>291</v>
      </c>
      <c r="E120" s="14">
        <f>E118+$E$2</f>
        <v>1600</v>
      </c>
      <c r="F120" s="14">
        <f>E120+1</f>
        <v>1601</v>
      </c>
      <c r="G120" s="14">
        <f t="shared" ref="G120" si="582">F120+F$6</f>
        <v>1603</v>
      </c>
      <c r="H120" s="14">
        <f t="shared" ref="H120" si="583">G120+G$6</f>
        <v>1605</v>
      </c>
      <c r="I120" s="14">
        <f>H120+H$6</f>
        <v>1607</v>
      </c>
      <c r="J120" s="14">
        <f>I120+I$6</f>
        <v>1609</v>
      </c>
      <c r="K120" s="14">
        <f t="shared" ref="K120" si="584">J120+J$6</f>
        <v>1611</v>
      </c>
      <c r="L120" s="14">
        <f t="shared" ref="L120" si="585">K120+K$6</f>
        <v>1613</v>
      </c>
      <c r="M120" s="14">
        <f t="shared" ref="M120" si="586">L120+L$6</f>
        <v>1615</v>
      </c>
      <c r="N120" s="14">
        <f t="shared" ref="N120:X120" si="587">M120+M$6</f>
        <v>1617</v>
      </c>
      <c r="O120" s="14">
        <f t="shared" si="587"/>
        <v>1619</v>
      </c>
      <c r="P120" s="14">
        <f t="shared" si="587"/>
        <v>1621</v>
      </c>
      <c r="Q120" s="14">
        <f>P120+P$6</f>
        <v>1623</v>
      </c>
      <c r="R120" s="14">
        <f>Q120+Q$6</f>
        <v>1625</v>
      </c>
      <c r="S120" s="14">
        <f t="shared" si="587"/>
        <v>1627</v>
      </c>
      <c r="T120" s="14">
        <f t="shared" si="587"/>
        <v>1629</v>
      </c>
      <c r="U120" s="14">
        <f t="shared" si="587"/>
        <v>1631</v>
      </c>
      <c r="V120" s="14">
        <f t="shared" si="587"/>
        <v>1633</v>
      </c>
      <c r="W120" s="14">
        <f t="shared" si="587"/>
        <v>1635</v>
      </c>
      <c r="X120" s="14">
        <f t="shared" si="587"/>
        <v>1637</v>
      </c>
      <c r="Y120" s="14">
        <f t="shared" si="261"/>
        <v>1639</v>
      </c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</row>
    <row r="121" spans="1:68" x14ac:dyDescent="0.25">
      <c r="A121" s="3">
        <v>17</v>
      </c>
      <c r="B121" s="3" t="s">
        <v>327</v>
      </c>
      <c r="C121" s="3" t="s">
        <v>239</v>
      </c>
      <c r="D121" s="3" t="s">
        <v>291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</row>
    <row r="122" spans="1:68" hidden="1" x14ac:dyDescent="0.25">
      <c r="A122" s="3">
        <v>18</v>
      </c>
      <c r="B122" s="3" t="s">
        <v>327</v>
      </c>
      <c r="C122" s="3" t="s">
        <v>68</v>
      </c>
      <c r="D122" s="3" t="s">
        <v>292</v>
      </c>
      <c r="E122" s="14">
        <f>E120+$E$2</f>
        <v>1800</v>
      </c>
      <c r="F122" s="14">
        <f>E122+1</f>
        <v>1801</v>
      </c>
      <c r="G122" s="14">
        <f t="shared" ref="G122" si="588">F122+F$6</f>
        <v>1803</v>
      </c>
      <c r="H122" s="14">
        <f t="shared" ref="H122" si="589">G122+G$6</f>
        <v>1805</v>
      </c>
      <c r="I122" s="14">
        <f>H122+H$6</f>
        <v>1807</v>
      </c>
      <c r="J122" s="14">
        <f>I122+I$6</f>
        <v>1809</v>
      </c>
      <c r="K122" s="14">
        <f t="shared" ref="K122" si="590">J122+J$6</f>
        <v>1811</v>
      </c>
      <c r="L122" s="14">
        <f t="shared" ref="L122" si="591">K122+K$6</f>
        <v>1813</v>
      </c>
      <c r="M122" s="14">
        <f t="shared" ref="M122" si="592">L122+L$6</f>
        <v>1815</v>
      </c>
      <c r="N122" s="14">
        <f t="shared" ref="N122:X122" si="593">M122+M$6</f>
        <v>1817</v>
      </c>
      <c r="O122" s="14">
        <f t="shared" si="593"/>
        <v>1819</v>
      </c>
      <c r="P122" s="14">
        <f t="shared" si="593"/>
        <v>1821</v>
      </c>
      <c r="Q122" s="14">
        <f>P122+P$6</f>
        <v>1823</v>
      </c>
      <c r="R122" s="14">
        <f>Q122+Q$6</f>
        <v>1825</v>
      </c>
      <c r="S122" s="14">
        <f t="shared" si="593"/>
        <v>1827</v>
      </c>
      <c r="T122" s="14">
        <f t="shared" si="593"/>
        <v>1829</v>
      </c>
      <c r="U122" s="14">
        <f t="shared" si="593"/>
        <v>1831</v>
      </c>
      <c r="V122" s="14">
        <f t="shared" si="593"/>
        <v>1833</v>
      </c>
      <c r="W122" s="14">
        <f t="shared" si="593"/>
        <v>1835</v>
      </c>
      <c r="X122" s="14">
        <f t="shared" si="593"/>
        <v>1837</v>
      </c>
      <c r="Y122" s="14">
        <f t="shared" si="261"/>
        <v>1839</v>
      </c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</row>
    <row r="123" spans="1:68" hidden="1" x14ac:dyDescent="0.25">
      <c r="A123" s="3">
        <v>19</v>
      </c>
      <c r="B123" s="3" t="s">
        <v>327</v>
      </c>
      <c r="C123" s="3" t="s">
        <v>240</v>
      </c>
      <c r="D123" s="3" t="s">
        <v>292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</row>
    <row r="124" spans="1:68" hidden="1" x14ac:dyDescent="0.25">
      <c r="A124" s="3">
        <v>20</v>
      </c>
      <c r="B124" s="3" t="s">
        <v>327</v>
      </c>
      <c r="C124" s="3" t="s">
        <v>117</v>
      </c>
      <c r="D124" s="3" t="s">
        <v>282</v>
      </c>
      <c r="E124" s="14">
        <f t="shared" ref="E124" si="594">E122+$E$2</f>
        <v>2000</v>
      </c>
      <c r="F124" s="14">
        <f t="shared" si="273"/>
        <v>2001</v>
      </c>
      <c r="G124" s="14">
        <f t="shared" ref="G124:G126" si="595">F124+F$6</f>
        <v>2003</v>
      </c>
      <c r="H124" s="14">
        <f t="shared" ref="H124:H126" si="596">G124+G$6</f>
        <v>2005</v>
      </c>
      <c r="I124" s="14">
        <f t="shared" ref="I124:J124" si="597">H124+H$6</f>
        <v>2007</v>
      </c>
      <c r="J124" s="14">
        <f t="shared" si="597"/>
        <v>2009</v>
      </c>
      <c r="K124" s="14">
        <f t="shared" ref="K124:K126" si="598">J124+J$6</f>
        <v>2011</v>
      </c>
      <c r="L124" s="14">
        <f t="shared" ref="L124:L126" si="599">K124+K$6</f>
        <v>2013</v>
      </c>
      <c r="M124" s="14">
        <f t="shared" ref="M124:M126" si="600">L124+L$6</f>
        <v>2015</v>
      </c>
      <c r="N124" s="14">
        <f t="shared" ref="N124:X139" si="601">M124+M$6</f>
        <v>2017</v>
      </c>
      <c r="O124" s="14">
        <f t="shared" si="601"/>
        <v>2019</v>
      </c>
      <c r="P124" s="14">
        <f t="shared" si="601"/>
        <v>2021</v>
      </c>
      <c r="Q124" s="14">
        <f t="shared" si="601"/>
        <v>2023</v>
      </c>
      <c r="R124" s="14">
        <f t="shared" si="601"/>
        <v>2025</v>
      </c>
      <c r="S124" s="14">
        <f t="shared" si="601"/>
        <v>2027</v>
      </c>
      <c r="T124" s="14">
        <f t="shared" si="601"/>
        <v>2029</v>
      </c>
      <c r="U124" s="14">
        <f t="shared" si="601"/>
        <v>2031</v>
      </c>
      <c r="V124" s="14">
        <f t="shared" si="601"/>
        <v>2033</v>
      </c>
      <c r="W124" s="14">
        <f t="shared" si="601"/>
        <v>2035</v>
      </c>
      <c r="X124" s="14">
        <f t="shared" si="601"/>
        <v>2037</v>
      </c>
      <c r="Y124" s="14">
        <f t="shared" si="261"/>
        <v>2039</v>
      </c>
      <c r="Z124" s="14">
        <f t="shared" si="261"/>
        <v>2041</v>
      </c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</row>
    <row r="125" spans="1:68" hidden="1" x14ac:dyDescent="0.25">
      <c r="A125" s="3">
        <v>21</v>
      </c>
      <c r="B125" s="3" t="s">
        <v>327</v>
      </c>
      <c r="C125" s="3" t="s">
        <v>118</v>
      </c>
      <c r="D125" s="3" t="s">
        <v>282</v>
      </c>
      <c r="E125" s="14">
        <f>E124+$E$2</f>
        <v>2200</v>
      </c>
      <c r="F125" s="14">
        <f t="shared" si="273"/>
        <v>2201</v>
      </c>
      <c r="G125" s="14">
        <f t="shared" si="595"/>
        <v>2203</v>
      </c>
      <c r="H125" s="14">
        <f t="shared" si="596"/>
        <v>2205</v>
      </c>
      <c r="I125" s="14">
        <f t="shared" ref="I125:J125" si="602">H125+H$6</f>
        <v>2207</v>
      </c>
      <c r="J125" s="14">
        <f t="shared" si="602"/>
        <v>2209</v>
      </c>
      <c r="K125" s="14">
        <f t="shared" si="598"/>
        <v>2211</v>
      </c>
      <c r="L125" s="14">
        <f t="shared" si="599"/>
        <v>2213</v>
      </c>
      <c r="M125" s="14">
        <f t="shared" si="600"/>
        <v>2215</v>
      </c>
      <c r="N125" s="14">
        <f t="shared" ref="N125:X125" si="603">M125+M$6</f>
        <v>2217</v>
      </c>
      <c r="O125" s="14">
        <f t="shared" si="603"/>
        <v>2219</v>
      </c>
      <c r="P125" s="14">
        <f t="shared" si="603"/>
        <v>2221</v>
      </c>
      <c r="Q125" s="14">
        <f t="shared" si="601"/>
        <v>2223</v>
      </c>
      <c r="R125" s="14">
        <f t="shared" si="601"/>
        <v>2225</v>
      </c>
      <c r="S125" s="14">
        <f t="shared" si="603"/>
        <v>2227</v>
      </c>
      <c r="T125" s="14">
        <f t="shared" si="603"/>
        <v>2229</v>
      </c>
      <c r="U125" s="14">
        <f t="shared" si="603"/>
        <v>2231</v>
      </c>
      <c r="V125" s="14">
        <f t="shared" si="603"/>
        <v>2233</v>
      </c>
      <c r="W125" s="14">
        <f t="shared" si="603"/>
        <v>2235</v>
      </c>
      <c r="X125" s="14">
        <f t="shared" si="603"/>
        <v>2237</v>
      </c>
      <c r="Y125" s="14">
        <f t="shared" si="261"/>
        <v>2239</v>
      </c>
      <c r="Z125" s="14">
        <f t="shared" si="261"/>
        <v>2241</v>
      </c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</row>
    <row r="126" spans="1:68" hidden="1" x14ac:dyDescent="0.25">
      <c r="A126" s="3">
        <v>22</v>
      </c>
      <c r="B126" s="3" t="s">
        <v>327</v>
      </c>
      <c r="C126" s="3" t="s">
        <v>119</v>
      </c>
      <c r="D126" s="3" t="s">
        <v>282</v>
      </c>
      <c r="E126" s="14">
        <f t="shared" ref="E126:E190" si="604">E125+$E$2</f>
        <v>2400</v>
      </c>
      <c r="F126" s="14">
        <f t="shared" si="273"/>
        <v>2401</v>
      </c>
      <c r="G126" s="14">
        <f t="shared" si="595"/>
        <v>2403</v>
      </c>
      <c r="H126" s="14">
        <f t="shared" si="596"/>
        <v>2405</v>
      </c>
      <c r="I126" s="14">
        <f t="shared" ref="I126:J126" si="605">H126+H$6</f>
        <v>2407</v>
      </c>
      <c r="J126" s="14">
        <f t="shared" si="605"/>
        <v>2409</v>
      </c>
      <c r="K126" s="14">
        <f t="shared" si="598"/>
        <v>2411</v>
      </c>
      <c r="L126" s="14">
        <f t="shared" si="599"/>
        <v>2413</v>
      </c>
      <c r="M126" s="14">
        <f t="shared" si="600"/>
        <v>2415</v>
      </c>
      <c r="N126" s="14">
        <f t="shared" ref="N126:X126" si="606">M126+M$6</f>
        <v>2417</v>
      </c>
      <c r="O126" s="14">
        <f t="shared" si="606"/>
        <v>2419</v>
      </c>
      <c r="P126" s="14">
        <f t="shared" si="606"/>
        <v>2421</v>
      </c>
      <c r="Q126" s="14">
        <f t="shared" si="601"/>
        <v>2423</v>
      </c>
      <c r="R126" s="14">
        <f t="shared" si="601"/>
        <v>2425</v>
      </c>
      <c r="S126" s="14">
        <f t="shared" si="606"/>
        <v>2427</v>
      </c>
      <c r="T126" s="14">
        <f t="shared" si="606"/>
        <v>2429</v>
      </c>
      <c r="U126" s="14">
        <f t="shared" si="606"/>
        <v>2431</v>
      </c>
      <c r="V126" s="14">
        <f t="shared" si="606"/>
        <v>2433</v>
      </c>
      <c r="W126" s="14">
        <f t="shared" si="606"/>
        <v>2435</v>
      </c>
      <c r="X126" s="14">
        <f t="shared" si="606"/>
        <v>2437</v>
      </c>
      <c r="Y126" s="14">
        <f t="shared" si="261"/>
        <v>2439</v>
      </c>
      <c r="Z126" s="14">
        <f t="shared" si="261"/>
        <v>2441</v>
      </c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</row>
    <row r="127" spans="1:68" hidden="1" x14ac:dyDescent="0.25">
      <c r="A127" s="3">
        <v>23</v>
      </c>
      <c r="B127" s="3" t="s">
        <v>327</v>
      </c>
      <c r="C127" s="3" t="s">
        <v>120</v>
      </c>
      <c r="D127" s="3" t="s">
        <v>319</v>
      </c>
      <c r="E127" s="14">
        <f t="shared" si="604"/>
        <v>2600</v>
      </c>
      <c r="F127" s="14">
        <f t="shared" si="273"/>
        <v>2601</v>
      </c>
      <c r="G127" s="14">
        <f t="shared" ref="G127:G134" si="607">F127+F$6</f>
        <v>2603</v>
      </c>
      <c r="H127" s="14">
        <f t="shared" ref="H127:H134" si="608">G127+G$6</f>
        <v>2605</v>
      </c>
      <c r="I127" s="14">
        <f t="shared" ref="I127:J127" si="609">H127+H$6</f>
        <v>2607</v>
      </c>
      <c r="J127" s="14">
        <f t="shared" si="609"/>
        <v>2609</v>
      </c>
      <c r="K127" s="14">
        <f t="shared" ref="K127:K134" si="610">J127+J$6</f>
        <v>2611</v>
      </c>
      <c r="L127" s="14">
        <f t="shared" ref="L127:L134" si="611">K127+K$6</f>
        <v>2613</v>
      </c>
      <c r="M127" s="14">
        <f t="shared" ref="M127:M134" si="612">L127+L$6</f>
        <v>2615</v>
      </c>
      <c r="N127" s="14">
        <f t="shared" ref="N127:X127" si="613">M127+M$6</f>
        <v>2617</v>
      </c>
      <c r="O127" s="14">
        <f t="shared" si="613"/>
        <v>2619</v>
      </c>
      <c r="P127" s="14">
        <f t="shared" si="613"/>
        <v>2621</v>
      </c>
      <c r="Q127" s="14">
        <f t="shared" si="601"/>
        <v>2623</v>
      </c>
      <c r="R127" s="14">
        <f t="shared" si="601"/>
        <v>2625</v>
      </c>
      <c r="S127" s="14">
        <f t="shared" si="613"/>
        <v>2627</v>
      </c>
      <c r="T127" s="14">
        <f t="shared" si="613"/>
        <v>2629</v>
      </c>
      <c r="U127" s="14">
        <f t="shared" si="613"/>
        <v>2631</v>
      </c>
      <c r="V127" s="14">
        <f t="shared" si="613"/>
        <v>2633</v>
      </c>
      <c r="W127" s="14">
        <f t="shared" si="613"/>
        <v>2635</v>
      </c>
      <c r="X127" s="14">
        <f t="shared" si="613"/>
        <v>2637</v>
      </c>
      <c r="Y127" s="14">
        <f t="shared" si="261"/>
        <v>2639</v>
      </c>
      <c r="Z127" s="14">
        <f t="shared" si="261"/>
        <v>2641</v>
      </c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</row>
    <row r="128" spans="1:68" hidden="1" x14ac:dyDescent="0.25">
      <c r="A128" s="3">
        <v>24</v>
      </c>
      <c r="B128" s="3" t="s">
        <v>327</v>
      </c>
      <c r="C128" s="3" t="s">
        <v>121</v>
      </c>
      <c r="D128" s="3" t="s">
        <v>319</v>
      </c>
      <c r="E128" s="14">
        <f t="shared" si="604"/>
        <v>2800</v>
      </c>
      <c r="F128" s="14">
        <f t="shared" si="273"/>
        <v>2801</v>
      </c>
      <c r="G128" s="14">
        <f t="shared" si="607"/>
        <v>2803</v>
      </c>
      <c r="H128" s="14">
        <f t="shared" si="608"/>
        <v>2805</v>
      </c>
      <c r="I128" s="14">
        <f t="shared" ref="I128:J128" si="614">H128+H$6</f>
        <v>2807</v>
      </c>
      <c r="J128" s="14">
        <f t="shared" si="614"/>
        <v>2809</v>
      </c>
      <c r="K128" s="14">
        <f t="shared" si="610"/>
        <v>2811</v>
      </c>
      <c r="L128" s="14">
        <f t="shared" si="611"/>
        <v>2813</v>
      </c>
      <c r="M128" s="14">
        <f t="shared" si="612"/>
        <v>2815</v>
      </c>
      <c r="N128" s="14">
        <f t="shared" ref="N128:X128" si="615">M128+M$6</f>
        <v>2817</v>
      </c>
      <c r="O128" s="14">
        <f t="shared" si="615"/>
        <v>2819</v>
      </c>
      <c r="P128" s="14">
        <f t="shared" si="615"/>
        <v>2821</v>
      </c>
      <c r="Q128" s="14">
        <f t="shared" si="601"/>
        <v>2823</v>
      </c>
      <c r="R128" s="14">
        <f t="shared" si="601"/>
        <v>2825</v>
      </c>
      <c r="S128" s="14">
        <f t="shared" si="615"/>
        <v>2827</v>
      </c>
      <c r="T128" s="14">
        <f t="shared" si="615"/>
        <v>2829</v>
      </c>
      <c r="U128" s="14">
        <f t="shared" si="615"/>
        <v>2831</v>
      </c>
      <c r="V128" s="14">
        <f t="shared" si="615"/>
        <v>2833</v>
      </c>
      <c r="W128" s="14">
        <f t="shared" si="615"/>
        <v>2835</v>
      </c>
      <c r="X128" s="14">
        <f t="shared" si="615"/>
        <v>2837</v>
      </c>
      <c r="Y128" s="14">
        <f t="shared" si="261"/>
        <v>2839</v>
      </c>
      <c r="Z128" s="14">
        <f t="shared" si="261"/>
        <v>2841</v>
      </c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</row>
    <row r="129" spans="1:68" hidden="1" x14ac:dyDescent="0.25">
      <c r="A129" s="3">
        <v>25</v>
      </c>
      <c r="B129" s="3" t="s">
        <v>327</v>
      </c>
      <c r="C129" s="3" t="s">
        <v>122</v>
      </c>
      <c r="D129" s="3" t="s">
        <v>319</v>
      </c>
      <c r="E129" s="14">
        <f t="shared" si="604"/>
        <v>3000</v>
      </c>
      <c r="F129" s="14">
        <f t="shared" si="273"/>
        <v>3001</v>
      </c>
      <c r="G129" s="14">
        <f t="shared" si="607"/>
        <v>3003</v>
      </c>
      <c r="H129" s="14">
        <f t="shared" si="608"/>
        <v>3005</v>
      </c>
      <c r="I129" s="14">
        <f t="shared" ref="I129:J129" si="616">H129+H$6</f>
        <v>3007</v>
      </c>
      <c r="J129" s="14">
        <f t="shared" si="616"/>
        <v>3009</v>
      </c>
      <c r="K129" s="14">
        <f t="shared" si="610"/>
        <v>3011</v>
      </c>
      <c r="L129" s="14">
        <f t="shared" si="611"/>
        <v>3013</v>
      </c>
      <c r="M129" s="14">
        <f t="shared" si="612"/>
        <v>3015</v>
      </c>
      <c r="N129" s="14">
        <f t="shared" ref="N129:X129" si="617">M129+M$6</f>
        <v>3017</v>
      </c>
      <c r="O129" s="14">
        <f t="shared" si="617"/>
        <v>3019</v>
      </c>
      <c r="P129" s="14">
        <f t="shared" si="617"/>
        <v>3021</v>
      </c>
      <c r="Q129" s="14">
        <f t="shared" si="601"/>
        <v>3023</v>
      </c>
      <c r="R129" s="14">
        <f t="shared" si="601"/>
        <v>3025</v>
      </c>
      <c r="S129" s="14">
        <f t="shared" si="617"/>
        <v>3027</v>
      </c>
      <c r="T129" s="14">
        <f t="shared" si="617"/>
        <v>3029</v>
      </c>
      <c r="U129" s="14">
        <f t="shared" si="617"/>
        <v>3031</v>
      </c>
      <c r="V129" s="14">
        <f t="shared" si="617"/>
        <v>3033</v>
      </c>
      <c r="W129" s="14">
        <f t="shared" si="617"/>
        <v>3035</v>
      </c>
      <c r="X129" s="14">
        <f t="shared" si="617"/>
        <v>3037</v>
      </c>
      <c r="Y129" s="14">
        <f t="shared" si="261"/>
        <v>3039</v>
      </c>
      <c r="Z129" s="14">
        <f t="shared" si="261"/>
        <v>3041</v>
      </c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</row>
    <row r="130" spans="1:68" hidden="1" x14ac:dyDescent="0.25">
      <c r="A130" s="3">
        <v>26</v>
      </c>
      <c r="B130" s="3" t="s">
        <v>327</v>
      </c>
      <c r="C130" s="3" t="s">
        <v>123</v>
      </c>
      <c r="D130" s="3" t="s">
        <v>319</v>
      </c>
      <c r="E130" s="14">
        <f t="shared" si="604"/>
        <v>3200</v>
      </c>
      <c r="F130" s="14">
        <f t="shared" si="273"/>
        <v>3201</v>
      </c>
      <c r="G130" s="14">
        <f t="shared" si="607"/>
        <v>3203</v>
      </c>
      <c r="H130" s="14">
        <f t="shared" si="608"/>
        <v>3205</v>
      </c>
      <c r="I130" s="14">
        <f t="shared" ref="I130:J130" si="618">H130+H$6</f>
        <v>3207</v>
      </c>
      <c r="J130" s="14">
        <f t="shared" si="618"/>
        <v>3209</v>
      </c>
      <c r="K130" s="14">
        <f t="shared" si="610"/>
        <v>3211</v>
      </c>
      <c r="L130" s="14">
        <f t="shared" si="611"/>
        <v>3213</v>
      </c>
      <c r="M130" s="14">
        <f t="shared" si="612"/>
        <v>3215</v>
      </c>
      <c r="N130" s="14">
        <f t="shared" ref="N130:X130" si="619">M130+M$6</f>
        <v>3217</v>
      </c>
      <c r="O130" s="14">
        <f t="shared" si="619"/>
        <v>3219</v>
      </c>
      <c r="P130" s="14">
        <f t="shared" si="619"/>
        <v>3221</v>
      </c>
      <c r="Q130" s="14">
        <f t="shared" si="601"/>
        <v>3223</v>
      </c>
      <c r="R130" s="14">
        <f t="shared" si="601"/>
        <v>3225</v>
      </c>
      <c r="S130" s="14">
        <f t="shared" si="619"/>
        <v>3227</v>
      </c>
      <c r="T130" s="14">
        <f t="shared" si="619"/>
        <v>3229</v>
      </c>
      <c r="U130" s="14">
        <f t="shared" si="619"/>
        <v>3231</v>
      </c>
      <c r="V130" s="14">
        <f t="shared" si="619"/>
        <v>3233</v>
      </c>
      <c r="W130" s="14">
        <f t="shared" si="619"/>
        <v>3235</v>
      </c>
      <c r="X130" s="14">
        <f t="shared" si="619"/>
        <v>3237</v>
      </c>
      <c r="Y130" s="14">
        <f t="shared" si="261"/>
        <v>3239</v>
      </c>
      <c r="Z130" s="14">
        <f t="shared" si="261"/>
        <v>3241</v>
      </c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</row>
    <row r="131" spans="1:68" hidden="1" x14ac:dyDescent="0.25">
      <c r="A131" s="3">
        <v>27</v>
      </c>
      <c r="B131" s="3" t="s">
        <v>327</v>
      </c>
      <c r="C131" s="3" t="s">
        <v>124</v>
      </c>
      <c r="D131" s="3" t="s">
        <v>319</v>
      </c>
      <c r="E131" s="14">
        <f t="shared" si="604"/>
        <v>3400</v>
      </c>
      <c r="F131" s="14">
        <f t="shared" si="273"/>
        <v>3401</v>
      </c>
      <c r="G131" s="14">
        <f t="shared" si="607"/>
        <v>3403</v>
      </c>
      <c r="H131" s="14">
        <f t="shared" si="608"/>
        <v>3405</v>
      </c>
      <c r="I131" s="14">
        <f t="shared" ref="I131:J131" si="620">H131+H$6</f>
        <v>3407</v>
      </c>
      <c r="J131" s="14">
        <f t="shared" si="620"/>
        <v>3409</v>
      </c>
      <c r="K131" s="14">
        <f t="shared" si="610"/>
        <v>3411</v>
      </c>
      <c r="L131" s="14">
        <f t="shared" si="611"/>
        <v>3413</v>
      </c>
      <c r="M131" s="14">
        <f t="shared" si="612"/>
        <v>3415</v>
      </c>
      <c r="N131" s="14">
        <f t="shared" ref="N131:X131" si="621">M131+M$6</f>
        <v>3417</v>
      </c>
      <c r="O131" s="14">
        <f t="shared" si="621"/>
        <v>3419</v>
      </c>
      <c r="P131" s="14">
        <f t="shared" si="621"/>
        <v>3421</v>
      </c>
      <c r="Q131" s="14">
        <f t="shared" si="601"/>
        <v>3423</v>
      </c>
      <c r="R131" s="14">
        <f t="shared" si="601"/>
        <v>3425</v>
      </c>
      <c r="S131" s="14">
        <f t="shared" si="621"/>
        <v>3427</v>
      </c>
      <c r="T131" s="14">
        <f t="shared" si="621"/>
        <v>3429</v>
      </c>
      <c r="U131" s="14">
        <f t="shared" si="621"/>
        <v>3431</v>
      </c>
      <c r="V131" s="14">
        <f t="shared" si="621"/>
        <v>3433</v>
      </c>
      <c r="W131" s="14">
        <f t="shared" si="621"/>
        <v>3435</v>
      </c>
      <c r="X131" s="14">
        <f t="shared" si="621"/>
        <v>3437</v>
      </c>
      <c r="Y131" s="14">
        <f t="shared" si="261"/>
        <v>3439</v>
      </c>
      <c r="Z131" s="14">
        <f t="shared" si="261"/>
        <v>3441</v>
      </c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</row>
    <row r="132" spans="1:68" hidden="1" x14ac:dyDescent="0.25">
      <c r="A132" s="3">
        <v>28</v>
      </c>
      <c r="B132" s="3" t="s">
        <v>327</v>
      </c>
      <c r="C132" s="3" t="s">
        <v>125</v>
      </c>
      <c r="D132" s="3" t="s">
        <v>319</v>
      </c>
      <c r="E132" s="14">
        <f t="shared" si="604"/>
        <v>3600</v>
      </c>
      <c r="F132" s="14">
        <f t="shared" si="273"/>
        <v>3601</v>
      </c>
      <c r="G132" s="14">
        <f t="shared" si="607"/>
        <v>3603</v>
      </c>
      <c r="H132" s="14">
        <f t="shared" si="608"/>
        <v>3605</v>
      </c>
      <c r="I132" s="14">
        <f t="shared" ref="I132:J132" si="622">H132+H$6</f>
        <v>3607</v>
      </c>
      <c r="J132" s="14">
        <f t="shared" si="622"/>
        <v>3609</v>
      </c>
      <c r="K132" s="14">
        <f t="shared" si="610"/>
        <v>3611</v>
      </c>
      <c r="L132" s="14">
        <f t="shared" si="611"/>
        <v>3613</v>
      </c>
      <c r="M132" s="14">
        <f t="shared" si="612"/>
        <v>3615</v>
      </c>
      <c r="N132" s="14">
        <f t="shared" ref="N132:Y147" si="623">M132+M$6</f>
        <v>3617</v>
      </c>
      <c r="O132" s="14">
        <f t="shared" si="623"/>
        <v>3619</v>
      </c>
      <c r="P132" s="14">
        <f t="shared" si="623"/>
        <v>3621</v>
      </c>
      <c r="Q132" s="14">
        <f t="shared" si="601"/>
        <v>3623</v>
      </c>
      <c r="R132" s="14">
        <f t="shared" si="601"/>
        <v>3625</v>
      </c>
      <c r="S132" s="14">
        <f t="shared" si="623"/>
        <v>3627</v>
      </c>
      <c r="T132" s="14">
        <f t="shared" si="623"/>
        <v>3629</v>
      </c>
      <c r="U132" s="14">
        <f t="shared" si="623"/>
        <v>3631</v>
      </c>
      <c r="V132" s="14">
        <f t="shared" si="623"/>
        <v>3633</v>
      </c>
      <c r="W132" s="14">
        <f t="shared" si="623"/>
        <v>3635</v>
      </c>
      <c r="X132" s="14">
        <f t="shared" si="623"/>
        <v>3637</v>
      </c>
      <c r="Y132" s="14">
        <f t="shared" si="623"/>
        <v>3639</v>
      </c>
      <c r="Z132" s="14">
        <f t="shared" ref="Z132:Z203" si="624">Y132+Y$6</f>
        <v>3641</v>
      </c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</row>
    <row r="133" spans="1:68" hidden="1" x14ac:dyDescent="0.25">
      <c r="A133" s="3">
        <v>29</v>
      </c>
      <c r="B133" s="3" t="s">
        <v>327</v>
      </c>
      <c r="C133" s="3" t="s">
        <v>126</v>
      </c>
      <c r="D133" s="3" t="s">
        <v>319</v>
      </c>
      <c r="E133" s="14">
        <f t="shared" si="604"/>
        <v>3800</v>
      </c>
      <c r="F133" s="14">
        <f t="shared" si="273"/>
        <v>3801</v>
      </c>
      <c r="G133" s="14">
        <f t="shared" si="607"/>
        <v>3803</v>
      </c>
      <c r="H133" s="14">
        <f t="shared" si="608"/>
        <v>3805</v>
      </c>
      <c r="I133" s="14">
        <f t="shared" ref="I133:J133" si="625">H133+H$6</f>
        <v>3807</v>
      </c>
      <c r="J133" s="14">
        <f t="shared" si="625"/>
        <v>3809</v>
      </c>
      <c r="K133" s="14">
        <f t="shared" si="610"/>
        <v>3811</v>
      </c>
      <c r="L133" s="14">
        <f t="shared" si="611"/>
        <v>3813</v>
      </c>
      <c r="M133" s="14">
        <f t="shared" si="612"/>
        <v>3815</v>
      </c>
      <c r="N133" s="14">
        <f t="shared" ref="N133:X133" si="626">M133+M$6</f>
        <v>3817</v>
      </c>
      <c r="O133" s="14">
        <f t="shared" si="626"/>
        <v>3819</v>
      </c>
      <c r="P133" s="14">
        <f t="shared" si="626"/>
        <v>3821</v>
      </c>
      <c r="Q133" s="14">
        <f t="shared" si="601"/>
        <v>3823</v>
      </c>
      <c r="R133" s="14">
        <f t="shared" si="601"/>
        <v>3825</v>
      </c>
      <c r="S133" s="14">
        <f t="shared" si="626"/>
        <v>3827</v>
      </c>
      <c r="T133" s="14">
        <f t="shared" si="626"/>
        <v>3829</v>
      </c>
      <c r="U133" s="14">
        <f t="shared" si="626"/>
        <v>3831</v>
      </c>
      <c r="V133" s="14">
        <f t="shared" si="626"/>
        <v>3833</v>
      </c>
      <c r="W133" s="14">
        <f t="shared" si="626"/>
        <v>3835</v>
      </c>
      <c r="X133" s="14">
        <f t="shared" si="626"/>
        <v>3837</v>
      </c>
      <c r="Y133" s="14">
        <f t="shared" si="623"/>
        <v>3839</v>
      </c>
      <c r="Z133" s="14">
        <f t="shared" si="624"/>
        <v>3841</v>
      </c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</row>
    <row r="134" spans="1:68" hidden="1" x14ac:dyDescent="0.25">
      <c r="A134" s="3">
        <v>30</v>
      </c>
      <c r="B134" s="3" t="s">
        <v>327</v>
      </c>
      <c r="C134" s="3" t="s">
        <v>127</v>
      </c>
      <c r="D134" s="3" t="s">
        <v>319</v>
      </c>
      <c r="E134" s="14">
        <f t="shared" si="604"/>
        <v>4000</v>
      </c>
      <c r="F134" s="14">
        <f t="shared" si="273"/>
        <v>4001</v>
      </c>
      <c r="G134" s="14">
        <f t="shared" si="607"/>
        <v>4003</v>
      </c>
      <c r="H134" s="14">
        <f t="shared" si="608"/>
        <v>4005</v>
      </c>
      <c r="I134" s="14">
        <f t="shared" ref="I134:J134" si="627">H134+H$6</f>
        <v>4007</v>
      </c>
      <c r="J134" s="14">
        <f t="shared" si="627"/>
        <v>4009</v>
      </c>
      <c r="K134" s="14">
        <f t="shared" si="610"/>
        <v>4011</v>
      </c>
      <c r="L134" s="14">
        <f t="shared" si="611"/>
        <v>4013</v>
      </c>
      <c r="M134" s="14">
        <f t="shared" si="612"/>
        <v>4015</v>
      </c>
      <c r="N134" s="14">
        <f t="shared" ref="N134:X134" si="628">M134+M$6</f>
        <v>4017</v>
      </c>
      <c r="O134" s="14">
        <f t="shared" si="628"/>
        <v>4019</v>
      </c>
      <c r="P134" s="14">
        <f t="shared" si="628"/>
        <v>4021</v>
      </c>
      <c r="Q134" s="14">
        <f t="shared" si="601"/>
        <v>4023</v>
      </c>
      <c r="R134" s="14">
        <f t="shared" si="601"/>
        <v>4025</v>
      </c>
      <c r="S134" s="14">
        <f t="shared" si="628"/>
        <v>4027</v>
      </c>
      <c r="T134" s="14">
        <f t="shared" si="628"/>
        <v>4029</v>
      </c>
      <c r="U134" s="14">
        <f t="shared" si="628"/>
        <v>4031</v>
      </c>
      <c r="V134" s="14">
        <f t="shared" si="628"/>
        <v>4033</v>
      </c>
      <c r="W134" s="14">
        <f t="shared" si="628"/>
        <v>4035</v>
      </c>
      <c r="X134" s="14">
        <f t="shared" si="628"/>
        <v>4037</v>
      </c>
      <c r="Y134" s="14">
        <f t="shared" si="623"/>
        <v>4039</v>
      </c>
      <c r="Z134" s="14">
        <f t="shared" si="624"/>
        <v>4041</v>
      </c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</row>
    <row r="135" spans="1:68" hidden="1" x14ac:dyDescent="0.25">
      <c r="A135" s="3">
        <v>31</v>
      </c>
      <c r="B135" s="3" t="s">
        <v>327</v>
      </c>
      <c r="C135" s="3" t="s">
        <v>128</v>
      </c>
      <c r="D135" s="3" t="s">
        <v>320</v>
      </c>
      <c r="E135" s="14">
        <f t="shared" si="604"/>
        <v>4200</v>
      </c>
      <c r="F135" s="14">
        <f t="shared" si="273"/>
        <v>4201</v>
      </c>
      <c r="G135" s="14">
        <f t="shared" ref="G135:G144" si="629">F135+F$6</f>
        <v>4203</v>
      </c>
      <c r="H135" s="14">
        <f t="shared" ref="H135:H144" si="630">G135+G$6</f>
        <v>4205</v>
      </c>
      <c r="I135" s="14">
        <f t="shared" ref="I135:J135" si="631">H135+H$6</f>
        <v>4207</v>
      </c>
      <c r="J135" s="14">
        <f t="shared" si="631"/>
        <v>4209</v>
      </c>
      <c r="K135" s="14">
        <f t="shared" ref="K135:K144" si="632">J135+J$6</f>
        <v>4211</v>
      </c>
      <c r="L135" s="14">
        <f t="shared" ref="L135:L144" si="633">K135+K$6</f>
        <v>4213</v>
      </c>
      <c r="M135" s="14">
        <f t="shared" ref="M135:M144" si="634">L135+L$6</f>
        <v>4215</v>
      </c>
      <c r="N135" s="14">
        <f t="shared" ref="N135:X135" si="635">M135+M$6</f>
        <v>4217</v>
      </c>
      <c r="O135" s="14">
        <f t="shared" si="635"/>
        <v>4219</v>
      </c>
      <c r="P135" s="14">
        <f t="shared" si="635"/>
        <v>4221</v>
      </c>
      <c r="Q135" s="14">
        <f t="shared" si="601"/>
        <v>4223</v>
      </c>
      <c r="R135" s="14">
        <f t="shared" si="601"/>
        <v>4225</v>
      </c>
      <c r="S135" s="14">
        <f t="shared" si="635"/>
        <v>4227</v>
      </c>
      <c r="T135" s="14">
        <f t="shared" si="635"/>
        <v>4229</v>
      </c>
      <c r="U135" s="14">
        <f t="shared" si="635"/>
        <v>4231</v>
      </c>
      <c r="V135" s="14">
        <f t="shared" si="635"/>
        <v>4233</v>
      </c>
      <c r="W135" s="14">
        <f t="shared" si="635"/>
        <v>4235</v>
      </c>
      <c r="X135" s="14">
        <f t="shared" si="635"/>
        <v>4237</v>
      </c>
      <c r="Y135" s="14">
        <f t="shared" si="623"/>
        <v>4239</v>
      </c>
      <c r="Z135" s="14">
        <f t="shared" si="624"/>
        <v>4241</v>
      </c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</row>
    <row r="136" spans="1:68" hidden="1" x14ac:dyDescent="0.25">
      <c r="A136" s="3">
        <v>32</v>
      </c>
      <c r="B136" s="3" t="s">
        <v>327</v>
      </c>
      <c r="C136" s="3" t="s">
        <v>129</v>
      </c>
      <c r="D136" s="3" t="s">
        <v>320</v>
      </c>
      <c r="E136" s="14">
        <f t="shared" si="604"/>
        <v>4400</v>
      </c>
      <c r="F136" s="14">
        <f t="shared" si="273"/>
        <v>4401</v>
      </c>
      <c r="G136" s="14">
        <f t="shared" si="629"/>
        <v>4403</v>
      </c>
      <c r="H136" s="14">
        <f t="shared" si="630"/>
        <v>4405</v>
      </c>
      <c r="I136" s="14">
        <f t="shared" ref="I136:J136" si="636">H136+H$6</f>
        <v>4407</v>
      </c>
      <c r="J136" s="14">
        <f t="shared" si="636"/>
        <v>4409</v>
      </c>
      <c r="K136" s="14">
        <f t="shared" si="632"/>
        <v>4411</v>
      </c>
      <c r="L136" s="14">
        <f t="shared" si="633"/>
        <v>4413</v>
      </c>
      <c r="M136" s="14">
        <f t="shared" si="634"/>
        <v>4415</v>
      </c>
      <c r="N136" s="14">
        <f t="shared" ref="N136:X136" si="637">M136+M$6</f>
        <v>4417</v>
      </c>
      <c r="O136" s="14">
        <f t="shared" si="637"/>
        <v>4419</v>
      </c>
      <c r="P136" s="14">
        <f t="shared" si="637"/>
        <v>4421</v>
      </c>
      <c r="Q136" s="14">
        <f t="shared" si="601"/>
        <v>4423</v>
      </c>
      <c r="R136" s="14">
        <f t="shared" si="601"/>
        <v>4425</v>
      </c>
      <c r="S136" s="14">
        <f t="shared" si="637"/>
        <v>4427</v>
      </c>
      <c r="T136" s="14">
        <f t="shared" si="637"/>
        <v>4429</v>
      </c>
      <c r="U136" s="14">
        <f t="shared" si="637"/>
        <v>4431</v>
      </c>
      <c r="V136" s="14">
        <f t="shared" si="637"/>
        <v>4433</v>
      </c>
      <c r="W136" s="14">
        <f t="shared" si="637"/>
        <v>4435</v>
      </c>
      <c r="X136" s="14">
        <f t="shared" si="637"/>
        <v>4437</v>
      </c>
      <c r="Y136" s="14">
        <f t="shared" si="623"/>
        <v>4439</v>
      </c>
      <c r="Z136" s="14">
        <f t="shared" si="624"/>
        <v>4441</v>
      </c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</row>
    <row r="137" spans="1:68" hidden="1" x14ac:dyDescent="0.25">
      <c r="A137" s="3">
        <v>33</v>
      </c>
      <c r="B137" s="3" t="s">
        <v>327</v>
      </c>
      <c r="C137" s="3" t="s">
        <v>130</v>
      </c>
      <c r="D137" s="3" t="s">
        <v>320</v>
      </c>
      <c r="E137" s="14">
        <f t="shared" si="604"/>
        <v>4600</v>
      </c>
      <c r="F137" s="14">
        <f t="shared" si="273"/>
        <v>4601</v>
      </c>
      <c r="G137" s="14">
        <f t="shared" si="629"/>
        <v>4603</v>
      </c>
      <c r="H137" s="14">
        <f t="shared" si="630"/>
        <v>4605</v>
      </c>
      <c r="I137" s="14">
        <f t="shared" ref="I137:J137" si="638">H137+H$6</f>
        <v>4607</v>
      </c>
      <c r="J137" s="14">
        <f t="shared" si="638"/>
        <v>4609</v>
      </c>
      <c r="K137" s="14">
        <f t="shared" si="632"/>
        <v>4611</v>
      </c>
      <c r="L137" s="14">
        <f t="shared" si="633"/>
        <v>4613</v>
      </c>
      <c r="M137" s="14">
        <f t="shared" si="634"/>
        <v>4615</v>
      </c>
      <c r="N137" s="14">
        <f t="shared" ref="N137:X137" si="639">M137+M$6</f>
        <v>4617</v>
      </c>
      <c r="O137" s="14">
        <f t="shared" si="639"/>
        <v>4619</v>
      </c>
      <c r="P137" s="14">
        <f t="shared" si="639"/>
        <v>4621</v>
      </c>
      <c r="Q137" s="14">
        <f t="shared" si="601"/>
        <v>4623</v>
      </c>
      <c r="R137" s="14">
        <f t="shared" si="601"/>
        <v>4625</v>
      </c>
      <c r="S137" s="14">
        <f t="shared" si="639"/>
        <v>4627</v>
      </c>
      <c r="T137" s="14">
        <f t="shared" si="639"/>
        <v>4629</v>
      </c>
      <c r="U137" s="14">
        <f t="shared" si="639"/>
        <v>4631</v>
      </c>
      <c r="V137" s="14">
        <f t="shared" si="639"/>
        <v>4633</v>
      </c>
      <c r="W137" s="14">
        <f t="shared" si="639"/>
        <v>4635</v>
      </c>
      <c r="X137" s="14">
        <f t="shared" si="639"/>
        <v>4637</v>
      </c>
      <c r="Y137" s="14">
        <f t="shared" si="623"/>
        <v>4639</v>
      </c>
      <c r="Z137" s="14">
        <f t="shared" si="624"/>
        <v>4641</v>
      </c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</row>
    <row r="138" spans="1:68" hidden="1" x14ac:dyDescent="0.25">
      <c r="A138" s="3">
        <v>34</v>
      </c>
      <c r="B138" s="3" t="s">
        <v>327</v>
      </c>
      <c r="C138" s="3" t="s">
        <v>131</v>
      </c>
      <c r="D138" s="3" t="s">
        <v>320</v>
      </c>
      <c r="E138" s="14">
        <f t="shared" si="604"/>
        <v>4800</v>
      </c>
      <c r="F138" s="14">
        <f t="shared" si="273"/>
        <v>4801</v>
      </c>
      <c r="G138" s="14">
        <f t="shared" si="629"/>
        <v>4803</v>
      </c>
      <c r="H138" s="14">
        <f t="shared" si="630"/>
        <v>4805</v>
      </c>
      <c r="I138" s="14">
        <f t="shared" ref="I138:J138" si="640">H138+H$6</f>
        <v>4807</v>
      </c>
      <c r="J138" s="14">
        <f t="shared" si="640"/>
        <v>4809</v>
      </c>
      <c r="K138" s="14">
        <f t="shared" si="632"/>
        <v>4811</v>
      </c>
      <c r="L138" s="14">
        <f t="shared" si="633"/>
        <v>4813</v>
      </c>
      <c r="M138" s="14">
        <f t="shared" si="634"/>
        <v>4815</v>
      </c>
      <c r="N138" s="14">
        <f t="shared" ref="N138:X138" si="641">M138+M$6</f>
        <v>4817</v>
      </c>
      <c r="O138" s="14">
        <f t="shared" si="641"/>
        <v>4819</v>
      </c>
      <c r="P138" s="14">
        <f t="shared" si="641"/>
        <v>4821</v>
      </c>
      <c r="Q138" s="14">
        <f t="shared" si="601"/>
        <v>4823</v>
      </c>
      <c r="R138" s="14">
        <f t="shared" si="601"/>
        <v>4825</v>
      </c>
      <c r="S138" s="14">
        <f t="shared" si="641"/>
        <v>4827</v>
      </c>
      <c r="T138" s="14">
        <f t="shared" si="641"/>
        <v>4829</v>
      </c>
      <c r="U138" s="14">
        <f t="shared" si="641"/>
        <v>4831</v>
      </c>
      <c r="V138" s="14">
        <f t="shared" si="641"/>
        <v>4833</v>
      </c>
      <c r="W138" s="14">
        <f t="shared" si="641"/>
        <v>4835</v>
      </c>
      <c r="X138" s="14">
        <f t="shared" si="641"/>
        <v>4837</v>
      </c>
      <c r="Y138" s="14">
        <f t="shared" si="623"/>
        <v>4839</v>
      </c>
      <c r="Z138" s="14">
        <f t="shared" si="624"/>
        <v>4841</v>
      </c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</row>
    <row r="139" spans="1:68" hidden="1" x14ac:dyDescent="0.25">
      <c r="A139" s="3">
        <v>35</v>
      </c>
      <c r="B139" s="3" t="s">
        <v>327</v>
      </c>
      <c r="C139" s="3" t="s">
        <v>132</v>
      </c>
      <c r="D139" s="3" t="s">
        <v>320</v>
      </c>
      <c r="E139" s="14">
        <f t="shared" si="604"/>
        <v>5000</v>
      </c>
      <c r="F139" s="14">
        <f t="shared" si="273"/>
        <v>5001</v>
      </c>
      <c r="G139" s="14">
        <f t="shared" si="629"/>
        <v>5003</v>
      </c>
      <c r="H139" s="14">
        <f t="shared" si="630"/>
        <v>5005</v>
      </c>
      <c r="I139" s="14">
        <f t="shared" ref="I139:J139" si="642">H139+H$6</f>
        <v>5007</v>
      </c>
      <c r="J139" s="14">
        <f t="shared" si="642"/>
        <v>5009</v>
      </c>
      <c r="K139" s="14">
        <f t="shared" si="632"/>
        <v>5011</v>
      </c>
      <c r="L139" s="14">
        <f t="shared" si="633"/>
        <v>5013</v>
      </c>
      <c r="M139" s="14">
        <f t="shared" si="634"/>
        <v>5015</v>
      </c>
      <c r="N139" s="14">
        <f t="shared" ref="N139:X139" si="643">M139+M$6</f>
        <v>5017</v>
      </c>
      <c r="O139" s="14">
        <f t="shared" si="643"/>
        <v>5019</v>
      </c>
      <c r="P139" s="14">
        <f t="shared" si="643"/>
        <v>5021</v>
      </c>
      <c r="Q139" s="14">
        <f t="shared" si="601"/>
        <v>5023</v>
      </c>
      <c r="R139" s="14">
        <f t="shared" si="601"/>
        <v>5025</v>
      </c>
      <c r="S139" s="14">
        <f t="shared" si="643"/>
        <v>5027</v>
      </c>
      <c r="T139" s="14">
        <f t="shared" si="643"/>
        <v>5029</v>
      </c>
      <c r="U139" s="14">
        <f t="shared" si="643"/>
        <v>5031</v>
      </c>
      <c r="V139" s="14">
        <f t="shared" si="643"/>
        <v>5033</v>
      </c>
      <c r="W139" s="14">
        <f t="shared" si="643"/>
        <v>5035</v>
      </c>
      <c r="X139" s="14">
        <f t="shared" si="643"/>
        <v>5037</v>
      </c>
      <c r="Y139" s="14">
        <f t="shared" si="623"/>
        <v>5039</v>
      </c>
      <c r="Z139" s="14">
        <f t="shared" si="624"/>
        <v>5041</v>
      </c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</row>
    <row r="140" spans="1:68" hidden="1" x14ac:dyDescent="0.25">
      <c r="A140" s="3">
        <v>36</v>
      </c>
      <c r="B140" s="3" t="s">
        <v>327</v>
      </c>
      <c r="C140" s="3" t="s">
        <v>133</v>
      </c>
      <c r="D140" s="3" t="s">
        <v>320</v>
      </c>
      <c r="E140" s="14">
        <f t="shared" si="604"/>
        <v>5200</v>
      </c>
      <c r="F140" s="14">
        <f t="shared" si="273"/>
        <v>5201</v>
      </c>
      <c r="G140" s="14">
        <f t="shared" si="629"/>
        <v>5203</v>
      </c>
      <c r="H140" s="14">
        <f t="shared" si="630"/>
        <v>5205</v>
      </c>
      <c r="I140" s="14">
        <f t="shared" ref="I140:J140" si="644">H140+H$6</f>
        <v>5207</v>
      </c>
      <c r="J140" s="14">
        <f t="shared" si="644"/>
        <v>5209</v>
      </c>
      <c r="K140" s="14">
        <f t="shared" si="632"/>
        <v>5211</v>
      </c>
      <c r="L140" s="14">
        <f t="shared" si="633"/>
        <v>5213</v>
      </c>
      <c r="M140" s="14">
        <f t="shared" si="634"/>
        <v>5215</v>
      </c>
      <c r="N140" s="14">
        <f t="shared" ref="N140:X155" si="645">M140+M$6</f>
        <v>5217</v>
      </c>
      <c r="O140" s="14">
        <f t="shared" si="645"/>
        <v>5219</v>
      </c>
      <c r="P140" s="14">
        <f t="shared" si="645"/>
        <v>5221</v>
      </c>
      <c r="Q140" s="14">
        <f t="shared" si="645"/>
        <v>5223</v>
      </c>
      <c r="R140" s="14">
        <f t="shared" si="645"/>
        <v>5225</v>
      </c>
      <c r="S140" s="14">
        <f t="shared" si="645"/>
        <v>5227</v>
      </c>
      <c r="T140" s="14">
        <f t="shared" si="645"/>
        <v>5229</v>
      </c>
      <c r="U140" s="14">
        <f t="shared" si="645"/>
        <v>5231</v>
      </c>
      <c r="V140" s="14">
        <f t="shared" si="645"/>
        <v>5233</v>
      </c>
      <c r="W140" s="14">
        <f t="shared" si="645"/>
        <v>5235</v>
      </c>
      <c r="X140" s="14">
        <f t="shared" si="645"/>
        <v>5237</v>
      </c>
      <c r="Y140" s="14">
        <f t="shared" si="623"/>
        <v>5239</v>
      </c>
      <c r="Z140" s="14">
        <f t="shared" si="624"/>
        <v>5241</v>
      </c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</row>
    <row r="141" spans="1:68" hidden="1" x14ac:dyDescent="0.25">
      <c r="A141" s="3">
        <v>37</v>
      </c>
      <c r="B141" s="3" t="s">
        <v>327</v>
      </c>
      <c r="C141" s="3" t="s">
        <v>134</v>
      </c>
      <c r="D141" s="3" t="s">
        <v>320</v>
      </c>
      <c r="E141" s="14">
        <f t="shared" si="604"/>
        <v>5400</v>
      </c>
      <c r="F141" s="14">
        <f t="shared" si="273"/>
        <v>5401</v>
      </c>
      <c r="G141" s="14">
        <f t="shared" si="629"/>
        <v>5403</v>
      </c>
      <c r="H141" s="14">
        <f t="shared" si="630"/>
        <v>5405</v>
      </c>
      <c r="I141" s="14">
        <f t="shared" ref="I141:J141" si="646">H141+H$6</f>
        <v>5407</v>
      </c>
      <c r="J141" s="14">
        <f t="shared" si="646"/>
        <v>5409</v>
      </c>
      <c r="K141" s="14">
        <f t="shared" si="632"/>
        <v>5411</v>
      </c>
      <c r="L141" s="14">
        <f t="shared" si="633"/>
        <v>5413</v>
      </c>
      <c r="M141" s="14">
        <f t="shared" si="634"/>
        <v>5415</v>
      </c>
      <c r="N141" s="14">
        <f t="shared" ref="N141:X141" si="647">M141+M$6</f>
        <v>5417</v>
      </c>
      <c r="O141" s="14">
        <f t="shared" si="647"/>
        <v>5419</v>
      </c>
      <c r="P141" s="14">
        <f t="shared" si="647"/>
        <v>5421</v>
      </c>
      <c r="Q141" s="14">
        <f t="shared" si="645"/>
        <v>5423</v>
      </c>
      <c r="R141" s="14">
        <f t="shared" si="645"/>
        <v>5425</v>
      </c>
      <c r="S141" s="14">
        <f t="shared" si="647"/>
        <v>5427</v>
      </c>
      <c r="T141" s="14">
        <f t="shared" si="647"/>
        <v>5429</v>
      </c>
      <c r="U141" s="14">
        <f t="shared" si="647"/>
        <v>5431</v>
      </c>
      <c r="V141" s="14">
        <f t="shared" si="647"/>
        <v>5433</v>
      </c>
      <c r="W141" s="14">
        <f t="shared" si="647"/>
        <v>5435</v>
      </c>
      <c r="X141" s="14">
        <f t="shared" si="647"/>
        <v>5437</v>
      </c>
      <c r="Y141" s="14">
        <f t="shared" si="623"/>
        <v>5439</v>
      </c>
      <c r="Z141" s="14">
        <f t="shared" si="624"/>
        <v>5441</v>
      </c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</row>
    <row r="142" spans="1:68" hidden="1" x14ac:dyDescent="0.25">
      <c r="A142" s="3">
        <v>38</v>
      </c>
      <c r="B142" s="3" t="s">
        <v>327</v>
      </c>
      <c r="C142" s="3" t="s">
        <v>135</v>
      </c>
      <c r="D142" s="3" t="s">
        <v>320</v>
      </c>
      <c r="E142" s="14">
        <f t="shared" si="604"/>
        <v>5600</v>
      </c>
      <c r="F142" s="14">
        <f t="shared" si="273"/>
        <v>5601</v>
      </c>
      <c r="G142" s="14">
        <f t="shared" si="629"/>
        <v>5603</v>
      </c>
      <c r="H142" s="14">
        <f t="shared" si="630"/>
        <v>5605</v>
      </c>
      <c r="I142" s="14">
        <f t="shared" ref="I142:J142" si="648">H142+H$6</f>
        <v>5607</v>
      </c>
      <c r="J142" s="14">
        <f t="shared" si="648"/>
        <v>5609</v>
      </c>
      <c r="K142" s="14">
        <f t="shared" si="632"/>
        <v>5611</v>
      </c>
      <c r="L142" s="14">
        <f t="shared" si="633"/>
        <v>5613</v>
      </c>
      <c r="M142" s="14">
        <f t="shared" si="634"/>
        <v>5615</v>
      </c>
      <c r="N142" s="14">
        <f t="shared" ref="N142:X142" si="649">M142+M$6</f>
        <v>5617</v>
      </c>
      <c r="O142" s="14">
        <f t="shared" si="649"/>
        <v>5619</v>
      </c>
      <c r="P142" s="14">
        <f t="shared" si="649"/>
        <v>5621</v>
      </c>
      <c r="Q142" s="14">
        <f t="shared" si="645"/>
        <v>5623</v>
      </c>
      <c r="R142" s="14">
        <f t="shared" si="645"/>
        <v>5625</v>
      </c>
      <c r="S142" s="14">
        <f t="shared" si="649"/>
        <v>5627</v>
      </c>
      <c r="T142" s="14">
        <f t="shared" si="649"/>
        <v>5629</v>
      </c>
      <c r="U142" s="14">
        <f t="shared" si="649"/>
        <v>5631</v>
      </c>
      <c r="V142" s="14">
        <f t="shared" si="649"/>
        <v>5633</v>
      </c>
      <c r="W142" s="14">
        <f t="shared" si="649"/>
        <v>5635</v>
      </c>
      <c r="X142" s="14">
        <f t="shared" si="649"/>
        <v>5637</v>
      </c>
      <c r="Y142" s="14">
        <f t="shared" si="623"/>
        <v>5639</v>
      </c>
      <c r="Z142" s="14">
        <f t="shared" si="624"/>
        <v>5641</v>
      </c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</row>
    <row r="143" spans="1:68" hidden="1" x14ac:dyDescent="0.25">
      <c r="A143" s="3">
        <v>39</v>
      </c>
      <c r="B143" s="3" t="s">
        <v>327</v>
      </c>
      <c r="C143" s="3" t="s">
        <v>136</v>
      </c>
      <c r="D143" s="3" t="s">
        <v>320</v>
      </c>
      <c r="E143" s="14">
        <f t="shared" si="604"/>
        <v>5800</v>
      </c>
      <c r="F143" s="14">
        <f t="shared" si="273"/>
        <v>5801</v>
      </c>
      <c r="G143" s="14">
        <f t="shared" si="629"/>
        <v>5803</v>
      </c>
      <c r="H143" s="14">
        <f t="shared" si="630"/>
        <v>5805</v>
      </c>
      <c r="I143" s="14">
        <f t="shared" ref="I143:J143" si="650">H143+H$6</f>
        <v>5807</v>
      </c>
      <c r="J143" s="14">
        <f t="shared" si="650"/>
        <v>5809</v>
      </c>
      <c r="K143" s="14">
        <f t="shared" si="632"/>
        <v>5811</v>
      </c>
      <c r="L143" s="14">
        <f t="shared" si="633"/>
        <v>5813</v>
      </c>
      <c r="M143" s="14">
        <f t="shared" si="634"/>
        <v>5815</v>
      </c>
      <c r="N143" s="14">
        <f t="shared" ref="N143:X143" si="651">M143+M$6</f>
        <v>5817</v>
      </c>
      <c r="O143" s="14">
        <f t="shared" si="651"/>
        <v>5819</v>
      </c>
      <c r="P143" s="14">
        <f t="shared" si="651"/>
        <v>5821</v>
      </c>
      <c r="Q143" s="14">
        <f t="shared" si="645"/>
        <v>5823</v>
      </c>
      <c r="R143" s="14">
        <f t="shared" si="645"/>
        <v>5825</v>
      </c>
      <c r="S143" s="14">
        <f t="shared" si="651"/>
        <v>5827</v>
      </c>
      <c r="T143" s="14">
        <f t="shared" si="651"/>
        <v>5829</v>
      </c>
      <c r="U143" s="14">
        <f t="shared" si="651"/>
        <v>5831</v>
      </c>
      <c r="V143" s="14">
        <f t="shared" si="651"/>
        <v>5833</v>
      </c>
      <c r="W143" s="14">
        <f t="shared" si="651"/>
        <v>5835</v>
      </c>
      <c r="X143" s="14">
        <f t="shared" si="651"/>
        <v>5837</v>
      </c>
      <c r="Y143" s="14">
        <f t="shared" si="623"/>
        <v>5839</v>
      </c>
      <c r="Z143" s="14">
        <f t="shared" si="624"/>
        <v>5841</v>
      </c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</row>
    <row r="144" spans="1:68" hidden="1" x14ac:dyDescent="0.25">
      <c r="A144" s="3">
        <v>40</v>
      </c>
      <c r="B144" s="3" t="s">
        <v>327</v>
      </c>
      <c r="C144" s="3" t="s">
        <v>137</v>
      </c>
      <c r="D144" s="3" t="s">
        <v>320</v>
      </c>
      <c r="E144" s="14">
        <f t="shared" si="604"/>
        <v>6000</v>
      </c>
      <c r="F144" s="14">
        <f t="shared" si="273"/>
        <v>6001</v>
      </c>
      <c r="G144" s="14">
        <f t="shared" si="629"/>
        <v>6003</v>
      </c>
      <c r="H144" s="14">
        <f t="shared" si="630"/>
        <v>6005</v>
      </c>
      <c r="I144" s="14">
        <f t="shared" ref="I144:J144" si="652">H144+H$6</f>
        <v>6007</v>
      </c>
      <c r="J144" s="14">
        <f t="shared" si="652"/>
        <v>6009</v>
      </c>
      <c r="K144" s="14">
        <f t="shared" si="632"/>
        <v>6011</v>
      </c>
      <c r="L144" s="14">
        <f t="shared" si="633"/>
        <v>6013</v>
      </c>
      <c r="M144" s="14">
        <f t="shared" si="634"/>
        <v>6015</v>
      </c>
      <c r="N144" s="14">
        <f t="shared" ref="N144:X144" si="653">M144+M$6</f>
        <v>6017</v>
      </c>
      <c r="O144" s="14">
        <f t="shared" si="653"/>
        <v>6019</v>
      </c>
      <c r="P144" s="14">
        <f t="shared" si="653"/>
        <v>6021</v>
      </c>
      <c r="Q144" s="14">
        <f t="shared" si="645"/>
        <v>6023</v>
      </c>
      <c r="R144" s="14">
        <f t="shared" si="645"/>
        <v>6025</v>
      </c>
      <c r="S144" s="14">
        <f t="shared" si="653"/>
        <v>6027</v>
      </c>
      <c r="T144" s="14">
        <f t="shared" si="653"/>
        <v>6029</v>
      </c>
      <c r="U144" s="14">
        <f t="shared" si="653"/>
        <v>6031</v>
      </c>
      <c r="V144" s="14">
        <f t="shared" si="653"/>
        <v>6033</v>
      </c>
      <c r="W144" s="14">
        <f t="shared" si="653"/>
        <v>6035</v>
      </c>
      <c r="X144" s="14">
        <f t="shared" si="653"/>
        <v>6037</v>
      </c>
      <c r="Y144" s="14">
        <f t="shared" si="623"/>
        <v>6039</v>
      </c>
      <c r="Z144" s="14">
        <f t="shared" si="624"/>
        <v>6041</v>
      </c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</row>
    <row r="145" spans="1:68" hidden="1" x14ac:dyDescent="0.25">
      <c r="A145" s="3">
        <v>41</v>
      </c>
      <c r="B145" s="3" t="s">
        <v>327</v>
      </c>
      <c r="C145" s="3" t="s">
        <v>138</v>
      </c>
      <c r="D145" s="3" t="s">
        <v>283</v>
      </c>
      <c r="E145" s="14">
        <f t="shared" si="604"/>
        <v>6200</v>
      </c>
      <c r="F145" s="14">
        <f t="shared" si="273"/>
        <v>6201</v>
      </c>
      <c r="G145" s="14">
        <f t="shared" ref="G145:G148" si="654">F145+F$6</f>
        <v>6203</v>
      </c>
      <c r="H145" s="14">
        <f t="shared" ref="H145:H148" si="655">G145+G$6</f>
        <v>6205</v>
      </c>
      <c r="I145" s="14">
        <f t="shared" ref="I145:J145" si="656">H145+H$6</f>
        <v>6207</v>
      </c>
      <c r="J145" s="14">
        <f t="shared" si="656"/>
        <v>6209</v>
      </c>
      <c r="K145" s="14">
        <f t="shared" ref="K145:K148" si="657">J145+J$6</f>
        <v>6211</v>
      </c>
      <c r="L145" s="14">
        <f t="shared" ref="L145:L148" si="658">K145+K$6</f>
        <v>6213</v>
      </c>
      <c r="M145" s="14">
        <f t="shared" ref="M145:M148" si="659">L145+L$6</f>
        <v>6215</v>
      </c>
      <c r="N145" s="14">
        <f t="shared" ref="N145:X145" si="660">M145+M$6</f>
        <v>6217</v>
      </c>
      <c r="O145" s="14">
        <f t="shared" si="660"/>
        <v>6219</v>
      </c>
      <c r="P145" s="14">
        <f t="shared" si="660"/>
        <v>6221</v>
      </c>
      <c r="Q145" s="14">
        <f t="shared" si="645"/>
        <v>6223</v>
      </c>
      <c r="R145" s="14">
        <f t="shared" si="645"/>
        <v>6225</v>
      </c>
      <c r="S145" s="14">
        <f t="shared" si="660"/>
        <v>6227</v>
      </c>
      <c r="T145" s="14">
        <f t="shared" si="660"/>
        <v>6229</v>
      </c>
      <c r="U145" s="14">
        <f t="shared" si="660"/>
        <v>6231</v>
      </c>
      <c r="V145" s="14">
        <f t="shared" si="660"/>
        <v>6233</v>
      </c>
      <c r="W145" s="14">
        <f t="shared" si="660"/>
        <v>6235</v>
      </c>
      <c r="X145" s="14">
        <f t="shared" si="660"/>
        <v>6237</v>
      </c>
      <c r="Y145" s="14">
        <f t="shared" si="623"/>
        <v>6239</v>
      </c>
      <c r="Z145" s="14">
        <f t="shared" si="624"/>
        <v>6241</v>
      </c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</row>
    <row r="146" spans="1:68" hidden="1" x14ac:dyDescent="0.25">
      <c r="A146" s="3">
        <v>42</v>
      </c>
      <c r="B146" s="3" t="s">
        <v>327</v>
      </c>
      <c r="C146" s="3" t="s">
        <v>139</v>
      </c>
      <c r="D146" s="3" t="s">
        <v>283</v>
      </c>
      <c r="E146" s="14">
        <f t="shared" si="604"/>
        <v>6400</v>
      </c>
      <c r="F146" s="14">
        <f t="shared" si="273"/>
        <v>6401</v>
      </c>
      <c r="G146" s="14">
        <f t="shared" si="654"/>
        <v>6403</v>
      </c>
      <c r="H146" s="14">
        <f t="shared" si="655"/>
        <v>6405</v>
      </c>
      <c r="I146" s="14">
        <f t="shared" ref="I146:J146" si="661">H146+H$6</f>
        <v>6407</v>
      </c>
      <c r="J146" s="14">
        <f t="shared" si="661"/>
        <v>6409</v>
      </c>
      <c r="K146" s="14">
        <f t="shared" si="657"/>
        <v>6411</v>
      </c>
      <c r="L146" s="14">
        <f t="shared" si="658"/>
        <v>6413</v>
      </c>
      <c r="M146" s="14">
        <f t="shared" si="659"/>
        <v>6415</v>
      </c>
      <c r="N146" s="14">
        <f t="shared" ref="N146:X146" si="662">M146+M$6</f>
        <v>6417</v>
      </c>
      <c r="O146" s="14">
        <f t="shared" si="662"/>
        <v>6419</v>
      </c>
      <c r="P146" s="14">
        <f t="shared" si="662"/>
        <v>6421</v>
      </c>
      <c r="Q146" s="14">
        <f t="shared" si="645"/>
        <v>6423</v>
      </c>
      <c r="R146" s="14">
        <f t="shared" si="645"/>
        <v>6425</v>
      </c>
      <c r="S146" s="14">
        <f t="shared" si="662"/>
        <v>6427</v>
      </c>
      <c r="T146" s="14">
        <f t="shared" si="662"/>
        <v>6429</v>
      </c>
      <c r="U146" s="14">
        <f t="shared" si="662"/>
        <v>6431</v>
      </c>
      <c r="V146" s="14">
        <f t="shared" si="662"/>
        <v>6433</v>
      </c>
      <c r="W146" s="14">
        <f t="shared" si="662"/>
        <v>6435</v>
      </c>
      <c r="X146" s="14">
        <f t="shared" si="662"/>
        <v>6437</v>
      </c>
      <c r="Y146" s="14">
        <f t="shared" si="623"/>
        <v>6439</v>
      </c>
      <c r="Z146" s="14">
        <f t="shared" si="624"/>
        <v>6441</v>
      </c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</row>
    <row r="147" spans="1:68" hidden="1" x14ac:dyDescent="0.25">
      <c r="A147" s="3">
        <v>43</v>
      </c>
      <c r="B147" s="3" t="s">
        <v>327</v>
      </c>
      <c r="C147" s="3" t="s">
        <v>140</v>
      </c>
      <c r="D147" s="3" t="s">
        <v>283</v>
      </c>
      <c r="E147" s="14">
        <f t="shared" si="604"/>
        <v>6600</v>
      </c>
      <c r="F147" s="14">
        <f t="shared" si="273"/>
        <v>6601</v>
      </c>
      <c r="G147" s="14">
        <f t="shared" si="654"/>
        <v>6603</v>
      </c>
      <c r="H147" s="14">
        <f t="shared" si="655"/>
        <v>6605</v>
      </c>
      <c r="I147" s="14">
        <f t="shared" ref="I147:J147" si="663">H147+H$6</f>
        <v>6607</v>
      </c>
      <c r="J147" s="14">
        <f t="shared" si="663"/>
        <v>6609</v>
      </c>
      <c r="K147" s="14">
        <f t="shared" si="657"/>
        <v>6611</v>
      </c>
      <c r="L147" s="14">
        <f t="shared" si="658"/>
        <v>6613</v>
      </c>
      <c r="M147" s="14">
        <f t="shared" si="659"/>
        <v>6615</v>
      </c>
      <c r="N147" s="14">
        <f t="shared" ref="N147:X147" si="664">M147+M$6</f>
        <v>6617</v>
      </c>
      <c r="O147" s="14">
        <f t="shared" si="664"/>
        <v>6619</v>
      </c>
      <c r="P147" s="14">
        <f t="shared" si="664"/>
        <v>6621</v>
      </c>
      <c r="Q147" s="14">
        <f t="shared" si="645"/>
        <v>6623</v>
      </c>
      <c r="R147" s="14">
        <f t="shared" si="645"/>
        <v>6625</v>
      </c>
      <c r="S147" s="14">
        <f t="shared" si="664"/>
        <v>6627</v>
      </c>
      <c r="T147" s="14">
        <f t="shared" si="664"/>
        <v>6629</v>
      </c>
      <c r="U147" s="14">
        <f t="shared" si="664"/>
        <v>6631</v>
      </c>
      <c r="V147" s="14">
        <f t="shared" si="664"/>
        <v>6633</v>
      </c>
      <c r="W147" s="14">
        <f t="shared" si="664"/>
        <v>6635</v>
      </c>
      <c r="X147" s="14">
        <f t="shared" si="664"/>
        <v>6637</v>
      </c>
      <c r="Y147" s="14">
        <f t="shared" si="623"/>
        <v>6639</v>
      </c>
      <c r="Z147" s="14">
        <f t="shared" si="624"/>
        <v>6641</v>
      </c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</row>
    <row r="148" spans="1:68" hidden="1" x14ac:dyDescent="0.25">
      <c r="A148" s="3">
        <v>44</v>
      </c>
      <c r="B148" s="3" t="s">
        <v>327</v>
      </c>
      <c r="C148" s="3" t="s">
        <v>141</v>
      </c>
      <c r="D148" s="3" t="s">
        <v>283</v>
      </c>
      <c r="E148" s="14">
        <f t="shared" si="604"/>
        <v>6800</v>
      </c>
      <c r="F148" s="14">
        <f t="shared" si="273"/>
        <v>6801</v>
      </c>
      <c r="G148" s="14">
        <f t="shared" si="654"/>
        <v>6803</v>
      </c>
      <c r="H148" s="14">
        <f t="shared" si="655"/>
        <v>6805</v>
      </c>
      <c r="I148" s="14">
        <f t="shared" ref="I148:J148" si="665">H148+H$6</f>
        <v>6807</v>
      </c>
      <c r="J148" s="14">
        <f t="shared" si="665"/>
        <v>6809</v>
      </c>
      <c r="K148" s="14">
        <f t="shared" si="657"/>
        <v>6811</v>
      </c>
      <c r="L148" s="14">
        <f t="shared" si="658"/>
        <v>6813</v>
      </c>
      <c r="M148" s="14">
        <f t="shared" si="659"/>
        <v>6815</v>
      </c>
      <c r="N148" s="14">
        <f t="shared" ref="N148:Y164" si="666">M148+M$6</f>
        <v>6817</v>
      </c>
      <c r="O148" s="14">
        <f t="shared" si="666"/>
        <v>6819</v>
      </c>
      <c r="P148" s="14">
        <f t="shared" si="666"/>
        <v>6821</v>
      </c>
      <c r="Q148" s="14">
        <f t="shared" si="645"/>
        <v>6823</v>
      </c>
      <c r="R148" s="14">
        <f t="shared" si="645"/>
        <v>6825</v>
      </c>
      <c r="S148" s="14">
        <f t="shared" si="666"/>
        <v>6827</v>
      </c>
      <c r="T148" s="14">
        <f t="shared" si="666"/>
        <v>6829</v>
      </c>
      <c r="U148" s="14">
        <f t="shared" si="666"/>
        <v>6831</v>
      </c>
      <c r="V148" s="14">
        <f t="shared" si="666"/>
        <v>6833</v>
      </c>
      <c r="W148" s="14">
        <f t="shared" si="666"/>
        <v>6835</v>
      </c>
      <c r="X148" s="14">
        <f t="shared" si="666"/>
        <v>6837</v>
      </c>
      <c r="Y148" s="14">
        <f t="shared" si="666"/>
        <v>6839</v>
      </c>
      <c r="Z148" s="14">
        <f t="shared" si="624"/>
        <v>6841</v>
      </c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</row>
    <row r="149" spans="1:68" hidden="1" x14ac:dyDescent="0.25">
      <c r="A149" s="3">
        <v>45</v>
      </c>
      <c r="B149" s="3" t="s">
        <v>327</v>
      </c>
      <c r="C149" s="3" t="s">
        <v>142</v>
      </c>
      <c r="D149" s="3" t="s">
        <v>321</v>
      </c>
      <c r="E149" s="14">
        <f t="shared" si="604"/>
        <v>7000</v>
      </c>
      <c r="F149" s="14">
        <f t="shared" si="273"/>
        <v>7001</v>
      </c>
      <c r="G149" s="14">
        <f t="shared" ref="G149:G160" si="667">F149+F$6</f>
        <v>7003</v>
      </c>
      <c r="H149" s="14">
        <f t="shared" ref="H149:H160" si="668">G149+G$6</f>
        <v>7005</v>
      </c>
      <c r="I149" s="14">
        <f t="shared" ref="I149:J149" si="669">H149+H$6</f>
        <v>7007</v>
      </c>
      <c r="J149" s="14">
        <f t="shared" si="669"/>
        <v>7009</v>
      </c>
      <c r="K149" s="14">
        <f t="shared" ref="K149:K160" si="670">J149+J$6</f>
        <v>7011</v>
      </c>
      <c r="L149" s="14">
        <f t="shared" ref="L149:L160" si="671">K149+K$6</f>
        <v>7013</v>
      </c>
      <c r="M149" s="14">
        <f t="shared" ref="M149:M160" si="672">L149+L$6</f>
        <v>7015</v>
      </c>
      <c r="N149" s="14">
        <f t="shared" ref="N149:X149" si="673">M149+M$6</f>
        <v>7017</v>
      </c>
      <c r="O149" s="14">
        <f t="shared" si="673"/>
        <v>7019</v>
      </c>
      <c r="P149" s="14">
        <f t="shared" si="673"/>
        <v>7021</v>
      </c>
      <c r="Q149" s="14">
        <f t="shared" si="645"/>
        <v>7023</v>
      </c>
      <c r="R149" s="14">
        <f t="shared" si="645"/>
        <v>7025</v>
      </c>
      <c r="S149" s="14">
        <f t="shared" si="673"/>
        <v>7027</v>
      </c>
      <c r="T149" s="14">
        <f t="shared" si="673"/>
        <v>7029</v>
      </c>
      <c r="U149" s="14">
        <f t="shared" si="673"/>
        <v>7031</v>
      </c>
      <c r="V149" s="14">
        <f t="shared" si="673"/>
        <v>7033</v>
      </c>
      <c r="W149" s="14">
        <f t="shared" si="673"/>
        <v>7035</v>
      </c>
      <c r="X149" s="14">
        <f t="shared" si="673"/>
        <v>7037</v>
      </c>
      <c r="Y149" s="14">
        <f t="shared" si="666"/>
        <v>7039</v>
      </c>
      <c r="Z149" s="14">
        <f t="shared" si="624"/>
        <v>7041</v>
      </c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</row>
    <row r="150" spans="1:68" hidden="1" x14ac:dyDescent="0.25">
      <c r="A150" s="3">
        <v>46</v>
      </c>
      <c r="B150" s="3" t="s">
        <v>327</v>
      </c>
      <c r="C150" s="3" t="s">
        <v>143</v>
      </c>
      <c r="D150" s="3" t="s">
        <v>321</v>
      </c>
      <c r="E150" s="14">
        <f t="shared" si="604"/>
        <v>7200</v>
      </c>
      <c r="F150" s="14">
        <f t="shared" si="273"/>
        <v>7201</v>
      </c>
      <c r="G150" s="14">
        <f t="shared" si="667"/>
        <v>7203</v>
      </c>
      <c r="H150" s="14">
        <f t="shared" si="668"/>
        <v>7205</v>
      </c>
      <c r="I150" s="14">
        <f t="shared" ref="I150:J150" si="674">H150+H$6</f>
        <v>7207</v>
      </c>
      <c r="J150" s="14">
        <f t="shared" si="674"/>
        <v>7209</v>
      </c>
      <c r="K150" s="14">
        <f t="shared" si="670"/>
        <v>7211</v>
      </c>
      <c r="L150" s="14">
        <f t="shared" si="671"/>
        <v>7213</v>
      </c>
      <c r="M150" s="14">
        <f t="shared" si="672"/>
        <v>7215</v>
      </c>
      <c r="N150" s="14">
        <f t="shared" ref="N150:X150" si="675">M150+M$6</f>
        <v>7217</v>
      </c>
      <c r="O150" s="14">
        <f t="shared" si="675"/>
        <v>7219</v>
      </c>
      <c r="P150" s="14">
        <f t="shared" si="675"/>
        <v>7221</v>
      </c>
      <c r="Q150" s="14">
        <f t="shared" si="645"/>
        <v>7223</v>
      </c>
      <c r="R150" s="14">
        <f t="shared" si="645"/>
        <v>7225</v>
      </c>
      <c r="S150" s="14">
        <f t="shared" si="675"/>
        <v>7227</v>
      </c>
      <c r="T150" s="14">
        <f t="shared" si="675"/>
        <v>7229</v>
      </c>
      <c r="U150" s="14">
        <f t="shared" si="675"/>
        <v>7231</v>
      </c>
      <c r="V150" s="14">
        <f t="shared" si="675"/>
        <v>7233</v>
      </c>
      <c r="W150" s="14">
        <f t="shared" si="675"/>
        <v>7235</v>
      </c>
      <c r="X150" s="14">
        <f t="shared" si="675"/>
        <v>7237</v>
      </c>
      <c r="Y150" s="14">
        <f t="shared" si="666"/>
        <v>7239</v>
      </c>
      <c r="Z150" s="14">
        <f t="shared" si="624"/>
        <v>7241</v>
      </c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</row>
    <row r="151" spans="1:68" hidden="1" x14ac:dyDescent="0.25">
      <c r="A151" s="3">
        <v>47</v>
      </c>
      <c r="B151" s="3" t="s">
        <v>327</v>
      </c>
      <c r="C151" s="3" t="s">
        <v>144</v>
      </c>
      <c r="D151" s="3" t="s">
        <v>321</v>
      </c>
      <c r="E151" s="14">
        <f t="shared" si="604"/>
        <v>7400</v>
      </c>
      <c r="F151" s="14">
        <f t="shared" si="273"/>
        <v>7401</v>
      </c>
      <c r="G151" s="14">
        <f t="shared" si="667"/>
        <v>7403</v>
      </c>
      <c r="H151" s="14">
        <f t="shared" si="668"/>
        <v>7405</v>
      </c>
      <c r="I151" s="14">
        <f t="shared" ref="I151:J151" si="676">H151+H$6</f>
        <v>7407</v>
      </c>
      <c r="J151" s="14">
        <f t="shared" si="676"/>
        <v>7409</v>
      </c>
      <c r="K151" s="14">
        <f t="shared" si="670"/>
        <v>7411</v>
      </c>
      <c r="L151" s="14">
        <f t="shared" si="671"/>
        <v>7413</v>
      </c>
      <c r="M151" s="14">
        <f t="shared" si="672"/>
        <v>7415</v>
      </c>
      <c r="N151" s="14">
        <f t="shared" ref="N151:X151" si="677">M151+M$6</f>
        <v>7417</v>
      </c>
      <c r="O151" s="14">
        <f t="shared" si="677"/>
        <v>7419</v>
      </c>
      <c r="P151" s="14">
        <f t="shared" si="677"/>
        <v>7421</v>
      </c>
      <c r="Q151" s="14">
        <f t="shared" si="645"/>
        <v>7423</v>
      </c>
      <c r="R151" s="14">
        <f t="shared" si="645"/>
        <v>7425</v>
      </c>
      <c r="S151" s="14">
        <f t="shared" si="677"/>
        <v>7427</v>
      </c>
      <c r="T151" s="14">
        <f t="shared" si="677"/>
        <v>7429</v>
      </c>
      <c r="U151" s="14">
        <f t="shared" si="677"/>
        <v>7431</v>
      </c>
      <c r="V151" s="14">
        <f t="shared" si="677"/>
        <v>7433</v>
      </c>
      <c r="W151" s="14">
        <f t="shared" si="677"/>
        <v>7435</v>
      </c>
      <c r="X151" s="14">
        <f t="shared" si="677"/>
        <v>7437</v>
      </c>
      <c r="Y151" s="14">
        <f t="shared" si="666"/>
        <v>7439</v>
      </c>
      <c r="Z151" s="14">
        <f t="shared" si="624"/>
        <v>7441</v>
      </c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</row>
    <row r="152" spans="1:68" hidden="1" x14ac:dyDescent="0.25">
      <c r="A152" s="3">
        <v>48</v>
      </c>
      <c r="B152" s="3" t="s">
        <v>327</v>
      </c>
      <c r="C152" s="3" t="s">
        <v>145</v>
      </c>
      <c r="D152" s="3" t="s">
        <v>321</v>
      </c>
      <c r="E152" s="14">
        <f t="shared" si="604"/>
        <v>7600</v>
      </c>
      <c r="F152" s="14">
        <f t="shared" si="273"/>
        <v>7601</v>
      </c>
      <c r="G152" s="14">
        <f t="shared" si="667"/>
        <v>7603</v>
      </c>
      <c r="H152" s="14">
        <f t="shared" si="668"/>
        <v>7605</v>
      </c>
      <c r="I152" s="14">
        <f t="shared" ref="I152:J152" si="678">H152+H$6</f>
        <v>7607</v>
      </c>
      <c r="J152" s="14">
        <f t="shared" si="678"/>
        <v>7609</v>
      </c>
      <c r="K152" s="14">
        <f t="shared" si="670"/>
        <v>7611</v>
      </c>
      <c r="L152" s="14">
        <f t="shared" si="671"/>
        <v>7613</v>
      </c>
      <c r="M152" s="14">
        <f t="shared" si="672"/>
        <v>7615</v>
      </c>
      <c r="N152" s="14">
        <f t="shared" ref="N152:X152" si="679">M152+M$6</f>
        <v>7617</v>
      </c>
      <c r="O152" s="14">
        <f t="shared" si="679"/>
        <v>7619</v>
      </c>
      <c r="P152" s="14">
        <f t="shared" si="679"/>
        <v>7621</v>
      </c>
      <c r="Q152" s="14">
        <f t="shared" si="645"/>
        <v>7623</v>
      </c>
      <c r="R152" s="14">
        <f t="shared" si="645"/>
        <v>7625</v>
      </c>
      <c r="S152" s="14">
        <f t="shared" si="679"/>
        <v>7627</v>
      </c>
      <c r="T152" s="14">
        <f t="shared" si="679"/>
        <v>7629</v>
      </c>
      <c r="U152" s="14">
        <f t="shared" si="679"/>
        <v>7631</v>
      </c>
      <c r="V152" s="14">
        <f t="shared" si="679"/>
        <v>7633</v>
      </c>
      <c r="W152" s="14">
        <f t="shared" si="679"/>
        <v>7635</v>
      </c>
      <c r="X152" s="14">
        <f t="shared" si="679"/>
        <v>7637</v>
      </c>
      <c r="Y152" s="14">
        <f t="shared" si="666"/>
        <v>7639</v>
      </c>
      <c r="Z152" s="14">
        <f t="shared" si="624"/>
        <v>7641</v>
      </c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</row>
    <row r="153" spans="1:68" hidden="1" x14ac:dyDescent="0.25">
      <c r="A153" s="3">
        <v>49</v>
      </c>
      <c r="B153" s="3" t="s">
        <v>327</v>
      </c>
      <c r="C153" s="3" t="s">
        <v>146</v>
      </c>
      <c r="D153" s="3" t="s">
        <v>321</v>
      </c>
      <c r="E153" s="14">
        <f t="shared" si="604"/>
        <v>7800</v>
      </c>
      <c r="F153" s="14">
        <f t="shared" si="273"/>
        <v>7801</v>
      </c>
      <c r="G153" s="14">
        <f t="shared" si="667"/>
        <v>7803</v>
      </c>
      <c r="H153" s="14">
        <f t="shared" si="668"/>
        <v>7805</v>
      </c>
      <c r="I153" s="14">
        <f t="shared" ref="I153:J153" si="680">H153+H$6</f>
        <v>7807</v>
      </c>
      <c r="J153" s="14">
        <f t="shared" si="680"/>
        <v>7809</v>
      </c>
      <c r="K153" s="14">
        <f t="shared" si="670"/>
        <v>7811</v>
      </c>
      <c r="L153" s="14">
        <f t="shared" si="671"/>
        <v>7813</v>
      </c>
      <c r="M153" s="14">
        <f t="shared" si="672"/>
        <v>7815</v>
      </c>
      <c r="N153" s="14">
        <f t="shared" ref="N153:X153" si="681">M153+M$6</f>
        <v>7817</v>
      </c>
      <c r="O153" s="14">
        <f t="shared" si="681"/>
        <v>7819</v>
      </c>
      <c r="P153" s="14">
        <f t="shared" si="681"/>
        <v>7821</v>
      </c>
      <c r="Q153" s="14">
        <f t="shared" si="645"/>
        <v>7823</v>
      </c>
      <c r="R153" s="14">
        <f t="shared" si="645"/>
        <v>7825</v>
      </c>
      <c r="S153" s="14">
        <f t="shared" si="681"/>
        <v>7827</v>
      </c>
      <c r="T153" s="14">
        <f t="shared" si="681"/>
        <v>7829</v>
      </c>
      <c r="U153" s="14">
        <f t="shared" si="681"/>
        <v>7831</v>
      </c>
      <c r="V153" s="14">
        <f t="shared" si="681"/>
        <v>7833</v>
      </c>
      <c r="W153" s="14">
        <f t="shared" si="681"/>
        <v>7835</v>
      </c>
      <c r="X153" s="14">
        <f t="shared" si="681"/>
        <v>7837</v>
      </c>
      <c r="Y153" s="14">
        <f t="shared" si="666"/>
        <v>7839</v>
      </c>
      <c r="Z153" s="14">
        <f t="shared" si="624"/>
        <v>7841</v>
      </c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</row>
    <row r="154" spans="1:68" hidden="1" x14ac:dyDescent="0.25">
      <c r="A154" s="3">
        <v>50</v>
      </c>
      <c r="B154" s="3" t="s">
        <v>327</v>
      </c>
      <c r="C154" s="3" t="s">
        <v>147</v>
      </c>
      <c r="D154" s="3" t="s">
        <v>321</v>
      </c>
      <c r="E154" s="14">
        <f t="shared" si="604"/>
        <v>8000</v>
      </c>
      <c r="F154" s="14">
        <f t="shared" si="273"/>
        <v>8001</v>
      </c>
      <c r="G154" s="14">
        <f t="shared" si="667"/>
        <v>8003</v>
      </c>
      <c r="H154" s="14">
        <f t="shared" si="668"/>
        <v>8005</v>
      </c>
      <c r="I154" s="14">
        <f t="shared" ref="I154:J154" si="682">H154+H$6</f>
        <v>8007</v>
      </c>
      <c r="J154" s="14">
        <f t="shared" si="682"/>
        <v>8009</v>
      </c>
      <c r="K154" s="14">
        <f t="shared" si="670"/>
        <v>8011</v>
      </c>
      <c r="L154" s="14">
        <f t="shared" si="671"/>
        <v>8013</v>
      </c>
      <c r="M154" s="14">
        <f t="shared" si="672"/>
        <v>8015</v>
      </c>
      <c r="N154" s="14">
        <f t="shared" ref="N154:X154" si="683">M154+M$6</f>
        <v>8017</v>
      </c>
      <c r="O154" s="14">
        <f t="shared" si="683"/>
        <v>8019</v>
      </c>
      <c r="P154" s="14">
        <f t="shared" si="683"/>
        <v>8021</v>
      </c>
      <c r="Q154" s="14">
        <f t="shared" si="645"/>
        <v>8023</v>
      </c>
      <c r="R154" s="14">
        <f t="shared" si="645"/>
        <v>8025</v>
      </c>
      <c r="S154" s="14">
        <f t="shared" si="683"/>
        <v>8027</v>
      </c>
      <c r="T154" s="14">
        <f t="shared" si="683"/>
        <v>8029</v>
      </c>
      <c r="U154" s="14">
        <f t="shared" si="683"/>
        <v>8031</v>
      </c>
      <c r="V154" s="14">
        <f t="shared" si="683"/>
        <v>8033</v>
      </c>
      <c r="W154" s="14">
        <f t="shared" si="683"/>
        <v>8035</v>
      </c>
      <c r="X154" s="14">
        <f t="shared" si="683"/>
        <v>8037</v>
      </c>
      <c r="Y154" s="14">
        <f t="shared" si="666"/>
        <v>8039</v>
      </c>
      <c r="Z154" s="14">
        <f t="shared" si="624"/>
        <v>8041</v>
      </c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</row>
    <row r="155" spans="1:68" hidden="1" x14ac:dyDescent="0.25">
      <c r="A155" s="3">
        <v>51</v>
      </c>
      <c r="B155" s="3" t="s">
        <v>327</v>
      </c>
      <c r="C155" s="3" t="s">
        <v>148</v>
      </c>
      <c r="D155" s="3" t="s">
        <v>321</v>
      </c>
      <c r="E155" s="14">
        <f t="shared" si="604"/>
        <v>8200</v>
      </c>
      <c r="F155" s="14">
        <f t="shared" si="273"/>
        <v>8201</v>
      </c>
      <c r="G155" s="14">
        <f t="shared" si="667"/>
        <v>8203</v>
      </c>
      <c r="H155" s="14">
        <f t="shared" si="668"/>
        <v>8205</v>
      </c>
      <c r="I155" s="14">
        <f t="shared" ref="I155:J155" si="684">H155+H$6</f>
        <v>8207</v>
      </c>
      <c r="J155" s="14">
        <f t="shared" si="684"/>
        <v>8209</v>
      </c>
      <c r="K155" s="14">
        <f t="shared" si="670"/>
        <v>8211</v>
      </c>
      <c r="L155" s="14">
        <f t="shared" si="671"/>
        <v>8213</v>
      </c>
      <c r="M155" s="14">
        <f t="shared" si="672"/>
        <v>8215</v>
      </c>
      <c r="N155" s="14">
        <f t="shared" ref="N155:X155" si="685">M155+M$6</f>
        <v>8217</v>
      </c>
      <c r="O155" s="14">
        <f t="shared" si="685"/>
        <v>8219</v>
      </c>
      <c r="P155" s="14">
        <f t="shared" si="685"/>
        <v>8221</v>
      </c>
      <c r="Q155" s="14">
        <f t="shared" si="645"/>
        <v>8223</v>
      </c>
      <c r="R155" s="14">
        <f t="shared" si="645"/>
        <v>8225</v>
      </c>
      <c r="S155" s="14">
        <f t="shared" si="685"/>
        <v>8227</v>
      </c>
      <c r="T155" s="14">
        <f t="shared" si="685"/>
        <v>8229</v>
      </c>
      <c r="U155" s="14">
        <f t="shared" si="685"/>
        <v>8231</v>
      </c>
      <c r="V155" s="14">
        <f t="shared" si="685"/>
        <v>8233</v>
      </c>
      <c r="W155" s="14">
        <f t="shared" si="685"/>
        <v>8235</v>
      </c>
      <c r="X155" s="14">
        <f t="shared" si="685"/>
        <v>8237</v>
      </c>
      <c r="Y155" s="14">
        <f t="shared" si="666"/>
        <v>8239</v>
      </c>
      <c r="Z155" s="14">
        <f t="shared" si="624"/>
        <v>8241</v>
      </c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</row>
    <row r="156" spans="1:68" hidden="1" x14ac:dyDescent="0.25">
      <c r="A156" s="3">
        <v>52</v>
      </c>
      <c r="B156" s="3" t="s">
        <v>327</v>
      </c>
      <c r="C156" s="3" t="s">
        <v>149</v>
      </c>
      <c r="D156" s="3" t="s">
        <v>321</v>
      </c>
      <c r="E156" s="14">
        <f t="shared" si="604"/>
        <v>8400</v>
      </c>
      <c r="F156" s="14">
        <f t="shared" si="273"/>
        <v>8401</v>
      </c>
      <c r="G156" s="14">
        <f t="shared" si="667"/>
        <v>8403</v>
      </c>
      <c r="H156" s="14">
        <f t="shared" si="668"/>
        <v>8405</v>
      </c>
      <c r="I156" s="14">
        <f t="shared" ref="I156:J156" si="686">H156+H$6</f>
        <v>8407</v>
      </c>
      <c r="J156" s="14">
        <f t="shared" si="686"/>
        <v>8409</v>
      </c>
      <c r="K156" s="14">
        <f t="shared" si="670"/>
        <v>8411</v>
      </c>
      <c r="L156" s="14">
        <f t="shared" si="671"/>
        <v>8413</v>
      </c>
      <c r="M156" s="14">
        <f t="shared" si="672"/>
        <v>8415</v>
      </c>
      <c r="N156" s="14">
        <f t="shared" ref="N156:X172" si="687">M156+M$6</f>
        <v>8417</v>
      </c>
      <c r="O156" s="14">
        <f t="shared" si="687"/>
        <v>8419</v>
      </c>
      <c r="P156" s="14">
        <f t="shared" si="687"/>
        <v>8421</v>
      </c>
      <c r="Q156" s="14">
        <f t="shared" si="687"/>
        <v>8423</v>
      </c>
      <c r="R156" s="14">
        <f t="shared" si="687"/>
        <v>8425</v>
      </c>
      <c r="S156" s="14">
        <f t="shared" si="687"/>
        <v>8427</v>
      </c>
      <c r="T156" s="14">
        <f t="shared" si="687"/>
        <v>8429</v>
      </c>
      <c r="U156" s="14">
        <f t="shared" si="687"/>
        <v>8431</v>
      </c>
      <c r="V156" s="14">
        <f t="shared" si="687"/>
        <v>8433</v>
      </c>
      <c r="W156" s="14">
        <f t="shared" si="687"/>
        <v>8435</v>
      </c>
      <c r="X156" s="14">
        <f t="shared" si="687"/>
        <v>8437</v>
      </c>
      <c r="Y156" s="14">
        <f t="shared" si="666"/>
        <v>8439</v>
      </c>
      <c r="Z156" s="14">
        <f t="shared" si="624"/>
        <v>8441</v>
      </c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</row>
    <row r="157" spans="1:68" hidden="1" x14ac:dyDescent="0.25">
      <c r="A157" s="3">
        <v>53</v>
      </c>
      <c r="B157" s="3" t="s">
        <v>327</v>
      </c>
      <c r="C157" s="3" t="s">
        <v>150</v>
      </c>
      <c r="D157" s="3" t="s">
        <v>321</v>
      </c>
      <c r="E157" s="14">
        <f t="shared" si="604"/>
        <v>8600</v>
      </c>
      <c r="F157" s="14">
        <f t="shared" si="273"/>
        <v>8601</v>
      </c>
      <c r="G157" s="14">
        <f t="shared" si="667"/>
        <v>8603</v>
      </c>
      <c r="H157" s="14">
        <f t="shared" si="668"/>
        <v>8605</v>
      </c>
      <c r="I157" s="14">
        <f t="shared" ref="I157:J157" si="688">H157+H$6</f>
        <v>8607</v>
      </c>
      <c r="J157" s="14">
        <f t="shared" si="688"/>
        <v>8609</v>
      </c>
      <c r="K157" s="14">
        <f t="shared" si="670"/>
        <v>8611</v>
      </c>
      <c r="L157" s="14">
        <f t="shared" si="671"/>
        <v>8613</v>
      </c>
      <c r="M157" s="14">
        <f t="shared" si="672"/>
        <v>8615</v>
      </c>
      <c r="N157" s="14">
        <f t="shared" ref="N157:X157" si="689">M157+M$6</f>
        <v>8617</v>
      </c>
      <c r="O157" s="14">
        <f t="shared" si="689"/>
        <v>8619</v>
      </c>
      <c r="P157" s="14">
        <f t="shared" si="689"/>
        <v>8621</v>
      </c>
      <c r="Q157" s="14">
        <f t="shared" si="687"/>
        <v>8623</v>
      </c>
      <c r="R157" s="14">
        <f t="shared" si="687"/>
        <v>8625</v>
      </c>
      <c r="S157" s="14">
        <f t="shared" si="689"/>
        <v>8627</v>
      </c>
      <c r="T157" s="14">
        <f t="shared" si="689"/>
        <v>8629</v>
      </c>
      <c r="U157" s="14">
        <f t="shared" si="689"/>
        <v>8631</v>
      </c>
      <c r="V157" s="14">
        <f t="shared" si="689"/>
        <v>8633</v>
      </c>
      <c r="W157" s="14">
        <f t="shared" si="689"/>
        <v>8635</v>
      </c>
      <c r="X157" s="14">
        <f t="shared" si="689"/>
        <v>8637</v>
      </c>
      <c r="Y157" s="14">
        <f t="shared" si="666"/>
        <v>8639</v>
      </c>
      <c r="Z157" s="14">
        <f t="shared" si="624"/>
        <v>8641</v>
      </c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</row>
    <row r="158" spans="1:68" hidden="1" x14ac:dyDescent="0.25">
      <c r="A158" s="3">
        <v>54</v>
      </c>
      <c r="B158" s="3" t="s">
        <v>327</v>
      </c>
      <c r="C158" s="3" t="s">
        <v>151</v>
      </c>
      <c r="D158" s="3" t="s">
        <v>321</v>
      </c>
      <c r="E158" s="14">
        <f t="shared" si="604"/>
        <v>8800</v>
      </c>
      <c r="F158" s="14">
        <f t="shared" si="273"/>
        <v>8801</v>
      </c>
      <c r="G158" s="14">
        <f t="shared" si="667"/>
        <v>8803</v>
      </c>
      <c r="H158" s="14">
        <f t="shared" si="668"/>
        <v>8805</v>
      </c>
      <c r="I158" s="14">
        <f t="shared" ref="I158:J158" si="690">H158+H$6</f>
        <v>8807</v>
      </c>
      <c r="J158" s="14">
        <f t="shared" si="690"/>
        <v>8809</v>
      </c>
      <c r="K158" s="14">
        <f t="shared" si="670"/>
        <v>8811</v>
      </c>
      <c r="L158" s="14">
        <f t="shared" si="671"/>
        <v>8813</v>
      </c>
      <c r="M158" s="14">
        <f t="shared" si="672"/>
        <v>8815</v>
      </c>
      <c r="N158" s="14">
        <f t="shared" ref="N158:X158" si="691">M158+M$6</f>
        <v>8817</v>
      </c>
      <c r="O158" s="14">
        <f t="shared" si="691"/>
        <v>8819</v>
      </c>
      <c r="P158" s="14">
        <f t="shared" si="691"/>
        <v>8821</v>
      </c>
      <c r="Q158" s="14">
        <f t="shared" si="687"/>
        <v>8823</v>
      </c>
      <c r="R158" s="14">
        <f t="shared" si="687"/>
        <v>8825</v>
      </c>
      <c r="S158" s="14">
        <f t="shared" si="691"/>
        <v>8827</v>
      </c>
      <c r="T158" s="14">
        <f t="shared" si="691"/>
        <v>8829</v>
      </c>
      <c r="U158" s="14">
        <f t="shared" si="691"/>
        <v>8831</v>
      </c>
      <c r="V158" s="14">
        <f t="shared" si="691"/>
        <v>8833</v>
      </c>
      <c r="W158" s="14">
        <f t="shared" si="691"/>
        <v>8835</v>
      </c>
      <c r="X158" s="14">
        <f t="shared" si="691"/>
        <v>8837</v>
      </c>
      <c r="Y158" s="14">
        <f t="shared" si="666"/>
        <v>8839</v>
      </c>
      <c r="Z158" s="14">
        <f t="shared" si="624"/>
        <v>8841</v>
      </c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</row>
    <row r="159" spans="1:68" hidden="1" x14ac:dyDescent="0.25">
      <c r="A159" s="3">
        <v>55</v>
      </c>
      <c r="B159" s="3" t="s">
        <v>327</v>
      </c>
      <c r="C159" s="3" t="s">
        <v>152</v>
      </c>
      <c r="D159" s="3" t="s">
        <v>321</v>
      </c>
      <c r="E159" s="14">
        <f t="shared" si="604"/>
        <v>9000</v>
      </c>
      <c r="F159" s="14">
        <f t="shared" si="273"/>
        <v>9001</v>
      </c>
      <c r="G159" s="14">
        <f t="shared" si="667"/>
        <v>9003</v>
      </c>
      <c r="H159" s="14">
        <f t="shared" si="668"/>
        <v>9005</v>
      </c>
      <c r="I159" s="14">
        <f t="shared" ref="I159:J159" si="692">H159+H$6</f>
        <v>9007</v>
      </c>
      <c r="J159" s="14">
        <f t="shared" si="692"/>
        <v>9009</v>
      </c>
      <c r="K159" s="14">
        <f t="shared" si="670"/>
        <v>9011</v>
      </c>
      <c r="L159" s="14">
        <f t="shared" si="671"/>
        <v>9013</v>
      </c>
      <c r="M159" s="14">
        <f t="shared" si="672"/>
        <v>9015</v>
      </c>
      <c r="N159" s="14">
        <f t="shared" ref="N159:X159" si="693">M159+M$6</f>
        <v>9017</v>
      </c>
      <c r="O159" s="14">
        <f t="shared" si="693"/>
        <v>9019</v>
      </c>
      <c r="P159" s="14">
        <f t="shared" si="693"/>
        <v>9021</v>
      </c>
      <c r="Q159" s="14">
        <f t="shared" si="687"/>
        <v>9023</v>
      </c>
      <c r="R159" s="14">
        <f t="shared" si="687"/>
        <v>9025</v>
      </c>
      <c r="S159" s="14">
        <f t="shared" si="693"/>
        <v>9027</v>
      </c>
      <c r="T159" s="14">
        <f t="shared" si="693"/>
        <v>9029</v>
      </c>
      <c r="U159" s="14">
        <f t="shared" si="693"/>
        <v>9031</v>
      </c>
      <c r="V159" s="14">
        <f t="shared" si="693"/>
        <v>9033</v>
      </c>
      <c r="W159" s="14">
        <f t="shared" si="693"/>
        <v>9035</v>
      </c>
      <c r="X159" s="14">
        <f t="shared" si="693"/>
        <v>9037</v>
      </c>
      <c r="Y159" s="14">
        <f t="shared" si="666"/>
        <v>9039</v>
      </c>
      <c r="Z159" s="14">
        <f t="shared" si="624"/>
        <v>9041</v>
      </c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</row>
    <row r="160" spans="1:68" hidden="1" x14ac:dyDescent="0.25">
      <c r="A160" s="3">
        <v>56</v>
      </c>
      <c r="B160" s="3" t="s">
        <v>327</v>
      </c>
      <c r="C160" s="3" t="s">
        <v>153</v>
      </c>
      <c r="D160" s="3" t="s">
        <v>321</v>
      </c>
      <c r="E160" s="14">
        <f t="shared" si="604"/>
        <v>9200</v>
      </c>
      <c r="F160" s="14">
        <f t="shared" si="273"/>
        <v>9201</v>
      </c>
      <c r="G160" s="14">
        <f t="shared" si="667"/>
        <v>9203</v>
      </c>
      <c r="H160" s="14">
        <f t="shared" si="668"/>
        <v>9205</v>
      </c>
      <c r="I160" s="14">
        <f t="shared" ref="I160:J160" si="694">H160+H$6</f>
        <v>9207</v>
      </c>
      <c r="J160" s="14">
        <f t="shared" si="694"/>
        <v>9209</v>
      </c>
      <c r="K160" s="14">
        <f t="shared" si="670"/>
        <v>9211</v>
      </c>
      <c r="L160" s="14">
        <f t="shared" si="671"/>
        <v>9213</v>
      </c>
      <c r="M160" s="14">
        <f t="shared" si="672"/>
        <v>9215</v>
      </c>
      <c r="N160" s="14">
        <f t="shared" ref="N160:X160" si="695">M160+M$6</f>
        <v>9217</v>
      </c>
      <c r="O160" s="14">
        <f t="shared" si="695"/>
        <v>9219</v>
      </c>
      <c r="P160" s="14">
        <f t="shared" si="695"/>
        <v>9221</v>
      </c>
      <c r="Q160" s="14">
        <f t="shared" si="687"/>
        <v>9223</v>
      </c>
      <c r="R160" s="14">
        <f t="shared" si="687"/>
        <v>9225</v>
      </c>
      <c r="S160" s="14">
        <f t="shared" si="695"/>
        <v>9227</v>
      </c>
      <c r="T160" s="14">
        <f t="shared" si="695"/>
        <v>9229</v>
      </c>
      <c r="U160" s="14">
        <f t="shared" si="695"/>
        <v>9231</v>
      </c>
      <c r="V160" s="14">
        <f t="shared" si="695"/>
        <v>9233</v>
      </c>
      <c r="W160" s="14">
        <f t="shared" si="695"/>
        <v>9235</v>
      </c>
      <c r="X160" s="14">
        <f t="shared" si="695"/>
        <v>9237</v>
      </c>
      <c r="Y160" s="14">
        <f t="shared" si="666"/>
        <v>9239</v>
      </c>
      <c r="Z160" s="14">
        <f t="shared" si="624"/>
        <v>9241</v>
      </c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</row>
    <row r="161" spans="1:68" hidden="1" x14ac:dyDescent="0.25">
      <c r="A161" s="3">
        <v>57</v>
      </c>
      <c r="B161" s="3" t="s">
        <v>327</v>
      </c>
      <c r="C161" s="6" t="s">
        <v>587</v>
      </c>
      <c r="D161" s="6" t="s">
        <v>321</v>
      </c>
      <c r="E161" s="17">
        <f t="shared" si="604"/>
        <v>9400</v>
      </c>
      <c r="F161" s="14">
        <f t="shared" ref="F161:F162" si="696">E161+1</f>
        <v>9401</v>
      </c>
      <c r="G161" s="14">
        <f t="shared" ref="G161:G162" si="697">F161+F$6</f>
        <v>9403</v>
      </c>
      <c r="H161" s="14">
        <f t="shared" ref="H161:H162" si="698">G161+G$6</f>
        <v>9405</v>
      </c>
      <c r="I161" s="14">
        <f t="shared" ref="I161:I162" si="699">H161+H$6</f>
        <v>9407</v>
      </c>
      <c r="J161" s="14">
        <f t="shared" ref="J161:J162" si="700">I161+I$6</f>
        <v>9409</v>
      </c>
      <c r="K161" s="14">
        <f t="shared" ref="K161:K162" si="701">J161+J$6</f>
        <v>9411</v>
      </c>
      <c r="L161" s="14">
        <f t="shared" ref="L161:L162" si="702">K161+K$6</f>
        <v>9413</v>
      </c>
      <c r="M161" s="14">
        <f t="shared" ref="M161:M162" si="703">L161+L$6</f>
        <v>9415</v>
      </c>
      <c r="N161" s="14">
        <f t="shared" ref="N161:N162" si="704">M161+M$6</f>
        <v>9417</v>
      </c>
      <c r="O161" s="14">
        <f t="shared" ref="O161:O162" si="705">N161+N$6</f>
        <v>9419</v>
      </c>
      <c r="P161" s="14">
        <f t="shared" ref="P161:P162" si="706">O161+O$6</f>
        <v>9421</v>
      </c>
      <c r="Q161" s="14">
        <f t="shared" ref="Q161:Q162" si="707">P161+P$6</f>
        <v>9423</v>
      </c>
      <c r="R161" s="14">
        <f t="shared" ref="R161:R162" si="708">Q161+Q$6</f>
        <v>9425</v>
      </c>
      <c r="S161" s="14">
        <f t="shared" ref="S161:S162" si="709">R161+R$6</f>
        <v>9427</v>
      </c>
      <c r="T161" s="14">
        <f t="shared" ref="T161:T162" si="710">S161+S$6</f>
        <v>9429</v>
      </c>
      <c r="U161" s="14">
        <f t="shared" ref="U161:U162" si="711">T161+T$6</f>
        <v>9431</v>
      </c>
      <c r="V161" s="14">
        <f t="shared" ref="V161:V162" si="712">U161+U$6</f>
        <v>9433</v>
      </c>
      <c r="W161" s="14">
        <f t="shared" ref="W161:W162" si="713">V161+V$6</f>
        <v>9435</v>
      </c>
      <c r="X161" s="14">
        <f t="shared" ref="X161:X162" si="714">W161+W$6</f>
        <v>9437</v>
      </c>
      <c r="Y161" s="14">
        <f t="shared" ref="Y161:Y162" si="715">X161+X$6</f>
        <v>9439</v>
      </c>
      <c r="Z161" s="14">
        <f t="shared" ref="Z161:Z162" si="716">Y161+Y$6</f>
        <v>9441</v>
      </c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</row>
    <row r="162" spans="1:68" hidden="1" x14ac:dyDescent="0.25">
      <c r="A162" s="3">
        <v>58</v>
      </c>
      <c r="B162" s="3" t="s">
        <v>327</v>
      </c>
      <c r="C162" s="3" t="s">
        <v>154</v>
      </c>
      <c r="D162" s="3" t="s">
        <v>322</v>
      </c>
      <c r="E162" s="14">
        <f t="shared" si="604"/>
        <v>9600</v>
      </c>
      <c r="F162" s="14">
        <f t="shared" si="696"/>
        <v>9601</v>
      </c>
      <c r="G162" s="14">
        <f t="shared" si="697"/>
        <v>9603</v>
      </c>
      <c r="H162" s="14">
        <f t="shared" si="698"/>
        <v>9605</v>
      </c>
      <c r="I162" s="14">
        <f t="shared" si="699"/>
        <v>9607</v>
      </c>
      <c r="J162" s="14">
        <f t="shared" si="700"/>
        <v>9609</v>
      </c>
      <c r="K162" s="14">
        <f t="shared" si="701"/>
        <v>9611</v>
      </c>
      <c r="L162" s="14">
        <f t="shared" si="702"/>
        <v>9613</v>
      </c>
      <c r="M162" s="14">
        <f t="shared" si="703"/>
        <v>9615</v>
      </c>
      <c r="N162" s="14">
        <f t="shared" si="704"/>
        <v>9617</v>
      </c>
      <c r="O162" s="14">
        <f t="shared" si="705"/>
        <v>9619</v>
      </c>
      <c r="P162" s="14">
        <f t="shared" si="706"/>
        <v>9621</v>
      </c>
      <c r="Q162" s="14">
        <f t="shared" si="707"/>
        <v>9623</v>
      </c>
      <c r="R162" s="14">
        <f t="shared" si="708"/>
        <v>9625</v>
      </c>
      <c r="S162" s="14">
        <f t="shared" si="709"/>
        <v>9627</v>
      </c>
      <c r="T162" s="14">
        <f t="shared" si="710"/>
        <v>9629</v>
      </c>
      <c r="U162" s="14">
        <f t="shared" si="711"/>
        <v>9631</v>
      </c>
      <c r="V162" s="14">
        <f t="shared" si="712"/>
        <v>9633</v>
      </c>
      <c r="W162" s="14">
        <f t="shared" si="713"/>
        <v>9635</v>
      </c>
      <c r="X162" s="14">
        <f t="shared" si="714"/>
        <v>9637</v>
      </c>
      <c r="Y162" s="14">
        <f t="shared" si="715"/>
        <v>9639</v>
      </c>
      <c r="Z162" s="14">
        <f t="shared" si="716"/>
        <v>9641</v>
      </c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</row>
    <row r="163" spans="1:68" hidden="1" x14ac:dyDescent="0.25">
      <c r="A163" s="3">
        <v>59</v>
      </c>
      <c r="B163" s="3" t="s">
        <v>327</v>
      </c>
      <c r="C163" s="3" t="s">
        <v>155</v>
      </c>
      <c r="D163" s="3" t="s">
        <v>322</v>
      </c>
      <c r="E163" s="14">
        <f t="shared" si="604"/>
        <v>9800</v>
      </c>
      <c r="F163" s="14">
        <f t="shared" si="273"/>
        <v>9801</v>
      </c>
      <c r="G163" s="14">
        <f t="shared" ref="G163:G171" si="717">F163+F$6</f>
        <v>9803</v>
      </c>
      <c r="H163" s="14">
        <f t="shared" ref="H163:H171" si="718">G163+G$6</f>
        <v>9805</v>
      </c>
      <c r="I163" s="14">
        <f t="shared" ref="I163:J163" si="719">H163+H$6</f>
        <v>9807</v>
      </c>
      <c r="J163" s="14">
        <f t="shared" si="719"/>
        <v>9809</v>
      </c>
      <c r="K163" s="14">
        <f t="shared" ref="K163:K171" si="720">J163+J$6</f>
        <v>9811</v>
      </c>
      <c r="L163" s="14">
        <f t="shared" ref="L163:L171" si="721">K163+K$6</f>
        <v>9813</v>
      </c>
      <c r="M163" s="14">
        <f t="shared" ref="M163:M171" si="722">L163+L$6</f>
        <v>9815</v>
      </c>
      <c r="N163" s="14">
        <f t="shared" ref="N163:X163" si="723">M163+M$6</f>
        <v>9817</v>
      </c>
      <c r="O163" s="14">
        <f t="shared" si="723"/>
        <v>9819</v>
      </c>
      <c r="P163" s="14">
        <f t="shared" si="723"/>
        <v>9821</v>
      </c>
      <c r="Q163" s="14">
        <f t="shared" si="687"/>
        <v>9823</v>
      </c>
      <c r="R163" s="14">
        <f t="shared" si="687"/>
        <v>9825</v>
      </c>
      <c r="S163" s="14">
        <f t="shared" si="723"/>
        <v>9827</v>
      </c>
      <c r="T163" s="14">
        <f t="shared" si="723"/>
        <v>9829</v>
      </c>
      <c r="U163" s="14">
        <f t="shared" si="723"/>
        <v>9831</v>
      </c>
      <c r="V163" s="14">
        <f t="shared" si="723"/>
        <v>9833</v>
      </c>
      <c r="W163" s="14">
        <f t="shared" si="723"/>
        <v>9835</v>
      </c>
      <c r="X163" s="14">
        <f t="shared" si="723"/>
        <v>9837</v>
      </c>
      <c r="Y163" s="14">
        <f t="shared" si="666"/>
        <v>9839</v>
      </c>
      <c r="Z163" s="14">
        <f t="shared" si="624"/>
        <v>9841</v>
      </c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</row>
    <row r="164" spans="1:68" hidden="1" x14ac:dyDescent="0.25">
      <c r="A164" s="3">
        <v>60</v>
      </c>
      <c r="B164" s="3" t="s">
        <v>327</v>
      </c>
      <c r="C164" s="3" t="s">
        <v>156</v>
      </c>
      <c r="D164" s="3" t="s">
        <v>322</v>
      </c>
      <c r="E164" s="14">
        <f t="shared" si="604"/>
        <v>10000</v>
      </c>
      <c r="F164" s="14">
        <f t="shared" si="273"/>
        <v>10001</v>
      </c>
      <c r="G164" s="14">
        <f t="shared" si="717"/>
        <v>10003</v>
      </c>
      <c r="H164" s="14">
        <f t="shared" si="718"/>
        <v>10005</v>
      </c>
      <c r="I164" s="14">
        <f t="shared" ref="I164:J164" si="724">H164+H$6</f>
        <v>10007</v>
      </c>
      <c r="J164" s="14">
        <f t="shared" si="724"/>
        <v>10009</v>
      </c>
      <c r="K164" s="14">
        <f t="shared" si="720"/>
        <v>10011</v>
      </c>
      <c r="L164" s="14">
        <f t="shared" si="721"/>
        <v>10013</v>
      </c>
      <c r="M164" s="14">
        <f t="shared" si="722"/>
        <v>10015</v>
      </c>
      <c r="N164" s="14">
        <f t="shared" ref="N164:X164" si="725">M164+M$6</f>
        <v>10017</v>
      </c>
      <c r="O164" s="14">
        <f t="shared" si="725"/>
        <v>10019</v>
      </c>
      <c r="P164" s="14">
        <f t="shared" si="725"/>
        <v>10021</v>
      </c>
      <c r="Q164" s="14">
        <f t="shared" si="687"/>
        <v>10023</v>
      </c>
      <c r="R164" s="14">
        <f t="shared" si="687"/>
        <v>10025</v>
      </c>
      <c r="S164" s="14">
        <f t="shared" si="725"/>
        <v>10027</v>
      </c>
      <c r="T164" s="14">
        <f t="shared" si="725"/>
        <v>10029</v>
      </c>
      <c r="U164" s="14">
        <f t="shared" si="725"/>
        <v>10031</v>
      </c>
      <c r="V164" s="14">
        <f t="shared" si="725"/>
        <v>10033</v>
      </c>
      <c r="W164" s="14">
        <f t="shared" si="725"/>
        <v>10035</v>
      </c>
      <c r="X164" s="14">
        <f t="shared" si="725"/>
        <v>10037</v>
      </c>
      <c r="Y164" s="14">
        <f t="shared" si="666"/>
        <v>10039</v>
      </c>
      <c r="Z164" s="14">
        <f t="shared" si="624"/>
        <v>10041</v>
      </c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</row>
    <row r="165" spans="1:68" hidden="1" x14ac:dyDescent="0.25">
      <c r="A165" s="3">
        <v>61</v>
      </c>
      <c r="B165" s="3" t="s">
        <v>327</v>
      </c>
      <c r="C165" s="3" t="s">
        <v>157</v>
      </c>
      <c r="D165" s="3" t="s">
        <v>322</v>
      </c>
      <c r="E165" s="14">
        <f t="shared" si="604"/>
        <v>10200</v>
      </c>
      <c r="F165" s="14">
        <f t="shared" si="273"/>
        <v>10201</v>
      </c>
      <c r="G165" s="14">
        <f t="shared" si="717"/>
        <v>10203</v>
      </c>
      <c r="H165" s="14">
        <f t="shared" si="718"/>
        <v>10205</v>
      </c>
      <c r="I165" s="14">
        <f t="shared" ref="I165:J165" si="726">H165+H$6</f>
        <v>10207</v>
      </c>
      <c r="J165" s="14">
        <f t="shared" si="726"/>
        <v>10209</v>
      </c>
      <c r="K165" s="14">
        <f t="shared" si="720"/>
        <v>10211</v>
      </c>
      <c r="L165" s="14">
        <f t="shared" si="721"/>
        <v>10213</v>
      </c>
      <c r="M165" s="14">
        <f t="shared" si="722"/>
        <v>10215</v>
      </c>
      <c r="N165" s="14">
        <f t="shared" ref="N165:Y180" si="727">M165+M$6</f>
        <v>10217</v>
      </c>
      <c r="O165" s="14">
        <f t="shared" si="727"/>
        <v>10219</v>
      </c>
      <c r="P165" s="14">
        <f t="shared" si="727"/>
        <v>10221</v>
      </c>
      <c r="Q165" s="14">
        <f t="shared" si="687"/>
        <v>10223</v>
      </c>
      <c r="R165" s="14">
        <f t="shared" si="687"/>
        <v>10225</v>
      </c>
      <c r="S165" s="14">
        <f t="shared" si="727"/>
        <v>10227</v>
      </c>
      <c r="T165" s="14">
        <f t="shared" si="727"/>
        <v>10229</v>
      </c>
      <c r="U165" s="14">
        <f t="shared" si="727"/>
        <v>10231</v>
      </c>
      <c r="V165" s="14">
        <f t="shared" si="727"/>
        <v>10233</v>
      </c>
      <c r="W165" s="14">
        <f t="shared" si="727"/>
        <v>10235</v>
      </c>
      <c r="X165" s="14">
        <f t="shared" si="727"/>
        <v>10237</v>
      </c>
      <c r="Y165" s="14">
        <f t="shared" si="727"/>
        <v>10239</v>
      </c>
      <c r="Z165" s="14">
        <f t="shared" si="624"/>
        <v>10241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</row>
    <row r="166" spans="1:68" hidden="1" x14ac:dyDescent="0.25">
      <c r="A166" s="3">
        <v>62</v>
      </c>
      <c r="B166" s="3" t="s">
        <v>327</v>
      </c>
      <c r="C166" s="3" t="s">
        <v>158</v>
      </c>
      <c r="D166" s="3" t="s">
        <v>322</v>
      </c>
      <c r="E166" s="14">
        <f t="shared" si="604"/>
        <v>10400</v>
      </c>
      <c r="F166" s="14">
        <f t="shared" si="273"/>
        <v>10401</v>
      </c>
      <c r="G166" s="14">
        <f t="shared" si="717"/>
        <v>10403</v>
      </c>
      <c r="H166" s="14">
        <f t="shared" si="718"/>
        <v>10405</v>
      </c>
      <c r="I166" s="14">
        <f t="shared" ref="I166:J166" si="728">H166+H$6</f>
        <v>10407</v>
      </c>
      <c r="J166" s="14">
        <f t="shared" si="728"/>
        <v>10409</v>
      </c>
      <c r="K166" s="14">
        <f t="shared" si="720"/>
        <v>10411</v>
      </c>
      <c r="L166" s="14">
        <f t="shared" si="721"/>
        <v>10413</v>
      </c>
      <c r="M166" s="14">
        <f t="shared" si="722"/>
        <v>10415</v>
      </c>
      <c r="N166" s="14">
        <f t="shared" ref="N166:X166" si="729">M166+M$6</f>
        <v>10417</v>
      </c>
      <c r="O166" s="14">
        <f t="shared" si="729"/>
        <v>10419</v>
      </c>
      <c r="P166" s="14">
        <f t="shared" si="729"/>
        <v>10421</v>
      </c>
      <c r="Q166" s="14">
        <f t="shared" si="687"/>
        <v>10423</v>
      </c>
      <c r="R166" s="14">
        <f t="shared" si="687"/>
        <v>10425</v>
      </c>
      <c r="S166" s="14">
        <f t="shared" si="729"/>
        <v>10427</v>
      </c>
      <c r="T166" s="14">
        <f t="shared" si="729"/>
        <v>10429</v>
      </c>
      <c r="U166" s="14">
        <f t="shared" si="729"/>
        <v>10431</v>
      </c>
      <c r="V166" s="14">
        <f t="shared" si="729"/>
        <v>10433</v>
      </c>
      <c r="W166" s="14">
        <f t="shared" si="729"/>
        <v>10435</v>
      </c>
      <c r="X166" s="14">
        <f t="shared" si="729"/>
        <v>10437</v>
      </c>
      <c r="Y166" s="14">
        <f t="shared" si="727"/>
        <v>10439</v>
      </c>
      <c r="Z166" s="14">
        <f t="shared" si="624"/>
        <v>10441</v>
      </c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</row>
    <row r="167" spans="1:68" hidden="1" x14ac:dyDescent="0.25">
      <c r="A167" s="3">
        <v>63</v>
      </c>
      <c r="B167" s="3" t="s">
        <v>327</v>
      </c>
      <c r="C167" s="3" t="s">
        <v>159</v>
      </c>
      <c r="D167" s="3" t="s">
        <v>322</v>
      </c>
      <c r="E167" s="14">
        <f t="shared" si="604"/>
        <v>10600</v>
      </c>
      <c r="F167" s="14">
        <f t="shared" si="273"/>
        <v>10601</v>
      </c>
      <c r="G167" s="14">
        <f t="shared" si="717"/>
        <v>10603</v>
      </c>
      <c r="H167" s="14">
        <f t="shared" si="718"/>
        <v>10605</v>
      </c>
      <c r="I167" s="14">
        <f t="shared" ref="I167:J167" si="730">H167+H$6</f>
        <v>10607</v>
      </c>
      <c r="J167" s="14">
        <f t="shared" si="730"/>
        <v>10609</v>
      </c>
      <c r="K167" s="14">
        <f t="shared" si="720"/>
        <v>10611</v>
      </c>
      <c r="L167" s="14">
        <f t="shared" si="721"/>
        <v>10613</v>
      </c>
      <c r="M167" s="14">
        <f t="shared" si="722"/>
        <v>10615</v>
      </c>
      <c r="N167" s="14">
        <f t="shared" ref="N167:X167" si="731">M167+M$6</f>
        <v>10617</v>
      </c>
      <c r="O167" s="14">
        <f t="shared" si="731"/>
        <v>10619</v>
      </c>
      <c r="P167" s="14">
        <f t="shared" si="731"/>
        <v>10621</v>
      </c>
      <c r="Q167" s="14">
        <f t="shared" si="687"/>
        <v>10623</v>
      </c>
      <c r="R167" s="14">
        <f t="shared" si="687"/>
        <v>10625</v>
      </c>
      <c r="S167" s="14">
        <f t="shared" si="731"/>
        <v>10627</v>
      </c>
      <c r="T167" s="14">
        <f t="shared" si="731"/>
        <v>10629</v>
      </c>
      <c r="U167" s="14">
        <f t="shared" si="731"/>
        <v>10631</v>
      </c>
      <c r="V167" s="14">
        <f t="shared" si="731"/>
        <v>10633</v>
      </c>
      <c r="W167" s="14">
        <f t="shared" si="731"/>
        <v>10635</v>
      </c>
      <c r="X167" s="14">
        <f t="shared" si="731"/>
        <v>10637</v>
      </c>
      <c r="Y167" s="14">
        <f t="shared" si="727"/>
        <v>10639</v>
      </c>
      <c r="Z167" s="14">
        <f t="shared" si="624"/>
        <v>10641</v>
      </c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</row>
    <row r="168" spans="1:68" hidden="1" x14ac:dyDescent="0.25">
      <c r="A168" s="3">
        <v>64</v>
      </c>
      <c r="B168" s="3" t="s">
        <v>327</v>
      </c>
      <c r="C168" s="3" t="s">
        <v>160</v>
      </c>
      <c r="D168" s="3" t="s">
        <v>322</v>
      </c>
      <c r="E168" s="14">
        <f t="shared" si="604"/>
        <v>10800</v>
      </c>
      <c r="F168" s="14">
        <f t="shared" si="273"/>
        <v>10801</v>
      </c>
      <c r="G168" s="14">
        <f t="shared" si="717"/>
        <v>10803</v>
      </c>
      <c r="H168" s="14">
        <f t="shared" si="718"/>
        <v>10805</v>
      </c>
      <c r="I168" s="14">
        <f t="shared" ref="I168:J168" si="732">H168+H$6</f>
        <v>10807</v>
      </c>
      <c r="J168" s="14">
        <f t="shared" si="732"/>
        <v>10809</v>
      </c>
      <c r="K168" s="14">
        <f t="shared" si="720"/>
        <v>10811</v>
      </c>
      <c r="L168" s="14">
        <f t="shared" si="721"/>
        <v>10813</v>
      </c>
      <c r="M168" s="14">
        <f t="shared" si="722"/>
        <v>10815</v>
      </c>
      <c r="N168" s="14">
        <f t="shared" ref="N168:X168" si="733">M168+M$6</f>
        <v>10817</v>
      </c>
      <c r="O168" s="14">
        <f t="shared" si="733"/>
        <v>10819</v>
      </c>
      <c r="P168" s="14">
        <f t="shared" si="733"/>
        <v>10821</v>
      </c>
      <c r="Q168" s="14">
        <f t="shared" si="687"/>
        <v>10823</v>
      </c>
      <c r="R168" s="14">
        <f t="shared" si="687"/>
        <v>10825</v>
      </c>
      <c r="S168" s="14">
        <f t="shared" si="733"/>
        <v>10827</v>
      </c>
      <c r="T168" s="14">
        <f t="shared" si="733"/>
        <v>10829</v>
      </c>
      <c r="U168" s="14">
        <f t="shared" si="733"/>
        <v>10831</v>
      </c>
      <c r="V168" s="14">
        <f t="shared" si="733"/>
        <v>10833</v>
      </c>
      <c r="W168" s="14">
        <f t="shared" si="733"/>
        <v>10835</v>
      </c>
      <c r="X168" s="14">
        <f t="shared" si="733"/>
        <v>10837</v>
      </c>
      <c r="Y168" s="14">
        <f t="shared" si="727"/>
        <v>10839</v>
      </c>
      <c r="Z168" s="14">
        <f t="shared" si="624"/>
        <v>10841</v>
      </c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</row>
    <row r="169" spans="1:68" hidden="1" x14ac:dyDescent="0.25">
      <c r="A169" s="3">
        <v>65</v>
      </c>
      <c r="B169" s="3" t="s">
        <v>327</v>
      </c>
      <c r="C169" s="3" t="s">
        <v>161</v>
      </c>
      <c r="D169" s="3" t="s">
        <v>322</v>
      </c>
      <c r="E169" s="14">
        <f t="shared" si="604"/>
        <v>11000</v>
      </c>
      <c r="F169" s="14">
        <f t="shared" si="273"/>
        <v>11001</v>
      </c>
      <c r="G169" s="14">
        <f t="shared" si="717"/>
        <v>11003</v>
      </c>
      <c r="H169" s="14">
        <f t="shared" si="718"/>
        <v>11005</v>
      </c>
      <c r="I169" s="14">
        <f t="shared" ref="I169:J169" si="734">H169+H$6</f>
        <v>11007</v>
      </c>
      <c r="J169" s="14">
        <f t="shared" si="734"/>
        <v>11009</v>
      </c>
      <c r="K169" s="14">
        <f t="shared" si="720"/>
        <v>11011</v>
      </c>
      <c r="L169" s="14">
        <f t="shared" si="721"/>
        <v>11013</v>
      </c>
      <c r="M169" s="14">
        <f t="shared" si="722"/>
        <v>11015</v>
      </c>
      <c r="N169" s="14">
        <f t="shared" ref="N169:X169" si="735">M169+M$6</f>
        <v>11017</v>
      </c>
      <c r="O169" s="14">
        <f t="shared" si="735"/>
        <v>11019</v>
      </c>
      <c r="P169" s="14">
        <f t="shared" si="735"/>
        <v>11021</v>
      </c>
      <c r="Q169" s="14">
        <f t="shared" si="687"/>
        <v>11023</v>
      </c>
      <c r="R169" s="14">
        <f t="shared" si="687"/>
        <v>11025</v>
      </c>
      <c r="S169" s="14">
        <f t="shared" si="735"/>
        <v>11027</v>
      </c>
      <c r="T169" s="14">
        <f t="shared" si="735"/>
        <v>11029</v>
      </c>
      <c r="U169" s="14">
        <f t="shared" si="735"/>
        <v>11031</v>
      </c>
      <c r="V169" s="14">
        <f t="shared" si="735"/>
        <v>11033</v>
      </c>
      <c r="W169" s="14">
        <f t="shared" si="735"/>
        <v>11035</v>
      </c>
      <c r="X169" s="14">
        <f t="shared" si="735"/>
        <v>11037</v>
      </c>
      <c r="Y169" s="14">
        <f t="shared" si="727"/>
        <v>11039</v>
      </c>
      <c r="Z169" s="14">
        <f t="shared" si="624"/>
        <v>11041</v>
      </c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</row>
    <row r="170" spans="1:68" hidden="1" x14ac:dyDescent="0.25">
      <c r="A170" s="3">
        <v>66</v>
      </c>
      <c r="B170" s="3" t="s">
        <v>327</v>
      </c>
      <c r="C170" s="3" t="s">
        <v>162</v>
      </c>
      <c r="D170" s="3" t="s">
        <v>322</v>
      </c>
      <c r="E170" s="14">
        <f t="shared" si="604"/>
        <v>11200</v>
      </c>
      <c r="F170" s="14">
        <f t="shared" si="273"/>
        <v>11201</v>
      </c>
      <c r="G170" s="14">
        <f t="shared" si="717"/>
        <v>11203</v>
      </c>
      <c r="H170" s="14">
        <f t="shared" si="718"/>
        <v>11205</v>
      </c>
      <c r="I170" s="14">
        <f t="shared" ref="I170:J170" si="736">H170+H$6</f>
        <v>11207</v>
      </c>
      <c r="J170" s="14">
        <f t="shared" si="736"/>
        <v>11209</v>
      </c>
      <c r="K170" s="14">
        <f t="shared" si="720"/>
        <v>11211</v>
      </c>
      <c r="L170" s="14">
        <f t="shared" si="721"/>
        <v>11213</v>
      </c>
      <c r="M170" s="14">
        <f t="shared" si="722"/>
        <v>11215</v>
      </c>
      <c r="N170" s="14">
        <f t="shared" ref="N170:X170" si="737">M170+M$6</f>
        <v>11217</v>
      </c>
      <c r="O170" s="14">
        <f t="shared" si="737"/>
        <v>11219</v>
      </c>
      <c r="P170" s="14">
        <f t="shared" si="737"/>
        <v>11221</v>
      </c>
      <c r="Q170" s="14">
        <f t="shared" si="687"/>
        <v>11223</v>
      </c>
      <c r="R170" s="14">
        <f t="shared" si="687"/>
        <v>11225</v>
      </c>
      <c r="S170" s="14">
        <f t="shared" si="737"/>
        <v>11227</v>
      </c>
      <c r="T170" s="14">
        <f t="shared" si="737"/>
        <v>11229</v>
      </c>
      <c r="U170" s="14">
        <f t="shared" si="737"/>
        <v>11231</v>
      </c>
      <c r="V170" s="14">
        <f t="shared" si="737"/>
        <v>11233</v>
      </c>
      <c r="W170" s="14">
        <f t="shared" si="737"/>
        <v>11235</v>
      </c>
      <c r="X170" s="14">
        <f t="shared" si="737"/>
        <v>11237</v>
      </c>
      <c r="Y170" s="14">
        <f t="shared" si="727"/>
        <v>11239</v>
      </c>
      <c r="Z170" s="14">
        <f t="shared" si="624"/>
        <v>11241</v>
      </c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</row>
    <row r="171" spans="1:68" hidden="1" x14ac:dyDescent="0.25">
      <c r="A171" s="3">
        <v>67</v>
      </c>
      <c r="B171" s="3" t="s">
        <v>327</v>
      </c>
      <c r="C171" s="3" t="s">
        <v>163</v>
      </c>
      <c r="D171" s="3" t="s">
        <v>322</v>
      </c>
      <c r="E171" s="14">
        <f t="shared" si="604"/>
        <v>11400</v>
      </c>
      <c r="F171" s="14">
        <f t="shared" si="273"/>
        <v>11401</v>
      </c>
      <c r="G171" s="14">
        <f t="shared" si="717"/>
        <v>11403</v>
      </c>
      <c r="H171" s="14">
        <f t="shared" si="718"/>
        <v>11405</v>
      </c>
      <c r="I171" s="14">
        <f t="shared" ref="I171:J171" si="738">H171+H$6</f>
        <v>11407</v>
      </c>
      <c r="J171" s="14">
        <f t="shared" si="738"/>
        <v>11409</v>
      </c>
      <c r="K171" s="14">
        <f t="shared" si="720"/>
        <v>11411</v>
      </c>
      <c r="L171" s="14">
        <f t="shared" si="721"/>
        <v>11413</v>
      </c>
      <c r="M171" s="14">
        <f t="shared" si="722"/>
        <v>11415</v>
      </c>
      <c r="N171" s="14">
        <f t="shared" ref="N171:X171" si="739">M171+M$6</f>
        <v>11417</v>
      </c>
      <c r="O171" s="14">
        <f t="shared" si="739"/>
        <v>11419</v>
      </c>
      <c r="P171" s="14">
        <f t="shared" si="739"/>
        <v>11421</v>
      </c>
      <c r="Q171" s="14">
        <f t="shared" si="687"/>
        <v>11423</v>
      </c>
      <c r="R171" s="14">
        <f t="shared" si="687"/>
        <v>11425</v>
      </c>
      <c r="S171" s="14">
        <f t="shared" si="739"/>
        <v>11427</v>
      </c>
      <c r="T171" s="14">
        <f t="shared" si="739"/>
        <v>11429</v>
      </c>
      <c r="U171" s="14">
        <f t="shared" si="739"/>
        <v>11431</v>
      </c>
      <c r="V171" s="14">
        <f t="shared" si="739"/>
        <v>11433</v>
      </c>
      <c r="W171" s="14">
        <f t="shared" si="739"/>
        <v>11435</v>
      </c>
      <c r="X171" s="14">
        <f t="shared" si="739"/>
        <v>11437</v>
      </c>
      <c r="Y171" s="14">
        <f t="shared" si="727"/>
        <v>11439</v>
      </c>
      <c r="Z171" s="14">
        <f t="shared" si="624"/>
        <v>11441</v>
      </c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</row>
    <row r="172" spans="1:68" hidden="1" x14ac:dyDescent="0.25">
      <c r="A172" s="3">
        <v>68</v>
      </c>
      <c r="B172" s="3" t="s">
        <v>327</v>
      </c>
      <c r="C172" s="3" t="s">
        <v>164</v>
      </c>
      <c r="D172" s="3" t="s">
        <v>284</v>
      </c>
      <c r="E172" s="14">
        <f t="shared" si="604"/>
        <v>11600</v>
      </c>
      <c r="F172" s="14">
        <f t="shared" si="273"/>
        <v>11601</v>
      </c>
      <c r="G172" s="14">
        <f t="shared" ref="G172:G175" si="740">F172+F$6</f>
        <v>11603</v>
      </c>
      <c r="H172" s="14">
        <f t="shared" ref="H172:H175" si="741">G172+G$6</f>
        <v>11605</v>
      </c>
      <c r="I172" s="14">
        <f t="shared" ref="I172:J172" si="742">H172+H$6</f>
        <v>11607</v>
      </c>
      <c r="J172" s="14">
        <f t="shared" si="742"/>
        <v>11609</v>
      </c>
      <c r="K172" s="14">
        <f t="shared" ref="K172:K175" si="743">J172+J$6</f>
        <v>11611</v>
      </c>
      <c r="L172" s="14">
        <f t="shared" ref="L172:L175" si="744">K172+K$6</f>
        <v>11613</v>
      </c>
      <c r="M172" s="14">
        <f t="shared" ref="M172:M175" si="745">L172+L$6</f>
        <v>11615</v>
      </c>
      <c r="N172" s="14">
        <f t="shared" ref="N172:X172" si="746">M172+M$6</f>
        <v>11617</v>
      </c>
      <c r="O172" s="14">
        <f t="shared" si="746"/>
        <v>11619</v>
      </c>
      <c r="P172" s="14">
        <f t="shared" si="746"/>
        <v>11621</v>
      </c>
      <c r="Q172" s="14">
        <f t="shared" si="687"/>
        <v>11623</v>
      </c>
      <c r="R172" s="14">
        <f t="shared" si="687"/>
        <v>11625</v>
      </c>
      <c r="S172" s="14">
        <f t="shared" si="746"/>
        <v>11627</v>
      </c>
      <c r="T172" s="14">
        <f t="shared" si="746"/>
        <v>11629</v>
      </c>
      <c r="U172" s="14">
        <f t="shared" si="746"/>
        <v>11631</v>
      </c>
      <c r="V172" s="14">
        <f t="shared" si="746"/>
        <v>11633</v>
      </c>
      <c r="W172" s="14">
        <f t="shared" si="746"/>
        <v>11635</v>
      </c>
      <c r="X172" s="14">
        <f t="shared" si="746"/>
        <v>11637</v>
      </c>
      <c r="Y172" s="14">
        <f t="shared" si="727"/>
        <v>11639</v>
      </c>
      <c r="Z172" s="14">
        <f t="shared" si="624"/>
        <v>11641</v>
      </c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</row>
    <row r="173" spans="1:68" hidden="1" x14ac:dyDescent="0.25">
      <c r="A173" s="3">
        <v>69</v>
      </c>
      <c r="B173" s="3" t="s">
        <v>327</v>
      </c>
      <c r="C173" s="3" t="s">
        <v>165</v>
      </c>
      <c r="D173" s="3" t="s">
        <v>284</v>
      </c>
      <c r="E173" s="14">
        <f t="shared" si="604"/>
        <v>11800</v>
      </c>
      <c r="F173" s="14">
        <f t="shared" si="273"/>
        <v>11801</v>
      </c>
      <c r="G173" s="14">
        <f t="shared" si="740"/>
        <v>11803</v>
      </c>
      <c r="H173" s="14">
        <f t="shared" si="741"/>
        <v>11805</v>
      </c>
      <c r="I173" s="14">
        <f t="shared" ref="I173:J173" si="747">H173+H$6</f>
        <v>11807</v>
      </c>
      <c r="J173" s="14">
        <f t="shared" si="747"/>
        <v>11809</v>
      </c>
      <c r="K173" s="14">
        <f t="shared" si="743"/>
        <v>11811</v>
      </c>
      <c r="L173" s="14">
        <f t="shared" si="744"/>
        <v>11813</v>
      </c>
      <c r="M173" s="14">
        <f t="shared" si="745"/>
        <v>11815</v>
      </c>
      <c r="N173" s="14">
        <f t="shared" ref="N173:X186" si="748">M173+M$6</f>
        <v>11817</v>
      </c>
      <c r="O173" s="14">
        <f t="shared" si="748"/>
        <v>11819</v>
      </c>
      <c r="P173" s="14">
        <f t="shared" si="748"/>
        <v>11821</v>
      </c>
      <c r="Q173" s="14">
        <f t="shared" si="748"/>
        <v>11823</v>
      </c>
      <c r="R173" s="14">
        <f t="shared" si="748"/>
        <v>11825</v>
      </c>
      <c r="S173" s="14">
        <f t="shared" si="748"/>
        <v>11827</v>
      </c>
      <c r="T173" s="14">
        <f t="shared" si="748"/>
        <v>11829</v>
      </c>
      <c r="U173" s="14">
        <f t="shared" si="748"/>
        <v>11831</v>
      </c>
      <c r="V173" s="14">
        <f t="shared" si="748"/>
        <v>11833</v>
      </c>
      <c r="W173" s="14">
        <f t="shared" si="748"/>
        <v>11835</v>
      </c>
      <c r="X173" s="14">
        <f t="shared" si="748"/>
        <v>11837</v>
      </c>
      <c r="Y173" s="14">
        <f t="shared" si="727"/>
        <v>11839</v>
      </c>
      <c r="Z173" s="14">
        <f t="shared" si="624"/>
        <v>11841</v>
      </c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</row>
    <row r="174" spans="1:68" hidden="1" x14ac:dyDescent="0.25">
      <c r="A174" s="3">
        <v>70</v>
      </c>
      <c r="B174" s="3" t="s">
        <v>327</v>
      </c>
      <c r="C174" s="3" t="s">
        <v>166</v>
      </c>
      <c r="D174" s="3" t="s">
        <v>284</v>
      </c>
      <c r="E174" s="14">
        <f t="shared" si="604"/>
        <v>12000</v>
      </c>
      <c r="F174" s="14">
        <f t="shared" si="273"/>
        <v>12001</v>
      </c>
      <c r="G174" s="14">
        <f t="shared" si="740"/>
        <v>12003</v>
      </c>
      <c r="H174" s="14">
        <f t="shared" si="741"/>
        <v>12005</v>
      </c>
      <c r="I174" s="14">
        <f t="shared" ref="I174:J174" si="749">H174+H$6</f>
        <v>12007</v>
      </c>
      <c r="J174" s="14">
        <f t="shared" si="749"/>
        <v>12009</v>
      </c>
      <c r="K174" s="14">
        <f t="shared" si="743"/>
        <v>12011</v>
      </c>
      <c r="L174" s="14">
        <f t="shared" si="744"/>
        <v>12013</v>
      </c>
      <c r="M174" s="14">
        <f t="shared" si="745"/>
        <v>12015</v>
      </c>
      <c r="N174" s="14">
        <f t="shared" ref="N174:X174" si="750">M174+M$6</f>
        <v>12017</v>
      </c>
      <c r="O174" s="14">
        <f t="shared" si="750"/>
        <v>12019</v>
      </c>
      <c r="P174" s="14">
        <f t="shared" si="750"/>
        <v>12021</v>
      </c>
      <c r="Q174" s="14">
        <f t="shared" si="748"/>
        <v>12023</v>
      </c>
      <c r="R174" s="14">
        <f t="shared" si="748"/>
        <v>12025</v>
      </c>
      <c r="S174" s="14">
        <f t="shared" si="750"/>
        <v>12027</v>
      </c>
      <c r="T174" s="14">
        <f t="shared" si="750"/>
        <v>12029</v>
      </c>
      <c r="U174" s="14">
        <f t="shared" si="750"/>
        <v>12031</v>
      </c>
      <c r="V174" s="14">
        <f t="shared" si="750"/>
        <v>12033</v>
      </c>
      <c r="W174" s="14">
        <f t="shared" si="750"/>
        <v>12035</v>
      </c>
      <c r="X174" s="14">
        <f t="shared" si="750"/>
        <v>12037</v>
      </c>
      <c r="Y174" s="14">
        <f t="shared" si="727"/>
        <v>12039</v>
      </c>
      <c r="Z174" s="14">
        <f t="shared" si="624"/>
        <v>12041</v>
      </c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</row>
    <row r="175" spans="1:68" hidden="1" x14ac:dyDescent="0.25">
      <c r="A175" s="3">
        <v>71</v>
      </c>
      <c r="B175" s="3" t="s">
        <v>327</v>
      </c>
      <c r="C175" s="3" t="s">
        <v>167</v>
      </c>
      <c r="D175" s="3" t="s">
        <v>284</v>
      </c>
      <c r="E175" s="14">
        <f t="shared" si="604"/>
        <v>12200</v>
      </c>
      <c r="F175" s="14">
        <f t="shared" si="273"/>
        <v>12201</v>
      </c>
      <c r="G175" s="14">
        <f t="shared" si="740"/>
        <v>12203</v>
      </c>
      <c r="H175" s="14">
        <f t="shared" si="741"/>
        <v>12205</v>
      </c>
      <c r="I175" s="14">
        <f t="shared" ref="I175:J175" si="751">H175+H$6</f>
        <v>12207</v>
      </c>
      <c r="J175" s="14">
        <f t="shared" si="751"/>
        <v>12209</v>
      </c>
      <c r="K175" s="14">
        <f t="shared" si="743"/>
        <v>12211</v>
      </c>
      <c r="L175" s="14">
        <f t="shared" si="744"/>
        <v>12213</v>
      </c>
      <c r="M175" s="14">
        <f t="shared" si="745"/>
        <v>12215</v>
      </c>
      <c r="N175" s="14">
        <f t="shared" ref="N175:X175" si="752">M175+M$6</f>
        <v>12217</v>
      </c>
      <c r="O175" s="14">
        <f t="shared" si="752"/>
        <v>12219</v>
      </c>
      <c r="P175" s="14">
        <f t="shared" si="752"/>
        <v>12221</v>
      </c>
      <c r="Q175" s="14">
        <f t="shared" si="748"/>
        <v>12223</v>
      </c>
      <c r="R175" s="14">
        <f t="shared" si="748"/>
        <v>12225</v>
      </c>
      <c r="S175" s="14">
        <f t="shared" si="752"/>
        <v>12227</v>
      </c>
      <c r="T175" s="14">
        <f t="shared" si="752"/>
        <v>12229</v>
      </c>
      <c r="U175" s="14">
        <f t="shared" si="752"/>
        <v>12231</v>
      </c>
      <c r="V175" s="14">
        <f t="shared" si="752"/>
        <v>12233</v>
      </c>
      <c r="W175" s="14">
        <f t="shared" si="752"/>
        <v>12235</v>
      </c>
      <c r="X175" s="14">
        <f t="shared" si="752"/>
        <v>12237</v>
      </c>
      <c r="Y175" s="14">
        <f t="shared" si="727"/>
        <v>12239</v>
      </c>
      <c r="Z175" s="14">
        <f t="shared" si="624"/>
        <v>12241</v>
      </c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</row>
    <row r="176" spans="1:68" hidden="1" x14ac:dyDescent="0.25">
      <c r="A176" s="3">
        <v>72</v>
      </c>
      <c r="B176" s="3" t="s">
        <v>327</v>
      </c>
      <c r="C176" s="3" t="s">
        <v>168</v>
      </c>
      <c r="D176" s="3" t="s">
        <v>323</v>
      </c>
      <c r="E176" s="14">
        <f t="shared" si="604"/>
        <v>12400</v>
      </c>
      <c r="F176" s="14">
        <f t="shared" si="273"/>
        <v>12401</v>
      </c>
      <c r="G176" s="14">
        <f t="shared" ref="G176:G186" si="753">F176+F$6</f>
        <v>12403</v>
      </c>
      <c r="H176" s="14">
        <f t="shared" ref="H176:H186" si="754">G176+G$6</f>
        <v>12405</v>
      </c>
      <c r="I176" s="14">
        <f t="shared" ref="I176:J176" si="755">H176+H$6</f>
        <v>12407</v>
      </c>
      <c r="J176" s="14">
        <f t="shared" si="755"/>
        <v>12409</v>
      </c>
      <c r="K176" s="14">
        <f t="shared" ref="K176:K186" si="756">J176+J$6</f>
        <v>12411</v>
      </c>
      <c r="L176" s="14">
        <f t="shared" ref="L176:L186" si="757">K176+K$6</f>
        <v>12413</v>
      </c>
      <c r="M176" s="14">
        <f t="shared" ref="M176:M186" si="758">L176+L$6</f>
        <v>12415</v>
      </c>
      <c r="N176" s="14">
        <f t="shared" ref="N176:X176" si="759">M176+M$6</f>
        <v>12417</v>
      </c>
      <c r="O176" s="14">
        <f t="shared" si="759"/>
        <v>12419</v>
      </c>
      <c r="P176" s="14">
        <f t="shared" si="759"/>
        <v>12421</v>
      </c>
      <c r="Q176" s="14">
        <f t="shared" si="748"/>
        <v>12423</v>
      </c>
      <c r="R176" s="14">
        <f t="shared" si="748"/>
        <v>12425</v>
      </c>
      <c r="S176" s="14">
        <f t="shared" si="759"/>
        <v>12427</v>
      </c>
      <c r="T176" s="14">
        <f t="shared" si="759"/>
        <v>12429</v>
      </c>
      <c r="U176" s="14">
        <f t="shared" si="759"/>
        <v>12431</v>
      </c>
      <c r="V176" s="14">
        <f t="shared" si="759"/>
        <v>12433</v>
      </c>
      <c r="W176" s="14">
        <f t="shared" si="759"/>
        <v>12435</v>
      </c>
      <c r="X176" s="14">
        <f t="shared" si="759"/>
        <v>12437</v>
      </c>
      <c r="Y176" s="14">
        <f t="shared" si="727"/>
        <v>12439</v>
      </c>
      <c r="Z176" s="14">
        <f t="shared" si="624"/>
        <v>12441</v>
      </c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</row>
    <row r="177" spans="1:68" hidden="1" x14ac:dyDescent="0.25">
      <c r="A177" s="3">
        <v>73</v>
      </c>
      <c r="B177" s="3" t="s">
        <v>327</v>
      </c>
      <c r="C177" s="3" t="s">
        <v>169</v>
      </c>
      <c r="D177" s="3" t="s">
        <v>323</v>
      </c>
      <c r="E177" s="14">
        <f t="shared" si="604"/>
        <v>12600</v>
      </c>
      <c r="F177" s="14">
        <f t="shared" si="273"/>
        <v>12601</v>
      </c>
      <c r="G177" s="14">
        <f t="shared" si="753"/>
        <v>12603</v>
      </c>
      <c r="H177" s="14">
        <f t="shared" si="754"/>
        <v>12605</v>
      </c>
      <c r="I177" s="14">
        <f t="shared" ref="I177:J177" si="760">H177+H$6</f>
        <v>12607</v>
      </c>
      <c r="J177" s="14">
        <f t="shared" si="760"/>
        <v>12609</v>
      </c>
      <c r="K177" s="14">
        <f t="shared" si="756"/>
        <v>12611</v>
      </c>
      <c r="L177" s="14">
        <f t="shared" si="757"/>
        <v>12613</v>
      </c>
      <c r="M177" s="14">
        <f t="shared" si="758"/>
        <v>12615</v>
      </c>
      <c r="N177" s="14">
        <f t="shared" ref="N177:X177" si="761">M177+M$6</f>
        <v>12617</v>
      </c>
      <c r="O177" s="14">
        <f t="shared" si="761"/>
        <v>12619</v>
      </c>
      <c r="P177" s="14">
        <f t="shared" si="761"/>
        <v>12621</v>
      </c>
      <c r="Q177" s="14">
        <f t="shared" si="748"/>
        <v>12623</v>
      </c>
      <c r="R177" s="14">
        <f t="shared" si="748"/>
        <v>12625</v>
      </c>
      <c r="S177" s="14">
        <f t="shared" si="761"/>
        <v>12627</v>
      </c>
      <c r="T177" s="14">
        <f t="shared" si="761"/>
        <v>12629</v>
      </c>
      <c r="U177" s="14">
        <f t="shared" si="761"/>
        <v>12631</v>
      </c>
      <c r="V177" s="14">
        <f t="shared" si="761"/>
        <v>12633</v>
      </c>
      <c r="W177" s="14">
        <f t="shared" si="761"/>
        <v>12635</v>
      </c>
      <c r="X177" s="14">
        <f t="shared" si="761"/>
        <v>12637</v>
      </c>
      <c r="Y177" s="14">
        <f t="shared" si="727"/>
        <v>12639</v>
      </c>
      <c r="Z177" s="14">
        <f t="shared" si="624"/>
        <v>12641</v>
      </c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</row>
    <row r="178" spans="1:68" hidden="1" x14ac:dyDescent="0.25">
      <c r="A178" s="3">
        <v>74</v>
      </c>
      <c r="B178" s="3" t="s">
        <v>327</v>
      </c>
      <c r="C178" s="3" t="s">
        <v>170</v>
      </c>
      <c r="D178" s="3" t="s">
        <v>323</v>
      </c>
      <c r="E178" s="14">
        <f t="shared" si="604"/>
        <v>12800</v>
      </c>
      <c r="F178" s="14">
        <f t="shared" si="273"/>
        <v>12801</v>
      </c>
      <c r="G178" s="14">
        <f t="shared" si="753"/>
        <v>12803</v>
      </c>
      <c r="H178" s="14">
        <f t="shared" si="754"/>
        <v>12805</v>
      </c>
      <c r="I178" s="14">
        <f t="shared" ref="I178:J178" si="762">H178+H$6</f>
        <v>12807</v>
      </c>
      <c r="J178" s="14">
        <f t="shared" si="762"/>
        <v>12809</v>
      </c>
      <c r="K178" s="14">
        <f t="shared" si="756"/>
        <v>12811</v>
      </c>
      <c r="L178" s="14">
        <f t="shared" si="757"/>
        <v>12813</v>
      </c>
      <c r="M178" s="14">
        <f t="shared" si="758"/>
        <v>12815</v>
      </c>
      <c r="N178" s="14">
        <f t="shared" ref="N178:X178" si="763">M178+M$6</f>
        <v>12817</v>
      </c>
      <c r="O178" s="14">
        <f t="shared" si="763"/>
        <v>12819</v>
      </c>
      <c r="P178" s="14">
        <f t="shared" si="763"/>
        <v>12821</v>
      </c>
      <c r="Q178" s="14">
        <f t="shared" si="748"/>
        <v>12823</v>
      </c>
      <c r="R178" s="14">
        <f t="shared" si="748"/>
        <v>12825</v>
      </c>
      <c r="S178" s="14">
        <f t="shared" si="763"/>
        <v>12827</v>
      </c>
      <c r="T178" s="14">
        <f t="shared" si="763"/>
        <v>12829</v>
      </c>
      <c r="U178" s="14">
        <f t="shared" si="763"/>
        <v>12831</v>
      </c>
      <c r="V178" s="14">
        <f t="shared" si="763"/>
        <v>12833</v>
      </c>
      <c r="W178" s="14">
        <f t="shared" si="763"/>
        <v>12835</v>
      </c>
      <c r="X178" s="14">
        <f t="shared" si="763"/>
        <v>12837</v>
      </c>
      <c r="Y178" s="14">
        <f t="shared" si="727"/>
        <v>12839</v>
      </c>
      <c r="Z178" s="14">
        <f t="shared" si="624"/>
        <v>12841</v>
      </c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</row>
    <row r="179" spans="1:68" hidden="1" x14ac:dyDescent="0.25">
      <c r="A179" s="3">
        <v>75</v>
      </c>
      <c r="B179" s="3" t="s">
        <v>327</v>
      </c>
      <c r="C179" s="3" t="s">
        <v>171</v>
      </c>
      <c r="D179" s="3" t="s">
        <v>323</v>
      </c>
      <c r="E179" s="14">
        <f t="shared" si="604"/>
        <v>13000</v>
      </c>
      <c r="F179" s="14">
        <f t="shared" si="273"/>
        <v>13001</v>
      </c>
      <c r="G179" s="14">
        <f t="shared" si="753"/>
        <v>13003</v>
      </c>
      <c r="H179" s="14">
        <f t="shared" si="754"/>
        <v>13005</v>
      </c>
      <c r="I179" s="14">
        <f t="shared" ref="I179:J179" si="764">H179+H$6</f>
        <v>13007</v>
      </c>
      <c r="J179" s="14">
        <f t="shared" si="764"/>
        <v>13009</v>
      </c>
      <c r="K179" s="14">
        <f t="shared" si="756"/>
        <v>13011</v>
      </c>
      <c r="L179" s="14">
        <f t="shared" si="757"/>
        <v>13013</v>
      </c>
      <c r="M179" s="14">
        <f t="shared" si="758"/>
        <v>13015</v>
      </c>
      <c r="N179" s="14">
        <f t="shared" ref="N179:X179" si="765">M179+M$6</f>
        <v>13017</v>
      </c>
      <c r="O179" s="14">
        <f t="shared" si="765"/>
        <v>13019</v>
      </c>
      <c r="P179" s="14">
        <f t="shared" si="765"/>
        <v>13021</v>
      </c>
      <c r="Q179" s="14">
        <f t="shared" si="748"/>
        <v>13023</v>
      </c>
      <c r="R179" s="14">
        <f t="shared" si="748"/>
        <v>13025</v>
      </c>
      <c r="S179" s="14">
        <f t="shared" si="765"/>
        <v>13027</v>
      </c>
      <c r="T179" s="14">
        <f t="shared" si="765"/>
        <v>13029</v>
      </c>
      <c r="U179" s="14">
        <f t="shared" si="765"/>
        <v>13031</v>
      </c>
      <c r="V179" s="14">
        <f t="shared" si="765"/>
        <v>13033</v>
      </c>
      <c r="W179" s="14">
        <f t="shared" si="765"/>
        <v>13035</v>
      </c>
      <c r="X179" s="14">
        <f t="shared" si="765"/>
        <v>13037</v>
      </c>
      <c r="Y179" s="14">
        <f t="shared" si="727"/>
        <v>13039</v>
      </c>
      <c r="Z179" s="14">
        <f t="shared" si="624"/>
        <v>13041</v>
      </c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</row>
    <row r="180" spans="1:68" hidden="1" x14ac:dyDescent="0.25">
      <c r="A180" s="3">
        <v>76</v>
      </c>
      <c r="B180" s="3" t="s">
        <v>327</v>
      </c>
      <c r="C180" s="3" t="s">
        <v>172</v>
      </c>
      <c r="D180" s="3" t="s">
        <v>323</v>
      </c>
      <c r="E180" s="14">
        <f t="shared" si="604"/>
        <v>13200</v>
      </c>
      <c r="F180" s="14">
        <f t="shared" ref="F180:F256" si="766">E180+1</f>
        <v>13201</v>
      </c>
      <c r="G180" s="14">
        <f t="shared" si="753"/>
        <v>13203</v>
      </c>
      <c r="H180" s="14">
        <f t="shared" si="754"/>
        <v>13205</v>
      </c>
      <c r="I180" s="14">
        <f t="shared" ref="I180:J180" si="767">H180+H$6</f>
        <v>13207</v>
      </c>
      <c r="J180" s="14">
        <f t="shared" si="767"/>
        <v>13209</v>
      </c>
      <c r="K180" s="14">
        <f t="shared" si="756"/>
        <v>13211</v>
      </c>
      <c r="L180" s="14">
        <f t="shared" si="757"/>
        <v>13213</v>
      </c>
      <c r="M180" s="14">
        <f t="shared" si="758"/>
        <v>13215</v>
      </c>
      <c r="N180" s="14">
        <f t="shared" ref="N180:X180" si="768">M180+M$6</f>
        <v>13217</v>
      </c>
      <c r="O180" s="14">
        <f t="shared" si="768"/>
        <v>13219</v>
      </c>
      <c r="P180" s="14">
        <f t="shared" si="768"/>
        <v>13221</v>
      </c>
      <c r="Q180" s="14">
        <f t="shared" si="748"/>
        <v>13223</v>
      </c>
      <c r="R180" s="14">
        <f t="shared" si="748"/>
        <v>13225</v>
      </c>
      <c r="S180" s="14">
        <f t="shared" si="768"/>
        <v>13227</v>
      </c>
      <c r="T180" s="14">
        <f t="shared" si="768"/>
        <v>13229</v>
      </c>
      <c r="U180" s="14">
        <f t="shared" si="768"/>
        <v>13231</v>
      </c>
      <c r="V180" s="14">
        <f t="shared" si="768"/>
        <v>13233</v>
      </c>
      <c r="W180" s="14">
        <f t="shared" si="768"/>
        <v>13235</v>
      </c>
      <c r="X180" s="14">
        <f t="shared" si="768"/>
        <v>13237</v>
      </c>
      <c r="Y180" s="14">
        <f t="shared" si="727"/>
        <v>13239</v>
      </c>
      <c r="Z180" s="14">
        <f t="shared" si="624"/>
        <v>13241</v>
      </c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</row>
    <row r="181" spans="1:68" hidden="1" x14ac:dyDescent="0.25">
      <c r="A181" s="3">
        <v>77</v>
      </c>
      <c r="B181" s="3" t="s">
        <v>327</v>
      </c>
      <c r="C181" s="3" t="s">
        <v>173</v>
      </c>
      <c r="D181" s="3" t="s">
        <v>323</v>
      </c>
      <c r="E181" s="14">
        <f t="shared" si="604"/>
        <v>13400</v>
      </c>
      <c r="F181" s="14">
        <f t="shared" si="766"/>
        <v>13401</v>
      </c>
      <c r="G181" s="14">
        <f t="shared" si="753"/>
        <v>13403</v>
      </c>
      <c r="H181" s="14">
        <f t="shared" si="754"/>
        <v>13405</v>
      </c>
      <c r="I181" s="14">
        <f t="shared" ref="I181:J181" si="769">H181+H$6</f>
        <v>13407</v>
      </c>
      <c r="J181" s="14">
        <f t="shared" si="769"/>
        <v>13409</v>
      </c>
      <c r="K181" s="14">
        <f t="shared" si="756"/>
        <v>13411</v>
      </c>
      <c r="L181" s="14">
        <f t="shared" si="757"/>
        <v>13413</v>
      </c>
      <c r="M181" s="14">
        <f t="shared" si="758"/>
        <v>13415</v>
      </c>
      <c r="N181" s="14">
        <f t="shared" ref="N181:Y203" si="770">M181+M$6</f>
        <v>13417</v>
      </c>
      <c r="O181" s="14">
        <f t="shared" si="770"/>
        <v>13419</v>
      </c>
      <c r="P181" s="14">
        <f t="shared" si="770"/>
        <v>13421</v>
      </c>
      <c r="Q181" s="14">
        <f t="shared" si="748"/>
        <v>13423</v>
      </c>
      <c r="R181" s="14">
        <f t="shared" si="748"/>
        <v>13425</v>
      </c>
      <c r="S181" s="14">
        <f t="shared" si="770"/>
        <v>13427</v>
      </c>
      <c r="T181" s="14">
        <f t="shared" si="770"/>
        <v>13429</v>
      </c>
      <c r="U181" s="14">
        <f t="shared" si="770"/>
        <v>13431</v>
      </c>
      <c r="V181" s="14">
        <f t="shared" si="770"/>
        <v>13433</v>
      </c>
      <c r="W181" s="14">
        <f t="shared" si="770"/>
        <v>13435</v>
      </c>
      <c r="X181" s="14">
        <f t="shared" si="770"/>
        <v>13437</v>
      </c>
      <c r="Y181" s="14">
        <f t="shared" si="770"/>
        <v>13439</v>
      </c>
      <c r="Z181" s="14">
        <f t="shared" si="624"/>
        <v>13441</v>
      </c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</row>
    <row r="182" spans="1:68" hidden="1" x14ac:dyDescent="0.25">
      <c r="A182" s="3">
        <v>78</v>
      </c>
      <c r="B182" s="3" t="s">
        <v>327</v>
      </c>
      <c r="C182" s="3" t="s">
        <v>174</v>
      </c>
      <c r="D182" s="3" t="s">
        <v>323</v>
      </c>
      <c r="E182" s="14">
        <f t="shared" si="604"/>
        <v>13600</v>
      </c>
      <c r="F182" s="14">
        <f t="shared" si="766"/>
        <v>13601</v>
      </c>
      <c r="G182" s="14">
        <f t="shared" si="753"/>
        <v>13603</v>
      </c>
      <c r="H182" s="14">
        <f t="shared" si="754"/>
        <v>13605</v>
      </c>
      <c r="I182" s="14">
        <f t="shared" ref="I182:J182" si="771">H182+H$6</f>
        <v>13607</v>
      </c>
      <c r="J182" s="14">
        <f t="shared" si="771"/>
        <v>13609</v>
      </c>
      <c r="K182" s="14">
        <f t="shared" si="756"/>
        <v>13611</v>
      </c>
      <c r="L182" s="14">
        <f t="shared" si="757"/>
        <v>13613</v>
      </c>
      <c r="M182" s="14">
        <f t="shared" si="758"/>
        <v>13615</v>
      </c>
      <c r="N182" s="14">
        <f t="shared" ref="N182:X182" si="772">M182+M$6</f>
        <v>13617</v>
      </c>
      <c r="O182" s="14">
        <f t="shared" si="772"/>
        <v>13619</v>
      </c>
      <c r="P182" s="14">
        <f t="shared" si="772"/>
        <v>13621</v>
      </c>
      <c r="Q182" s="14">
        <f t="shared" si="748"/>
        <v>13623</v>
      </c>
      <c r="R182" s="14">
        <f t="shared" si="748"/>
        <v>13625</v>
      </c>
      <c r="S182" s="14">
        <f t="shared" si="772"/>
        <v>13627</v>
      </c>
      <c r="T182" s="14">
        <f t="shared" si="772"/>
        <v>13629</v>
      </c>
      <c r="U182" s="14">
        <f t="shared" si="772"/>
        <v>13631</v>
      </c>
      <c r="V182" s="14">
        <f t="shared" si="772"/>
        <v>13633</v>
      </c>
      <c r="W182" s="14">
        <f t="shared" si="772"/>
        <v>13635</v>
      </c>
      <c r="X182" s="14">
        <f t="shared" si="772"/>
        <v>13637</v>
      </c>
      <c r="Y182" s="14">
        <f t="shared" si="770"/>
        <v>13639</v>
      </c>
      <c r="Z182" s="14">
        <f t="shared" si="624"/>
        <v>13641</v>
      </c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</row>
    <row r="183" spans="1:68" hidden="1" x14ac:dyDescent="0.25">
      <c r="A183" s="3">
        <v>79</v>
      </c>
      <c r="B183" s="3" t="s">
        <v>327</v>
      </c>
      <c r="C183" s="3" t="s">
        <v>175</v>
      </c>
      <c r="D183" s="3" t="s">
        <v>323</v>
      </c>
      <c r="E183" s="14">
        <f t="shared" si="604"/>
        <v>13800</v>
      </c>
      <c r="F183" s="14">
        <f t="shared" si="766"/>
        <v>13801</v>
      </c>
      <c r="G183" s="14">
        <f t="shared" si="753"/>
        <v>13803</v>
      </c>
      <c r="H183" s="14">
        <f t="shared" si="754"/>
        <v>13805</v>
      </c>
      <c r="I183" s="14">
        <f t="shared" ref="I183:J183" si="773">H183+H$6</f>
        <v>13807</v>
      </c>
      <c r="J183" s="14">
        <f t="shared" si="773"/>
        <v>13809</v>
      </c>
      <c r="K183" s="14">
        <f t="shared" si="756"/>
        <v>13811</v>
      </c>
      <c r="L183" s="14">
        <f t="shared" si="757"/>
        <v>13813</v>
      </c>
      <c r="M183" s="14">
        <f t="shared" si="758"/>
        <v>13815</v>
      </c>
      <c r="N183" s="14">
        <f t="shared" ref="N183:X183" si="774">M183+M$6</f>
        <v>13817</v>
      </c>
      <c r="O183" s="14">
        <f t="shared" si="774"/>
        <v>13819</v>
      </c>
      <c r="P183" s="14">
        <f t="shared" si="774"/>
        <v>13821</v>
      </c>
      <c r="Q183" s="14">
        <f t="shared" si="748"/>
        <v>13823</v>
      </c>
      <c r="R183" s="14">
        <f t="shared" si="748"/>
        <v>13825</v>
      </c>
      <c r="S183" s="14">
        <f t="shared" si="774"/>
        <v>13827</v>
      </c>
      <c r="T183" s="14">
        <f t="shared" si="774"/>
        <v>13829</v>
      </c>
      <c r="U183" s="14">
        <f t="shared" si="774"/>
        <v>13831</v>
      </c>
      <c r="V183" s="14">
        <f t="shared" si="774"/>
        <v>13833</v>
      </c>
      <c r="W183" s="14">
        <f t="shared" si="774"/>
        <v>13835</v>
      </c>
      <c r="X183" s="14">
        <f t="shared" si="774"/>
        <v>13837</v>
      </c>
      <c r="Y183" s="14">
        <f t="shared" si="770"/>
        <v>13839</v>
      </c>
      <c r="Z183" s="14">
        <f t="shared" si="624"/>
        <v>13841</v>
      </c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</row>
    <row r="184" spans="1:68" hidden="1" x14ac:dyDescent="0.25">
      <c r="A184" s="3">
        <v>80</v>
      </c>
      <c r="B184" s="3" t="s">
        <v>327</v>
      </c>
      <c r="C184" s="3" t="s">
        <v>176</v>
      </c>
      <c r="D184" s="3" t="s">
        <v>323</v>
      </c>
      <c r="E184" s="14">
        <f t="shared" si="604"/>
        <v>14000</v>
      </c>
      <c r="F184" s="14">
        <f t="shared" si="766"/>
        <v>14001</v>
      </c>
      <c r="G184" s="14">
        <f t="shared" si="753"/>
        <v>14003</v>
      </c>
      <c r="H184" s="14">
        <f t="shared" si="754"/>
        <v>14005</v>
      </c>
      <c r="I184" s="14">
        <f t="shared" ref="I184:J184" si="775">H184+H$6</f>
        <v>14007</v>
      </c>
      <c r="J184" s="14">
        <f t="shared" si="775"/>
        <v>14009</v>
      </c>
      <c r="K184" s="14">
        <f t="shared" si="756"/>
        <v>14011</v>
      </c>
      <c r="L184" s="14">
        <f t="shared" si="757"/>
        <v>14013</v>
      </c>
      <c r="M184" s="14">
        <f t="shared" si="758"/>
        <v>14015</v>
      </c>
      <c r="N184" s="14">
        <f t="shared" ref="N184:X184" si="776">M184+M$6</f>
        <v>14017</v>
      </c>
      <c r="O184" s="14">
        <f t="shared" si="776"/>
        <v>14019</v>
      </c>
      <c r="P184" s="14">
        <f t="shared" si="776"/>
        <v>14021</v>
      </c>
      <c r="Q184" s="14">
        <f t="shared" si="748"/>
        <v>14023</v>
      </c>
      <c r="R184" s="14">
        <f t="shared" si="748"/>
        <v>14025</v>
      </c>
      <c r="S184" s="14">
        <f t="shared" si="776"/>
        <v>14027</v>
      </c>
      <c r="T184" s="14">
        <f t="shared" si="776"/>
        <v>14029</v>
      </c>
      <c r="U184" s="14">
        <f t="shared" si="776"/>
        <v>14031</v>
      </c>
      <c r="V184" s="14">
        <f t="shared" si="776"/>
        <v>14033</v>
      </c>
      <c r="W184" s="14">
        <f t="shared" si="776"/>
        <v>14035</v>
      </c>
      <c r="X184" s="14">
        <f t="shared" si="776"/>
        <v>14037</v>
      </c>
      <c r="Y184" s="14">
        <f t="shared" si="770"/>
        <v>14039</v>
      </c>
      <c r="Z184" s="14">
        <f t="shared" si="624"/>
        <v>14041</v>
      </c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</row>
    <row r="185" spans="1:68" hidden="1" x14ac:dyDescent="0.25">
      <c r="A185" s="3">
        <v>81</v>
      </c>
      <c r="B185" s="3" t="s">
        <v>327</v>
      </c>
      <c r="C185" s="3" t="s">
        <v>177</v>
      </c>
      <c r="D185" s="3" t="s">
        <v>323</v>
      </c>
      <c r="E185" s="14">
        <f t="shared" si="604"/>
        <v>14200</v>
      </c>
      <c r="F185" s="14">
        <f t="shared" si="766"/>
        <v>14201</v>
      </c>
      <c r="G185" s="14">
        <f t="shared" si="753"/>
        <v>14203</v>
      </c>
      <c r="H185" s="14">
        <f t="shared" si="754"/>
        <v>14205</v>
      </c>
      <c r="I185" s="14">
        <f t="shared" ref="I185:J185" si="777">H185+H$6</f>
        <v>14207</v>
      </c>
      <c r="J185" s="14">
        <f t="shared" si="777"/>
        <v>14209</v>
      </c>
      <c r="K185" s="14">
        <f t="shared" si="756"/>
        <v>14211</v>
      </c>
      <c r="L185" s="14">
        <f t="shared" si="757"/>
        <v>14213</v>
      </c>
      <c r="M185" s="14">
        <f t="shared" si="758"/>
        <v>14215</v>
      </c>
      <c r="N185" s="14">
        <f t="shared" ref="N185:X185" si="778">M185+M$6</f>
        <v>14217</v>
      </c>
      <c r="O185" s="14">
        <f t="shared" si="778"/>
        <v>14219</v>
      </c>
      <c r="P185" s="14">
        <f t="shared" si="778"/>
        <v>14221</v>
      </c>
      <c r="Q185" s="14">
        <f t="shared" si="748"/>
        <v>14223</v>
      </c>
      <c r="R185" s="14">
        <f t="shared" si="748"/>
        <v>14225</v>
      </c>
      <c r="S185" s="14">
        <f t="shared" si="778"/>
        <v>14227</v>
      </c>
      <c r="T185" s="14">
        <f t="shared" si="778"/>
        <v>14229</v>
      </c>
      <c r="U185" s="14">
        <f t="shared" si="778"/>
        <v>14231</v>
      </c>
      <c r="V185" s="14">
        <f t="shared" si="778"/>
        <v>14233</v>
      </c>
      <c r="W185" s="14">
        <f t="shared" si="778"/>
        <v>14235</v>
      </c>
      <c r="X185" s="14">
        <f t="shared" si="778"/>
        <v>14237</v>
      </c>
      <c r="Y185" s="14">
        <f t="shared" si="770"/>
        <v>14239</v>
      </c>
      <c r="Z185" s="14">
        <f t="shared" si="624"/>
        <v>14241</v>
      </c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</row>
    <row r="186" spans="1:68" hidden="1" x14ac:dyDescent="0.25">
      <c r="A186" s="3">
        <v>82</v>
      </c>
      <c r="B186" s="3" t="s">
        <v>327</v>
      </c>
      <c r="C186" s="3" t="s">
        <v>178</v>
      </c>
      <c r="D186" s="3" t="s">
        <v>323</v>
      </c>
      <c r="E186" s="14">
        <f t="shared" si="604"/>
        <v>14400</v>
      </c>
      <c r="F186" s="14">
        <f t="shared" si="766"/>
        <v>14401</v>
      </c>
      <c r="G186" s="14">
        <f t="shared" si="753"/>
        <v>14403</v>
      </c>
      <c r="H186" s="14">
        <f t="shared" si="754"/>
        <v>14405</v>
      </c>
      <c r="I186" s="14">
        <f t="shared" ref="I186:J186" si="779">H186+H$6</f>
        <v>14407</v>
      </c>
      <c r="J186" s="14">
        <f t="shared" si="779"/>
        <v>14409</v>
      </c>
      <c r="K186" s="14">
        <f t="shared" si="756"/>
        <v>14411</v>
      </c>
      <c r="L186" s="14">
        <f t="shared" si="757"/>
        <v>14413</v>
      </c>
      <c r="M186" s="14">
        <f t="shared" si="758"/>
        <v>14415</v>
      </c>
      <c r="N186" s="14">
        <f t="shared" ref="N186:X186" si="780">M186+M$6</f>
        <v>14417</v>
      </c>
      <c r="O186" s="14">
        <f t="shared" si="780"/>
        <v>14419</v>
      </c>
      <c r="P186" s="14">
        <f t="shared" si="780"/>
        <v>14421</v>
      </c>
      <c r="Q186" s="14">
        <f t="shared" si="748"/>
        <v>14423</v>
      </c>
      <c r="R186" s="14">
        <f t="shared" si="748"/>
        <v>14425</v>
      </c>
      <c r="S186" s="14">
        <f t="shared" si="780"/>
        <v>14427</v>
      </c>
      <c r="T186" s="14">
        <f t="shared" si="780"/>
        <v>14429</v>
      </c>
      <c r="U186" s="14">
        <f t="shared" si="780"/>
        <v>14431</v>
      </c>
      <c r="V186" s="14">
        <f t="shared" si="780"/>
        <v>14433</v>
      </c>
      <c r="W186" s="14">
        <f t="shared" si="780"/>
        <v>14435</v>
      </c>
      <c r="X186" s="14">
        <f t="shared" si="780"/>
        <v>14437</v>
      </c>
      <c r="Y186" s="14">
        <f t="shared" si="770"/>
        <v>14439</v>
      </c>
      <c r="Z186" s="14">
        <f t="shared" si="624"/>
        <v>14441</v>
      </c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</row>
    <row r="187" spans="1:68" hidden="1" x14ac:dyDescent="0.25">
      <c r="A187" s="3">
        <v>83</v>
      </c>
      <c r="B187" s="3" t="s">
        <v>327</v>
      </c>
      <c r="C187" s="6" t="s">
        <v>573</v>
      </c>
      <c r="D187" s="6" t="s">
        <v>323</v>
      </c>
      <c r="E187" s="17">
        <f t="shared" si="604"/>
        <v>14600</v>
      </c>
      <c r="F187" s="14">
        <f t="shared" ref="F187" si="781">E187+1</f>
        <v>14601</v>
      </c>
      <c r="G187" s="14">
        <f t="shared" ref="G187" si="782">F187+F$6</f>
        <v>14603</v>
      </c>
      <c r="H187" s="14">
        <f t="shared" ref="H187" si="783">G187+G$6</f>
        <v>14605</v>
      </c>
      <c r="I187" s="14">
        <f t="shared" ref="I187" si="784">H187+H$6</f>
        <v>14607</v>
      </c>
      <c r="J187" s="14">
        <f t="shared" ref="J187" si="785">I187+I$6</f>
        <v>14609</v>
      </c>
      <c r="K187" s="14">
        <f t="shared" ref="K187" si="786">J187+J$6</f>
        <v>14611</v>
      </c>
      <c r="L187" s="14">
        <f t="shared" ref="L187" si="787">K187+K$6</f>
        <v>14613</v>
      </c>
      <c r="M187" s="14">
        <f t="shared" ref="M187" si="788">L187+L$6</f>
        <v>14615</v>
      </c>
      <c r="N187" s="14">
        <f t="shared" ref="N187" si="789">M187+M$6</f>
        <v>14617</v>
      </c>
      <c r="O187" s="14">
        <f t="shared" ref="O187" si="790">N187+N$6</f>
        <v>14619</v>
      </c>
      <c r="P187" s="14">
        <f t="shared" ref="P187" si="791">O187+O$6</f>
        <v>14621</v>
      </c>
      <c r="Q187" s="14">
        <f t="shared" ref="Q187" si="792">P187+P$6</f>
        <v>14623</v>
      </c>
      <c r="R187" s="14">
        <f t="shared" ref="R187" si="793">Q187+Q$6</f>
        <v>14625</v>
      </c>
      <c r="S187" s="14">
        <f t="shared" ref="S187" si="794">R187+R$6</f>
        <v>14627</v>
      </c>
      <c r="T187" s="14">
        <f t="shared" ref="T187" si="795">S187+S$6</f>
        <v>14629</v>
      </c>
      <c r="U187" s="14">
        <f t="shared" ref="U187" si="796">T187+T$6</f>
        <v>14631</v>
      </c>
      <c r="V187" s="14">
        <f t="shared" ref="V187" si="797">U187+U$6</f>
        <v>14633</v>
      </c>
      <c r="W187" s="14">
        <f t="shared" ref="W187" si="798">V187+V$6</f>
        <v>14635</v>
      </c>
      <c r="X187" s="14">
        <f t="shared" ref="X187" si="799">W187+W$6</f>
        <v>14637</v>
      </c>
      <c r="Y187" s="14">
        <f t="shared" ref="Y187" si="800">X187+X$6</f>
        <v>14639</v>
      </c>
      <c r="Z187" s="14">
        <f t="shared" ref="Z187" si="801">Y187+Y$6</f>
        <v>14641</v>
      </c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</row>
    <row r="188" spans="1:68" hidden="1" x14ac:dyDescent="0.25">
      <c r="A188" s="3">
        <v>84</v>
      </c>
      <c r="B188" s="3" t="s">
        <v>327</v>
      </c>
      <c r="C188" s="6" t="s">
        <v>567</v>
      </c>
      <c r="D188" s="6" t="s">
        <v>313</v>
      </c>
      <c r="E188" s="17">
        <f t="shared" si="604"/>
        <v>14800</v>
      </c>
      <c r="F188" s="14">
        <f t="shared" ref="F188:F197" si="802">E188+1</f>
        <v>14801</v>
      </c>
      <c r="G188" s="14">
        <f t="shared" ref="G188:G197" si="803">F188+F$6</f>
        <v>14803</v>
      </c>
      <c r="H188" s="14">
        <f t="shared" ref="H188:H197" si="804">G188+G$6</f>
        <v>14805</v>
      </c>
      <c r="I188" s="14">
        <f t="shared" ref="I188:I197" si="805">H188+H$6</f>
        <v>14807</v>
      </c>
      <c r="J188" s="14">
        <f t="shared" ref="J188:J197" si="806">I188+I$6</f>
        <v>14809</v>
      </c>
      <c r="K188" s="14">
        <f t="shared" ref="K188:K197" si="807">J188+J$6</f>
        <v>14811</v>
      </c>
      <c r="L188" s="14">
        <f t="shared" ref="L188:L197" si="808">K188+K$6</f>
        <v>14813</v>
      </c>
      <c r="M188" s="14">
        <f t="shared" ref="M188:M197" si="809">L188+L$6</f>
        <v>14815</v>
      </c>
      <c r="N188" s="14">
        <f t="shared" ref="N188:N197" si="810">M188+M$6</f>
        <v>14817</v>
      </c>
      <c r="O188" s="14">
        <f t="shared" ref="O188:O197" si="811">N188+N$6</f>
        <v>14819</v>
      </c>
      <c r="P188" s="14">
        <f t="shared" ref="P188:P197" si="812">O188+O$6</f>
        <v>14821</v>
      </c>
      <c r="Q188" s="14">
        <f t="shared" ref="Q188:Q197" si="813">P188+P$6</f>
        <v>14823</v>
      </c>
      <c r="R188" s="14">
        <f t="shared" ref="R188:R197" si="814">Q188+Q$6</f>
        <v>14825</v>
      </c>
      <c r="S188" s="14">
        <f t="shared" ref="S188:S197" si="815">R188+R$6</f>
        <v>14827</v>
      </c>
      <c r="T188" s="14">
        <f t="shared" ref="T188:T197" si="816">S188+S$6</f>
        <v>14829</v>
      </c>
      <c r="U188" s="14">
        <f t="shared" ref="U188:U197" si="817">T188+T$6</f>
        <v>14831</v>
      </c>
      <c r="V188" s="14">
        <f t="shared" ref="V188:V197" si="818">U188+U$6</f>
        <v>14833</v>
      </c>
      <c r="W188" s="14">
        <f t="shared" ref="W188:W197" si="819">V188+V$6</f>
        <v>14835</v>
      </c>
      <c r="X188" s="14">
        <f t="shared" ref="X188:X197" si="820">W188+W$6</f>
        <v>14837</v>
      </c>
      <c r="Y188" s="14">
        <f t="shared" ref="Y188:Y197" si="821">X188+X$6</f>
        <v>14839</v>
      </c>
      <c r="Z188" s="14">
        <f t="shared" ref="Z188:Z197" si="822">Y188+Y$6</f>
        <v>14841</v>
      </c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</row>
    <row r="189" spans="1:68" hidden="1" x14ac:dyDescent="0.25">
      <c r="A189" s="3">
        <v>85</v>
      </c>
      <c r="B189" s="3" t="s">
        <v>327</v>
      </c>
      <c r="C189" s="6" t="s">
        <v>179</v>
      </c>
      <c r="D189" s="6" t="s">
        <v>313</v>
      </c>
      <c r="E189" s="17">
        <f t="shared" si="604"/>
        <v>15000</v>
      </c>
      <c r="F189" s="14">
        <f t="shared" si="802"/>
        <v>15001</v>
      </c>
      <c r="G189" s="14">
        <f t="shared" si="803"/>
        <v>15003</v>
      </c>
      <c r="H189" s="14">
        <f t="shared" si="804"/>
        <v>15005</v>
      </c>
      <c r="I189" s="14">
        <f t="shared" si="805"/>
        <v>15007</v>
      </c>
      <c r="J189" s="14">
        <f t="shared" si="806"/>
        <v>15009</v>
      </c>
      <c r="K189" s="14">
        <f t="shared" si="807"/>
        <v>15011</v>
      </c>
      <c r="L189" s="14">
        <f t="shared" si="808"/>
        <v>15013</v>
      </c>
      <c r="M189" s="14">
        <f t="shared" si="809"/>
        <v>15015</v>
      </c>
      <c r="N189" s="14">
        <f t="shared" si="810"/>
        <v>15017</v>
      </c>
      <c r="O189" s="14">
        <f t="shared" si="811"/>
        <v>15019</v>
      </c>
      <c r="P189" s="14">
        <f t="shared" si="812"/>
        <v>15021</v>
      </c>
      <c r="Q189" s="14">
        <f t="shared" si="813"/>
        <v>15023</v>
      </c>
      <c r="R189" s="14">
        <f t="shared" si="814"/>
        <v>15025</v>
      </c>
      <c r="S189" s="14">
        <f t="shared" si="815"/>
        <v>15027</v>
      </c>
      <c r="T189" s="14">
        <f t="shared" si="816"/>
        <v>15029</v>
      </c>
      <c r="U189" s="14">
        <f t="shared" si="817"/>
        <v>15031</v>
      </c>
      <c r="V189" s="14">
        <f t="shared" si="818"/>
        <v>15033</v>
      </c>
      <c r="W189" s="14">
        <f t="shared" si="819"/>
        <v>15035</v>
      </c>
      <c r="X189" s="14">
        <f t="shared" si="820"/>
        <v>15037</v>
      </c>
      <c r="Y189" s="14">
        <f t="shared" si="821"/>
        <v>15039</v>
      </c>
      <c r="Z189" s="14">
        <f t="shared" si="822"/>
        <v>15041</v>
      </c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</row>
    <row r="190" spans="1:68" hidden="1" x14ac:dyDescent="0.25">
      <c r="A190" s="3">
        <v>86</v>
      </c>
      <c r="B190" s="3" t="s">
        <v>327</v>
      </c>
      <c r="C190" s="6" t="s">
        <v>180</v>
      </c>
      <c r="D190" s="6" t="s">
        <v>313</v>
      </c>
      <c r="E190" s="17">
        <f t="shared" si="604"/>
        <v>15200</v>
      </c>
      <c r="F190" s="14">
        <f t="shared" si="802"/>
        <v>15201</v>
      </c>
      <c r="G190" s="14">
        <f t="shared" si="803"/>
        <v>15203</v>
      </c>
      <c r="H190" s="14">
        <f t="shared" si="804"/>
        <v>15205</v>
      </c>
      <c r="I190" s="14">
        <f t="shared" si="805"/>
        <v>15207</v>
      </c>
      <c r="J190" s="14">
        <f t="shared" si="806"/>
        <v>15209</v>
      </c>
      <c r="K190" s="14">
        <f t="shared" si="807"/>
        <v>15211</v>
      </c>
      <c r="L190" s="14">
        <f t="shared" si="808"/>
        <v>15213</v>
      </c>
      <c r="M190" s="14">
        <f t="shared" si="809"/>
        <v>15215</v>
      </c>
      <c r="N190" s="14">
        <f t="shared" si="810"/>
        <v>15217</v>
      </c>
      <c r="O190" s="14">
        <f t="shared" si="811"/>
        <v>15219</v>
      </c>
      <c r="P190" s="14">
        <f t="shared" si="812"/>
        <v>15221</v>
      </c>
      <c r="Q190" s="14">
        <f t="shared" si="813"/>
        <v>15223</v>
      </c>
      <c r="R190" s="14">
        <f t="shared" si="814"/>
        <v>15225</v>
      </c>
      <c r="S190" s="14">
        <f t="shared" si="815"/>
        <v>15227</v>
      </c>
      <c r="T190" s="14">
        <f t="shared" si="816"/>
        <v>15229</v>
      </c>
      <c r="U190" s="14">
        <f t="shared" si="817"/>
        <v>15231</v>
      </c>
      <c r="V190" s="14">
        <f t="shared" si="818"/>
        <v>15233</v>
      </c>
      <c r="W190" s="14">
        <f t="shared" si="819"/>
        <v>15235</v>
      </c>
      <c r="X190" s="14">
        <f t="shared" si="820"/>
        <v>15237</v>
      </c>
      <c r="Y190" s="14">
        <f t="shared" si="821"/>
        <v>15239</v>
      </c>
      <c r="Z190" s="14">
        <f t="shared" si="822"/>
        <v>15241</v>
      </c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</row>
    <row r="191" spans="1:68" hidden="1" x14ac:dyDescent="0.25">
      <c r="A191" s="3">
        <v>87</v>
      </c>
      <c r="B191" s="3" t="s">
        <v>327</v>
      </c>
      <c r="C191" s="6" t="s">
        <v>181</v>
      </c>
      <c r="D191" s="6" t="s">
        <v>313</v>
      </c>
      <c r="E191" s="17">
        <f t="shared" ref="E191:E197" si="823">E190+$E$2</f>
        <v>15400</v>
      </c>
      <c r="F191" s="14">
        <f t="shared" si="802"/>
        <v>15401</v>
      </c>
      <c r="G191" s="14">
        <f t="shared" si="803"/>
        <v>15403</v>
      </c>
      <c r="H191" s="14">
        <f t="shared" si="804"/>
        <v>15405</v>
      </c>
      <c r="I191" s="14">
        <f t="shared" si="805"/>
        <v>15407</v>
      </c>
      <c r="J191" s="14">
        <f t="shared" si="806"/>
        <v>15409</v>
      </c>
      <c r="K191" s="14">
        <f t="shared" si="807"/>
        <v>15411</v>
      </c>
      <c r="L191" s="14">
        <f t="shared" si="808"/>
        <v>15413</v>
      </c>
      <c r="M191" s="14">
        <f t="shared" si="809"/>
        <v>15415</v>
      </c>
      <c r="N191" s="14">
        <f t="shared" si="810"/>
        <v>15417</v>
      </c>
      <c r="O191" s="14">
        <f t="shared" si="811"/>
        <v>15419</v>
      </c>
      <c r="P191" s="14">
        <f t="shared" si="812"/>
        <v>15421</v>
      </c>
      <c r="Q191" s="14">
        <f t="shared" si="813"/>
        <v>15423</v>
      </c>
      <c r="R191" s="14">
        <f t="shared" si="814"/>
        <v>15425</v>
      </c>
      <c r="S191" s="14">
        <f t="shared" si="815"/>
        <v>15427</v>
      </c>
      <c r="T191" s="14">
        <f t="shared" si="816"/>
        <v>15429</v>
      </c>
      <c r="U191" s="14">
        <f t="shared" si="817"/>
        <v>15431</v>
      </c>
      <c r="V191" s="14">
        <f t="shared" si="818"/>
        <v>15433</v>
      </c>
      <c r="W191" s="14">
        <f t="shared" si="819"/>
        <v>15435</v>
      </c>
      <c r="X191" s="14">
        <f t="shared" si="820"/>
        <v>15437</v>
      </c>
      <c r="Y191" s="14">
        <f t="shared" si="821"/>
        <v>15439</v>
      </c>
      <c r="Z191" s="14">
        <f t="shared" si="822"/>
        <v>15441</v>
      </c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</row>
    <row r="192" spans="1:68" hidden="1" x14ac:dyDescent="0.25">
      <c r="A192" s="3">
        <v>88</v>
      </c>
      <c r="B192" s="3" t="s">
        <v>327</v>
      </c>
      <c r="C192" s="6" t="s">
        <v>182</v>
      </c>
      <c r="D192" s="6" t="s">
        <v>313</v>
      </c>
      <c r="E192" s="17">
        <f t="shared" si="823"/>
        <v>15600</v>
      </c>
      <c r="F192" s="14">
        <f t="shared" si="802"/>
        <v>15601</v>
      </c>
      <c r="G192" s="14">
        <f t="shared" si="803"/>
        <v>15603</v>
      </c>
      <c r="H192" s="14">
        <f t="shared" si="804"/>
        <v>15605</v>
      </c>
      <c r="I192" s="14">
        <f t="shared" si="805"/>
        <v>15607</v>
      </c>
      <c r="J192" s="14">
        <f t="shared" si="806"/>
        <v>15609</v>
      </c>
      <c r="K192" s="14">
        <f t="shared" si="807"/>
        <v>15611</v>
      </c>
      <c r="L192" s="14">
        <f t="shared" si="808"/>
        <v>15613</v>
      </c>
      <c r="M192" s="14">
        <f t="shared" si="809"/>
        <v>15615</v>
      </c>
      <c r="N192" s="14">
        <f t="shared" si="810"/>
        <v>15617</v>
      </c>
      <c r="O192" s="14">
        <f t="shared" si="811"/>
        <v>15619</v>
      </c>
      <c r="P192" s="14">
        <f t="shared" si="812"/>
        <v>15621</v>
      </c>
      <c r="Q192" s="14">
        <f t="shared" si="813"/>
        <v>15623</v>
      </c>
      <c r="R192" s="14">
        <f t="shared" si="814"/>
        <v>15625</v>
      </c>
      <c r="S192" s="14">
        <f t="shared" si="815"/>
        <v>15627</v>
      </c>
      <c r="T192" s="14">
        <f t="shared" si="816"/>
        <v>15629</v>
      </c>
      <c r="U192" s="14">
        <f t="shared" si="817"/>
        <v>15631</v>
      </c>
      <c r="V192" s="14">
        <f t="shared" si="818"/>
        <v>15633</v>
      </c>
      <c r="W192" s="14">
        <f t="shared" si="819"/>
        <v>15635</v>
      </c>
      <c r="X192" s="14">
        <f t="shared" si="820"/>
        <v>15637</v>
      </c>
      <c r="Y192" s="14">
        <f t="shared" si="821"/>
        <v>15639</v>
      </c>
      <c r="Z192" s="14">
        <f t="shared" si="822"/>
        <v>15641</v>
      </c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</row>
    <row r="193" spans="1:68" hidden="1" x14ac:dyDescent="0.25">
      <c r="A193" s="3">
        <v>89</v>
      </c>
      <c r="B193" s="3" t="s">
        <v>327</v>
      </c>
      <c r="C193" s="6" t="s">
        <v>568</v>
      </c>
      <c r="D193" s="6" t="s">
        <v>313</v>
      </c>
      <c r="E193" s="17">
        <f t="shared" si="823"/>
        <v>15800</v>
      </c>
      <c r="F193" s="14">
        <f t="shared" si="802"/>
        <v>15801</v>
      </c>
      <c r="G193" s="14">
        <f t="shared" si="803"/>
        <v>15803</v>
      </c>
      <c r="H193" s="14">
        <f t="shared" si="804"/>
        <v>15805</v>
      </c>
      <c r="I193" s="14">
        <f t="shared" si="805"/>
        <v>15807</v>
      </c>
      <c r="J193" s="14">
        <f t="shared" si="806"/>
        <v>15809</v>
      </c>
      <c r="K193" s="14">
        <f t="shared" si="807"/>
        <v>15811</v>
      </c>
      <c r="L193" s="14">
        <f t="shared" si="808"/>
        <v>15813</v>
      </c>
      <c r="M193" s="14">
        <f t="shared" si="809"/>
        <v>15815</v>
      </c>
      <c r="N193" s="14">
        <f t="shared" si="810"/>
        <v>15817</v>
      </c>
      <c r="O193" s="14">
        <f t="shared" si="811"/>
        <v>15819</v>
      </c>
      <c r="P193" s="14">
        <f t="shared" si="812"/>
        <v>15821</v>
      </c>
      <c r="Q193" s="14">
        <f t="shared" si="813"/>
        <v>15823</v>
      </c>
      <c r="R193" s="14">
        <f t="shared" si="814"/>
        <v>15825</v>
      </c>
      <c r="S193" s="14">
        <f t="shared" si="815"/>
        <v>15827</v>
      </c>
      <c r="T193" s="14">
        <f t="shared" si="816"/>
        <v>15829</v>
      </c>
      <c r="U193" s="14">
        <f t="shared" si="817"/>
        <v>15831</v>
      </c>
      <c r="V193" s="14">
        <f t="shared" si="818"/>
        <v>15833</v>
      </c>
      <c r="W193" s="14">
        <f t="shared" si="819"/>
        <v>15835</v>
      </c>
      <c r="X193" s="14">
        <f t="shared" si="820"/>
        <v>15837</v>
      </c>
      <c r="Y193" s="14">
        <f t="shared" si="821"/>
        <v>15839</v>
      </c>
      <c r="Z193" s="14">
        <f t="shared" si="822"/>
        <v>15841</v>
      </c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</row>
    <row r="194" spans="1:68" hidden="1" x14ac:dyDescent="0.25">
      <c r="A194" s="3">
        <v>90</v>
      </c>
      <c r="B194" s="3" t="s">
        <v>327</v>
      </c>
      <c r="C194" s="6" t="s">
        <v>569</v>
      </c>
      <c r="D194" s="6" t="s">
        <v>313</v>
      </c>
      <c r="E194" s="17">
        <f t="shared" si="823"/>
        <v>16000</v>
      </c>
      <c r="F194" s="14">
        <f t="shared" si="802"/>
        <v>16001</v>
      </c>
      <c r="G194" s="14">
        <f t="shared" si="803"/>
        <v>16003</v>
      </c>
      <c r="H194" s="14">
        <f t="shared" si="804"/>
        <v>16005</v>
      </c>
      <c r="I194" s="14">
        <f t="shared" si="805"/>
        <v>16007</v>
      </c>
      <c r="J194" s="14">
        <f t="shared" si="806"/>
        <v>16009</v>
      </c>
      <c r="K194" s="14">
        <f t="shared" si="807"/>
        <v>16011</v>
      </c>
      <c r="L194" s="14">
        <f t="shared" si="808"/>
        <v>16013</v>
      </c>
      <c r="M194" s="14">
        <f t="shared" si="809"/>
        <v>16015</v>
      </c>
      <c r="N194" s="14">
        <f t="shared" si="810"/>
        <v>16017</v>
      </c>
      <c r="O194" s="14">
        <f t="shared" si="811"/>
        <v>16019</v>
      </c>
      <c r="P194" s="14">
        <f t="shared" si="812"/>
        <v>16021</v>
      </c>
      <c r="Q194" s="14">
        <f t="shared" si="813"/>
        <v>16023</v>
      </c>
      <c r="R194" s="14">
        <f t="shared" si="814"/>
        <v>16025</v>
      </c>
      <c r="S194" s="14">
        <f t="shared" si="815"/>
        <v>16027</v>
      </c>
      <c r="T194" s="14">
        <f t="shared" si="816"/>
        <v>16029</v>
      </c>
      <c r="U194" s="14">
        <f t="shared" si="817"/>
        <v>16031</v>
      </c>
      <c r="V194" s="14">
        <f t="shared" si="818"/>
        <v>16033</v>
      </c>
      <c r="W194" s="14">
        <f t="shared" si="819"/>
        <v>16035</v>
      </c>
      <c r="X194" s="14">
        <f t="shared" si="820"/>
        <v>16037</v>
      </c>
      <c r="Y194" s="14">
        <f t="shared" si="821"/>
        <v>16039</v>
      </c>
      <c r="Z194" s="14">
        <f t="shared" si="822"/>
        <v>16041</v>
      </c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</row>
    <row r="195" spans="1:68" hidden="1" x14ac:dyDescent="0.25">
      <c r="A195" s="3">
        <v>91</v>
      </c>
      <c r="B195" s="3" t="s">
        <v>327</v>
      </c>
      <c r="C195" s="6" t="s">
        <v>570</v>
      </c>
      <c r="D195" s="6" t="s">
        <v>313</v>
      </c>
      <c r="E195" s="17">
        <f t="shared" si="823"/>
        <v>16200</v>
      </c>
      <c r="F195" s="14">
        <f t="shared" si="802"/>
        <v>16201</v>
      </c>
      <c r="G195" s="14">
        <f t="shared" si="803"/>
        <v>16203</v>
      </c>
      <c r="H195" s="14">
        <f t="shared" si="804"/>
        <v>16205</v>
      </c>
      <c r="I195" s="14">
        <f t="shared" si="805"/>
        <v>16207</v>
      </c>
      <c r="J195" s="14">
        <f t="shared" si="806"/>
        <v>16209</v>
      </c>
      <c r="K195" s="14">
        <f t="shared" si="807"/>
        <v>16211</v>
      </c>
      <c r="L195" s="14">
        <f t="shared" si="808"/>
        <v>16213</v>
      </c>
      <c r="M195" s="14">
        <f t="shared" si="809"/>
        <v>16215</v>
      </c>
      <c r="N195" s="14">
        <f t="shared" si="810"/>
        <v>16217</v>
      </c>
      <c r="O195" s="14">
        <f t="shared" si="811"/>
        <v>16219</v>
      </c>
      <c r="P195" s="14">
        <f t="shared" si="812"/>
        <v>16221</v>
      </c>
      <c r="Q195" s="14">
        <f t="shared" si="813"/>
        <v>16223</v>
      </c>
      <c r="R195" s="14">
        <f t="shared" si="814"/>
        <v>16225</v>
      </c>
      <c r="S195" s="14">
        <f t="shared" si="815"/>
        <v>16227</v>
      </c>
      <c r="T195" s="14">
        <f t="shared" si="816"/>
        <v>16229</v>
      </c>
      <c r="U195" s="14">
        <f t="shared" si="817"/>
        <v>16231</v>
      </c>
      <c r="V195" s="14">
        <f t="shared" si="818"/>
        <v>16233</v>
      </c>
      <c r="W195" s="14">
        <f t="shared" si="819"/>
        <v>16235</v>
      </c>
      <c r="X195" s="14">
        <f t="shared" si="820"/>
        <v>16237</v>
      </c>
      <c r="Y195" s="14">
        <f t="shared" si="821"/>
        <v>16239</v>
      </c>
      <c r="Z195" s="14">
        <f t="shared" si="822"/>
        <v>16241</v>
      </c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</row>
    <row r="196" spans="1:68" hidden="1" x14ac:dyDescent="0.25">
      <c r="A196" s="3">
        <v>92</v>
      </c>
      <c r="B196" s="3" t="s">
        <v>327</v>
      </c>
      <c r="C196" s="6" t="s">
        <v>571</v>
      </c>
      <c r="D196" s="6" t="s">
        <v>313</v>
      </c>
      <c r="E196" s="17">
        <f t="shared" si="823"/>
        <v>16400</v>
      </c>
      <c r="F196" s="14">
        <f t="shared" si="802"/>
        <v>16401</v>
      </c>
      <c r="G196" s="14">
        <f t="shared" si="803"/>
        <v>16403</v>
      </c>
      <c r="H196" s="14">
        <f t="shared" si="804"/>
        <v>16405</v>
      </c>
      <c r="I196" s="14">
        <f t="shared" si="805"/>
        <v>16407</v>
      </c>
      <c r="J196" s="14">
        <f t="shared" si="806"/>
        <v>16409</v>
      </c>
      <c r="K196" s="14">
        <f t="shared" si="807"/>
        <v>16411</v>
      </c>
      <c r="L196" s="14">
        <f t="shared" si="808"/>
        <v>16413</v>
      </c>
      <c r="M196" s="14">
        <f t="shared" si="809"/>
        <v>16415</v>
      </c>
      <c r="N196" s="14">
        <f t="shared" si="810"/>
        <v>16417</v>
      </c>
      <c r="O196" s="14">
        <f t="shared" si="811"/>
        <v>16419</v>
      </c>
      <c r="P196" s="14">
        <f t="shared" si="812"/>
        <v>16421</v>
      </c>
      <c r="Q196" s="14">
        <f t="shared" si="813"/>
        <v>16423</v>
      </c>
      <c r="R196" s="14">
        <f t="shared" si="814"/>
        <v>16425</v>
      </c>
      <c r="S196" s="14">
        <f t="shared" si="815"/>
        <v>16427</v>
      </c>
      <c r="T196" s="14">
        <f t="shared" si="816"/>
        <v>16429</v>
      </c>
      <c r="U196" s="14">
        <f t="shared" si="817"/>
        <v>16431</v>
      </c>
      <c r="V196" s="14">
        <f t="shared" si="818"/>
        <v>16433</v>
      </c>
      <c r="W196" s="14">
        <f t="shared" si="819"/>
        <v>16435</v>
      </c>
      <c r="X196" s="14">
        <f t="shared" si="820"/>
        <v>16437</v>
      </c>
      <c r="Y196" s="14">
        <f t="shared" si="821"/>
        <v>16439</v>
      </c>
      <c r="Z196" s="14">
        <f t="shared" si="822"/>
        <v>16441</v>
      </c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</row>
    <row r="197" spans="1:68" hidden="1" x14ac:dyDescent="0.25">
      <c r="A197" s="3">
        <v>93</v>
      </c>
      <c r="B197" s="3" t="s">
        <v>327</v>
      </c>
      <c r="C197" s="6" t="s">
        <v>572</v>
      </c>
      <c r="D197" s="6" t="s">
        <v>313</v>
      </c>
      <c r="E197" s="17">
        <f t="shared" si="823"/>
        <v>16600</v>
      </c>
      <c r="F197" s="14">
        <f t="shared" si="802"/>
        <v>16601</v>
      </c>
      <c r="G197" s="14">
        <f t="shared" si="803"/>
        <v>16603</v>
      </c>
      <c r="H197" s="14">
        <f t="shared" si="804"/>
        <v>16605</v>
      </c>
      <c r="I197" s="14">
        <f t="shared" si="805"/>
        <v>16607</v>
      </c>
      <c r="J197" s="14">
        <f t="shared" si="806"/>
        <v>16609</v>
      </c>
      <c r="K197" s="14">
        <f t="shared" si="807"/>
        <v>16611</v>
      </c>
      <c r="L197" s="14">
        <f t="shared" si="808"/>
        <v>16613</v>
      </c>
      <c r="M197" s="14">
        <f t="shared" si="809"/>
        <v>16615</v>
      </c>
      <c r="N197" s="14">
        <f t="shared" si="810"/>
        <v>16617</v>
      </c>
      <c r="O197" s="14">
        <f t="shared" si="811"/>
        <v>16619</v>
      </c>
      <c r="P197" s="14">
        <f t="shared" si="812"/>
        <v>16621</v>
      </c>
      <c r="Q197" s="14">
        <f t="shared" si="813"/>
        <v>16623</v>
      </c>
      <c r="R197" s="14">
        <f t="shared" si="814"/>
        <v>16625</v>
      </c>
      <c r="S197" s="14">
        <f t="shared" si="815"/>
        <v>16627</v>
      </c>
      <c r="T197" s="14">
        <f t="shared" si="816"/>
        <v>16629</v>
      </c>
      <c r="U197" s="14">
        <f t="shared" si="817"/>
        <v>16631</v>
      </c>
      <c r="V197" s="14">
        <f t="shared" si="818"/>
        <v>16633</v>
      </c>
      <c r="W197" s="14">
        <f t="shared" si="819"/>
        <v>16635</v>
      </c>
      <c r="X197" s="14">
        <f t="shared" si="820"/>
        <v>16637</v>
      </c>
      <c r="Y197" s="14">
        <f t="shared" si="821"/>
        <v>16639</v>
      </c>
      <c r="Z197" s="14">
        <f t="shared" si="822"/>
        <v>16641</v>
      </c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</row>
    <row r="198" spans="1:68" hidden="1" x14ac:dyDescent="0.25">
      <c r="A198" s="3">
        <v>94</v>
      </c>
      <c r="B198" s="3" t="s">
        <v>327</v>
      </c>
      <c r="C198" s="3" t="s">
        <v>262</v>
      </c>
      <c r="D198" s="3" t="s">
        <v>561</v>
      </c>
      <c r="E198" s="14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</row>
    <row r="199" spans="1:68" hidden="1" x14ac:dyDescent="0.25">
      <c r="A199" s="3">
        <v>95</v>
      </c>
      <c r="B199" s="3" t="s">
        <v>327</v>
      </c>
      <c r="C199" s="6" t="s">
        <v>562</v>
      </c>
      <c r="D199" s="6" t="s">
        <v>561</v>
      </c>
      <c r="E199" s="17">
        <f>E197+$E$2</f>
        <v>16800</v>
      </c>
      <c r="F199" s="14">
        <f t="shared" si="766"/>
        <v>16801</v>
      </c>
      <c r="G199" s="14">
        <f t="shared" ref="G199:G204" si="824">F199+F$6</f>
        <v>16803</v>
      </c>
      <c r="H199" s="14">
        <f t="shared" ref="H199:H204" si="825">G199+G$6</f>
        <v>16805</v>
      </c>
      <c r="I199" s="14">
        <f t="shared" ref="I199:J199" si="826">H199+H$6</f>
        <v>16807</v>
      </c>
      <c r="J199" s="14">
        <f t="shared" si="826"/>
        <v>16809</v>
      </c>
      <c r="K199" s="14">
        <f t="shared" ref="K199:K204" si="827">J199+J$6</f>
        <v>16811</v>
      </c>
      <c r="L199" s="14">
        <f t="shared" ref="L199:L204" si="828">K199+K$6</f>
        <v>16813</v>
      </c>
      <c r="M199" s="14">
        <f t="shared" ref="M199:M204" si="829">L199+L$6</f>
        <v>16815</v>
      </c>
      <c r="N199" s="14">
        <f t="shared" ref="N199:X202" si="830">M199+M$6</f>
        <v>16817</v>
      </c>
      <c r="O199" s="14">
        <f t="shared" si="830"/>
        <v>16819</v>
      </c>
      <c r="P199" s="14">
        <f t="shared" si="830"/>
        <v>16821</v>
      </c>
      <c r="Q199" s="14">
        <f t="shared" si="830"/>
        <v>16823</v>
      </c>
      <c r="R199" s="14">
        <f t="shared" si="830"/>
        <v>16825</v>
      </c>
      <c r="S199" s="14">
        <f t="shared" si="830"/>
        <v>16827</v>
      </c>
      <c r="T199" s="14">
        <f t="shared" si="830"/>
        <v>16829</v>
      </c>
      <c r="U199" s="14">
        <f t="shared" si="830"/>
        <v>16831</v>
      </c>
      <c r="V199" s="14">
        <f t="shared" si="830"/>
        <v>16833</v>
      </c>
      <c r="W199" s="14">
        <f t="shared" si="830"/>
        <v>16835</v>
      </c>
      <c r="X199" s="14">
        <f t="shared" si="830"/>
        <v>16837</v>
      </c>
      <c r="Y199" s="14">
        <f t="shared" si="770"/>
        <v>16839</v>
      </c>
      <c r="Z199" s="14">
        <f t="shared" si="624"/>
        <v>16841</v>
      </c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</row>
    <row r="200" spans="1:68" hidden="1" x14ac:dyDescent="0.25">
      <c r="A200" s="3">
        <v>96</v>
      </c>
      <c r="B200" s="3" t="s">
        <v>327</v>
      </c>
      <c r="C200" s="6" t="s">
        <v>563</v>
      </c>
      <c r="D200" s="6" t="s">
        <v>561</v>
      </c>
      <c r="E200" s="17">
        <f t="shared" ref="E200:E203" si="831">E199+$E$2</f>
        <v>17000</v>
      </c>
      <c r="F200" s="14">
        <f t="shared" si="766"/>
        <v>17001</v>
      </c>
      <c r="G200" s="14">
        <f t="shared" si="824"/>
        <v>17003</v>
      </c>
      <c r="H200" s="14">
        <f t="shared" si="825"/>
        <v>17005</v>
      </c>
      <c r="I200" s="14">
        <f t="shared" ref="I200:J200" si="832">H200+H$6</f>
        <v>17007</v>
      </c>
      <c r="J200" s="14">
        <f t="shared" si="832"/>
        <v>17009</v>
      </c>
      <c r="K200" s="14">
        <f t="shared" si="827"/>
        <v>17011</v>
      </c>
      <c r="L200" s="14">
        <f t="shared" si="828"/>
        <v>17013</v>
      </c>
      <c r="M200" s="14">
        <f t="shared" si="829"/>
        <v>17015</v>
      </c>
      <c r="N200" s="14">
        <f t="shared" ref="N200:X200" si="833">M200+M$6</f>
        <v>17017</v>
      </c>
      <c r="O200" s="14">
        <f t="shared" si="833"/>
        <v>17019</v>
      </c>
      <c r="P200" s="14">
        <f t="shared" si="833"/>
        <v>17021</v>
      </c>
      <c r="Q200" s="14">
        <f t="shared" si="830"/>
        <v>17023</v>
      </c>
      <c r="R200" s="14">
        <f t="shared" si="830"/>
        <v>17025</v>
      </c>
      <c r="S200" s="14">
        <f t="shared" si="833"/>
        <v>17027</v>
      </c>
      <c r="T200" s="14">
        <f t="shared" si="833"/>
        <v>17029</v>
      </c>
      <c r="U200" s="14">
        <f t="shared" si="833"/>
        <v>17031</v>
      </c>
      <c r="V200" s="14">
        <f t="shared" si="833"/>
        <v>17033</v>
      </c>
      <c r="W200" s="14">
        <f t="shared" si="833"/>
        <v>17035</v>
      </c>
      <c r="X200" s="14">
        <f t="shared" si="833"/>
        <v>17037</v>
      </c>
      <c r="Y200" s="14">
        <f t="shared" si="770"/>
        <v>17039</v>
      </c>
      <c r="Z200" s="14">
        <f t="shared" si="624"/>
        <v>17041</v>
      </c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</row>
    <row r="201" spans="1:68" hidden="1" x14ac:dyDescent="0.25">
      <c r="A201" s="3">
        <v>97</v>
      </c>
      <c r="B201" s="3" t="s">
        <v>327</v>
      </c>
      <c r="C201" s="6" t="s">
        <v>564</v>
      </c>
      <c r="D201" s="6" t="s">
        <v>561</v>
      </c>
      <c r="E201" s="17">
        <f t="shared" si="831"/>
        <v>17200</v>
      </c>
      <c r="F201" s="14">
        <f t="shared" si="766"/>
        <v>17201</v>
      </c>
      <c r="G201" s="14">
        <f t="shared" si="824"/>
        <v>17203</v>
      </c>
      <c r="H201" s="14">
        <f t="shared" si="825"/>
        <v>17205</v>
      </c>
      <c r="I201" s="14">
        <f t="shared" ref="I201:J201" si="834">H201+H$6</f>
        <v>17207</v>
      </c>
      <c r="J201" s="14">
        <f t="shared" si="834"/>
        <v>17209</v>
      </c>
      <c r="K201" s="14">
        <f t="shared" si="827"/>
        <v>17211</v>
      </c>
      <c r="L201" s="14">
        <f t="shared" si="828"/>
        <v>17213</v>
      </c>
      <c r="M201" s="14">
        <f t="shared" si="829"/>
        <v>17215</v>
      </c>
      <c r="N201" s="14">
        <f t="shared" ref="N201:X201" si="835">M201+M$6</f>
        <v>17217</v>
      </c>
      <c r="O201" s="14">
        <f t="shared" si="835"/>
        <v>17219</v>
      </c>
      <c r="P201" s="14">
        <f t="shared" si="835"/>
        <v>17221</v>
      </c>
      <c r="Q201" s="14">
        <f t="shared" si="830"/>
        <v>17223</v>
      </c>
      <c r="R201" s="14">
        <f t="shared" si="830"/>
        <v>17225</v>
      </c>
      <c r="S201" s="14">
        <f t="shared" si="835"/>
        <v>17227</v>
      </c>
      <c r="T201" s="14">
        <f t="shared" si="835"/>
        <v>17229</v>
      </c>
      <c r="U201" s="14">
        <f t="shared" si="835"/>
        <v>17231</v>
      </c>
      <c r="V201" s="14">
        <f t="shared" si="835"/>
        <v>17233</v>
      </c>
      <c r="W201" s="14">
        <f t="shared" si="835"/>
        <v>17235</v>
      </c>
      <c r="X201" s="14">
        <f t="shared" si="835"/>
        <v>17237</v>
      </c>
      <c r="Y201" s="14">
        <f t="shared" si="770"/>
        <v>17239</v>
      </c>
      <c r="Z201" s="14">
        <f t="shared" si="624"/>
        <v>17241</v>
      </c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</row>
    <row r="202" spans="1:68" hidden="1" x14ac:dyDescent="0.25">
      <c r="A202" s="3">
        <v>98</v>
      </c>
      <c r="B202" s="3" t="s">
        <v>327</v>
      </c>
      <c r="C202" s="6" t="s">
        <v>565</v>
      </c>
      <c r="D202" s="6" t="s">
        <v>561</v>
      </c>
      <c r="E202" s="17">
        <f t="shared" si="831"/>
        <v>17400</v>
      </c>
      <c r="F202" s="14">
        <f t="shared" si="766"/>
        <v>17401</v>
      </c>
      <c r="G202" s="14">
        <f t="shared" si="824"/>
        <v>17403</v>
      </c>
      <c r="H202" s="14">
        <f t="shared" si="825"/>
        <v>17405</v>
      </c>
      <c r="I202" s="14">
        <f t="shared" ref="I202:J202" si="836">H202+H$6</f>
        <v>17407</v>
      </c>
      <c r="J202" s="14">
        <f t="shared" si="836"/>
        <v>17409</v>
      </c>
      <c r="K202" s="14">
        <f t="shared" si="827"/>
        <v>17411</v>
      </c>
      <c r="L202" s="14">
        <f t="shared" si="828"/>
        <v>17413</v>
      </c>
      <c r="M202" s="14">
        <f t="shared" si="829"/>
        <v>17415</v>
      </c>
      <c r="N202" s="14">
        <f t="shared" ref="N202:X202" si="837">M202+M$6</f>
        <v>17417</v>
      </c>
      <c r="O202" s="14">
        <f t="shared" si="837"/>
        <v>17419</v>
      </c>
      <c r="P202" s="14">
        <f t="shared" si="837"/>
        <v>17421</v>
      </c>
      <c r="Q202" s="14">
        <f t="shared" si="830"/>
        <v>17423</v>
      </c>
      <c r="R202" s="14">
        <f t="shared" si="830"/>
        <v>17425</v>
      </c>
      <c r="S202" s="14">
        <f t="shared" si="837"/>
        <v>17427</v>
      </c>
      <c r="T202" s="14">
        <f t="shared" si="837"/>
        <v>17429</v>
      </c>
      <c r="U202" s="14">
        <f t="shared" si="837"/>
        <v>17431</v>
      </c>
      <c r="V202" s="14">
        <f t="shared" si="837"/>
        <v>17433</v>
      </c>
      <c r="W202" s="14">
        <f t="shared" si="837"/>
        <v>17435</v>
      </c>
      <c r="X202" s="14">
        <f t="shared" si="837"/>
        <v>17437</v>
      </c>
      <c r="Y202" s="14">
        <f t="shared" si="770"/>
        <v>17439</v>
      </c>
      <c r="Z202" s="14">
        <f t="shared" si="624"/>
        <v>17441</v>
      </c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</row>
    <row r="203" spans="1:68" hidden="1" x14ac:dyDescent="0.25">
      <c r="A203" s="3">
        <v>99</v>
      </c>
      <c r="B203" s="3" t="s">
        <v>327</v>
      </c>
      <c r="C203" s="6" t="s">
        <v>566</v>
      </c>
      <c r="D203" s="6" t="s">
        <v>561</v>
      </c>
      <c r="E203" s="17">
        <f t="shared" si="831"/>
        <v>17600</v>
      </c>
      <c r="F203" s="14">
        <f t="shared" si="766"/>
        <v>17601</v>
      </c>
      <c r="G203" s="14">
        <f t="shared" si="824"/>
        <v>17603</v>
      </c>
      <c r="H203" s="14">
        <f t="shared" si="825"/>
        <v>17605</v>
      </c>
      <c r="I203" s="14">
        <f t="shared" ref="I203:J203" si="838">H203+H$6</f>
        <v>17607</v>
      </c>
      <c r="J203" s="14">
        <f t="shared" si="838"/>
        <v>17609</v>
      </c>
      <c r="K203" s="14">
        <f t="shared" si="827"/>
        <v>17611</v>
      </c>
      <c r="L203" s="14">
        <f t="shared" si="828"/>
        <v>17613</v>
      </c>
      <c r="M203" s="14">
        <f t="shared" si="829"/>
        <v>17615</v>
      </c>
      <c r="N203" s="14">
        <f t="shared" ref="N203:X203" si="839">M203+M$6</f>
        <v>17617</v>
      </c>
      <c r="O203" s="14">
        <f t="shared" si="839"/>
        <v>17619</v>
      </c>
      <c r="P203" s="14">
        <f t="shared" si="839"/>
        <v>17621</v>
      </c>
      <c r="Q203" s="14">
        <f>P203+P$6</f>
        <v>17623</v>
      </c>
      <c r="R203" s="14">
        <f>Q203+Q$6</f>
        <v>17625</v>
      </c>
      <c r="S203" s="14">
        <f t="shared" si="839"/>
        <v>17627</v>
      </c>
      <c r="T203" s="14">
        <f t="shared" si="839"/>
        <v>17629</v>
      </c>
      <c r="U203" s="14">
        <f t="shared" si="839"/>
        <v>17631</v>
      </c>
      <c r="V203" s="14">
        <f t="shared" si="839"/>
        <v>17633</v>
      </c>
      <c r="W203" s="14">
        <f t="shared" si="839"/>
        <v>17635</v>
      </c>
      <c r="X203" s="14">
        <f t="shared" si="839"/>
        <v>17637</v>
      </c>
      <c r="Y203" s="14">
        <f t="shared" si="770"/>
        <v>17639</v>
      </c>
      <c r="Z203" s="14">
        <f t="shared" si="624"/>
        <v>17641</v>
      </c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</row>
    <row r="204" spans="1:68" hidden="1" x14ac:dyDescent="0.25">
      <c r="A204" s="13">
        <v>1</v>
      </c>
      <c r="B204" s="13" t="s">
        <v>328</v>
      </c>
      <c r="C204" s="13" t="s">
        <v>1</v>
      </c>
      <c r="D204" s="13" t="s">
        <v>266</v>
      </c>
      <c r="E204" s="18">
        <f>E105</f>
        <v>0</v>
      </c>
      <c r="F204" s="19">
        <f t="shared" ref="F204:F215" si="840">E204+1</f>
        <v>1</v>
      </c>
      <c r="G204" s="19">
        <f t="shared" si="824"/>
        <v>3</v>
      </c>
      <c r="H204" s="19">
        <f t="shared" si="825"/>
        <v>5</v>
      </c>
      <c r="I204" s="19">
        <f>H204+H$6</f>
        <v>7</v>
      </c>
      <c r="J204" s="19">
        <f>I204+I$6</f>
        <v>9</v>
      </c>
      <c r="K204" s="19">
        <f t="shared" si="827"/>
        <v>11</v>
      </c>
      <c r="L204" s="19">
        <f t="shared" si="828"/>
        <v>13</v>
      </c>
      <c r="M204" s="19">
        <f t="shared" si="829"/>
        <v>15</v>
      </c>
      <c r="N204" s="19">
        <f t="shared" ref="N204:X204" si="841">M204+M$6</f>
        <v>17</v>
      </c>
      <c r="O204" s="19">
        <f t="shared" si="841"/>
        <v>19</v>
      </c>
      <c r="P204" s="19">
        <f t="shared" si="841"/>
        <v>21</v>
      </c>
      <c r="Q204" s="19">
        <f>P204+P$6</f>
        <v>23</v>
      </c>
      <c r="R204" s="19">
        <f>Q204+Q$6</f>
        <v>25</v>
      </c>
      <c r="S204" s="19">
        <f t="shared" si="841"/>
        <v>27</v>
      </c>
      <c r="T204" s="19">
        <f t="shared" si="841"/>
        <v>29</v>
      </c>
      <c r="U204" s="19">
        <f t="shared" si="841"/>
        <v>31</v>
      </c>
      <c r="V204" s="19">
        <f t="shared" si="841"/>
        <v>33</v>
      </c>
      <c r="W204" s="19">
        <f t="shared" si="841"/>
        <v>35</v>
      </c>
      <c r="X204" s="19">
        <f t="shared" si="841"/>
        <v>37</v>
      </c>
      <c r="Y204" s="19">
        <f t="shared" ref="Y204:Z256" si="842">X204+X$6</f>
        <v>39</v>
      </c>
      <c r="Z204" s="19"/>
      <c r="AA204" s="19">
        <f t="shared" ref="AA204:AA215" si="843">Y204+$Z$6+$Y$6</f>
        <v>43</v>
      </c>
      <c r="AB204" s="19">
        <f t="shared" ref="AB204" si="844">AA204+AA$6</f>
        <v>45</v>
      </c>
      <c r="AC204" s="19">
        <f t="shared" ref="AC204" si="845">AB204+AB$6</f>
        <v>47</v>
      </c>
      <c r="AD204" s="19">
        <f t="shared" ref="AD204" si="846">AC204+AC$6</f>
        <v>49</v>
      </c>
      <c r="AE204" s="19">
        <f t="shared" ref="AE204" si="847">AD204+AD$6</f>
        <v>51</v>
      </c>
      <c r="AF204" s="19">
        <f t="shared" ref="AF204" si="848">AE204+AE$6</f>
        <v>53</v>
      </c>
      <c r="AG204" s="19">
        <f t="shared" ref="AG204" si="849">AF204+AF$6</f>
        <v>55</v>
      </c>
      <c r="AH204" s="19">
        <f t="shared" ref="AH204" si="850">AG204+AG$6</f>
        <v>57</v>
      </c>
      <c r="AI204" s="19">
        <f t="shared" ref="AI204" si="851">AH204+AH$6</f>
        <v>59</v>
      </c>
      <c r="AJ204" s="19">
        <f t="shared" ref="AJ204" si="852">AI204+AI$6</f>
        <v>61</v>
      </c>
      <c r="AK204" s="19">
        <f t="shared" ref="AK204" si="853">AJ204+AJ$6</f>
        <v>63</v>
      </c>
      <c r="AL204" s="19">
        <f t="shared" ref="AL204" si="854">AK204+AK$6</f>
        <v>65</v>
      </c>
      <c r="AM204" s="19">
        <f t="shared" ref="AM204" si="855">AL204+AL$6</f>
        <v>67</v>
      </c>
      <c r="AN204" s="19">
        <f t="shared" ref="AN204" si="856">AM204+AM$6</f>
        <v>69</v>
      </c>
      <c r="AO204" s="19">
        <f t="shared" ref="AO204" si="857">AN204+AN$6</f>
        <v>71</v>
      </c>
      <c r="AP204" s="19">
        <f t="shared" ref="AP204" si="858">AO204+AO$6</f>
        <v>73</v>
      </c>
      <c r="AQ204" s="19">
        <f t="shared" ref="AQ204" si="859">AP204+AP$6</f>
        <v>75</v>
      </c>
      <c r="AR204" s="19">
        <f t="shared" ref="AR204" si="860">AQ204+AQ$6</f>
        <v>77</v>
      </c>
      <c r="AS204" s="19">
        <f>AR204+AR$6</f>
        <v>79</v>
      </c>
      <c r="AT204" s="19">
        <f t="shared" ref="AT204" si="861">AS204+AS$6</f>
        <v>81</v>
      </c>
      <c r="AU204" s="19">
        <f t="shared" ref="AU204" si="862">AT204+AT$6</f>
        <v>83</v>
      </c>
      <c r="AV204" s="19">
        <f t="shared" ref="AV204" si="863">AU204+AU$6</f>
        <v>85</v>
      </c>
      <c r="AW204" s="19">
        <f t="shared" ref="AW204" si="864">AV204+AV$6</f>
        <v>87</v>
      </c>
      <c r="AX204" s="19">
        <f t="shared" ref="AX204" si="865">AW204+AW$6</f>
        <v>89</v>
      </c>
      <c r="AY204" s="19">
        <f t="shared" ref="AY204" si="866">AX204+AX$6</f>
        <v>91</v>
      </c>
      <c r="AZ204" s="19">
        <f t="shared" ref="AZ204" si="867">AY204+AY$6</f>
        <v>93</v>
      </c>
      <c r="BA204" s="19">
        <f t="shared" ref="BA204" si="868">AZ204+AZ$6</f>
        <v>95</v>
      </c>
      <c r="BB204" s="19">
        <f t="shared" ref="BB204" si="869">BA204+BA$6</f>
        <v>97</v>
      </c>
      <c r="BC204" s="19">
        <f t="shared" ref="BC204" si="870">BB204+BB$6</f>
        <v>99</v>
      </c>
      <c r="BD204" s="19">
        <f t="shared" ref="BD204" si="871">BC204+BC$6</f>
        <v>101</v>
      </c>
      <c r="BE204" s="19">
        <f t="shared" ref="BE204" si="872">BD204+BD$6</f>
        <v>103</v>
      </c>
      <c r="BF204" s="19">
        <f t="shared" ref="BF204" si="873">BE204+BE$6</f>
        <v>105</v>
      </c>
      <c r="BG204" s="19">
        <f t="shared" ref="BG204" si="874">BF204+BF$6</f>
        <v>107</v>
      </c>
      <c r="BH204" s="19">
        <f t="shared" ref="BH204" si="875">BG204+BG$6</f>
        <v>109</v>
      </c>
      <c r="BI204" s="19">
        <f t="shared" ref="BI204" si="876">BH204+BH$6</f>
        <v>111</v>
      </c>
      <c r="BJ204" s="19">
        <f t="shared" ref="BJ204" si="877">BI204+BI$6</f>
        <v>113</v>
      </c>
      <c r="BK204" s="19">
        <f t="shared" ref="BK204" si="878">BJ204+BJ$6</f>
        <v>115</v>
      </c>
      <c r="BL204" s="19">
        <f t="shared" ref="BL204:BP204" si="879">BK204+BK$6</f>
        <v>117</v>
      </c>
      <c r="BM204" s="19">
        <f t="shared" si="879"/>
        <v>119</v>
      </c>
      <c r="BN204" s="19">
        <f t="shared" si="879"/>
        <v>121</v>
      </c>
      <c r="BO204" s="19">
        <f t="shared" si="879"/>
        <v>123</v>
      </c>
      <c r="BP204" s="19">
        <f t="shared" si="879"/>
        <v>125</v>
      </c>
    </row>
    <row r="205" spans="1:68" hidden="1" x14ac:dyDescent="0.25">
      <c r="A205" s="3">
        <v>2</v>
      </c>
      <c r="B205" s="3" t="s">
        <v>328</v>
      </c>
      <c r="C205" s="3" t="s">
        <v>267</v>
      </c>
      <c r="D205" s="3" t="s">
        <v>268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</row>
    <row r="206" spans="1:68" hidden="1" x14ac:dyDescent="0.25">
      <c r="A206" s="3">
        <v>3</v>
      </c>
      <c r="B206" s="3" t="s">
        <v>328</v>
      </c>
      <c r="C206" s="4" t="s">
        <v>22</v>
      </c>
      <c r="D206" s="4" t="s">
        <v>269</v>
      </c>
      <c r="E206" s="14">
        <f>E204+$E$2</f>
        <v>200</v>
      </c>
      <c r="F206" s="14">
        <f t="shared" si="840"/>
        <v>201</v>
      </c>
      <c r="G206" s="14">
        <f t="shared" ref="G206:G215" si="880">F206+F$6</f>
        <v>203</v>
      </c>
      <c r="H206" s="14">
        <f t="shared" ref="H206:H215" si="881">G206+G$6</f>
        <v>205</v>
      </c>
      <c r="I206" s="14">
        <f t="shared" ref="I206:J206" si="882">H206+H$6</f>
        <v>207</v>
      </c>
      <c r="J206" s="14">
        <f t="shared" si="882"/>
        <v>209</v>
      </c>
      <c r="K206" s="14">
        <f t="shared" ref="K206:K215" si="883">J206+J$6</f>
        <v>211</v>
      </c>
      <c r="L206" s="14">
        <f t="shared" ref="L206:L215" si="884">K206+K$6</f>
        <v>213</v>
      </c>
      <c r="M206" s="14">
        <f t="shared" ref="M206:M215" si="885">L206+L$6</f>
        <v>215</v>
      </c>
      <c r="N206" s="14">
        <f t="shared" ref="N206:X206" si="886">M206+M$6</f>
        <v>217</v>
      </c>
      <c r="O206" s="14">
        <f t="shared" si="886"/>
        <v>219</v>
      </c>
      <c r="P206" s="14">
        <f t="shared" si="886"/>
        <v>221</v>
      </c>
      <c r="Q206" s="14">
        <f t="shared" ref="Q206:R206" si="887">P206+P$6</f>
        <v>223</v>
      </c>
      <c r="R206" s="14">
        <f t="shared" si="887"/>
        <v>225</v>
      </c>
      <c r="S206" s="14">
        <f t="shared" si="886"/>
        <v>227</v>
      </c>
      <c r="T206" s="14">
        <f t="shared" si="886"/>
        <v>229</v>
      </c>
      <c r="U206" s="14">
        <f t="shared" si="886"/>
        <v>231</v>
      </c>
      <c r="V206" s="14">
        <f t="shared" si="886"/>
        <v>233</v>
      </c>
      <c r="W206" s="14">
        <f t="shared" si="886"/>
        <v>235</v>
      </c>
      <c r="X206" s="14">
        <f t="shared" si="886"/>
        <v>237</v>
      </c>
      <c r="Y206" s="14">
        <f t="shared" si="842"/>
        <v>239</v>
      </c>
      <c r="Z206" s="14"/>
      <c r="AA206" s="14">
        <f t="shared" si="843"/>
        <v>243</v>
      </c>
      <c r="AB206" s="14">
        <f t="shared" ref="AB206:AB215" si="888">AA206+AA$6</f>
        <v>245</v>
      </c>
      <c r="AC206" s="14">
        <f t="shared" ref="AC206:AC215" si="889">AB206+AB$6</f>
        <v>247</v>
      </c>
      <c r="AD206" s="14">
        <f t="shared" ref="AD206:AD215" si="890">AC206+AC$6</f>
        <v>249</v>
      </c>
      <c r="AE206" s="14">
        <f t="shared" ref="AE206:AE215" si="891">AD206+AD$6</f>
        <v>251</v>
      </c>
      <c r="AF206" s="14">
        <f t="shared" ref="AF206:AF215" si="892">AE206+AE$6</f>
        <v>253</v>
      </c>
      <c r="AG206" s="14">
        <f t="shared" ref="AG206:AG215" si="893">AF206+AF$6</f>
        <v>255</v>
      </c>
      <c r="AH206" s="14">
        <f t="shared" ref="AH206:AH215" si="894">AG206+AG$6</f>
        <v>257</v>
      </c>
      <c r="AI206" s="14">
        <f t="shared" ref="AI206:AI215" si="895">AH206+AH$6</f>
        <v>259</v>
      </c>
      <c r="AJ206" s="14">
        <f t="shared" ref="AJ206:AJ215" si="896">AI206+AI$6</f>
        <v>261</v>
      </c>
      <c r="AK206" s="14">
        <f t="shared" ref="AK206:AK215" si="897">AJ206+AJ$6</f>
        <v>263</v>
      </c>
      <c r="AL206" s="14">
        <f t="shared" ref="AL206:AL215" si="898">AK206+AK$6</f>
        <v>265</v>
      </c>
      <c r="AM206" s="14">
        <f t="shared" ref="AM206:AM215" si="899">AL206+AL$6</f>
        <v>267</v>
      </c>
      <c r="AN206" s="14">
        <f t="shared" ref="AN206:AN215" si="900">AM206+AM$6</f>
        <v>269</v>
      </c>
      <c r="AO206" s="14">
        <f t="shared" ref="AO206:AO215" si="901">AN206+AN$6</f>
        <v>271</v>
      </c>
      <c r="AP206" s="14">
        <f t="shared" ref="AP206:AP215" si="902">AO206+AO$6</f>
        <v>273</v>
      </c>
      <c r="AQ206" s="14">
        <f t="shared" ref="AQ206:AQ215" si="903">AP206+AP$6</f>
        <v>275</v>
      </c>
      <c r="AR206" s="14">
        <f t="shared" ref="AR206:AR215" si="904">AQ206+AQ$6</f>
        <v>277</v>
      </c>
      <c r="AS206" s="14">
        <f t="shared" ref="AS206:AS215" si="905">AR206+AR$6</f>
        <v>279</v>
      </c>
      <c r="AT206" s="14">
        <f t="shared" ref="AT206:AT215" si="906">AS206+AS$6</f>
        <v>281</v>
      </c>
      <c r="AU206" s="14">
        <f t="shared" ref="AU206:AU215" si="907">AT206+AT$6</f>
        <v>283</v>
      </c>
      <c r="AV206" s="14">
        <f t="shared" ref="AV206:AV215" si="908">AU206+AU$6</f>
        <v>285</v>
      </c>
      <c r="AW206" s="14">
        <f t="shared" ref="AW206:AW215" si="909">AV206+AV$6</f>
        <v>287</v>
      </c>
      <c r="AX206" s="14">
        <f t="shared" ref="AX206:AX215" si="910">AW206+AW$6</f>
        <v>289</v>
      </c>
      <c r="AY206" s="14">
        <f t="shared" ref="AY206:AY215" si="911">AX206+AX$6</f>
        <v>291</v>
      </c>
      <c r="AZ206" s="14">
        <f t="shared" ref="AZ206:AZ215" si="912">AY206+AY$6</f>
        <v>293</v>
      </c>
      <c r="BA206" s="14">
        <f t="shared" ref="BA206:BA215" si="913">AZ206+AZ$6</f>
        <v>295</v>
      </c>
      <c r="BB206" s="14">
        <f t="shared" ref="BB206:BB215" si="914">BA206+BA$6</f>
        <v>297</v>
      </c>
      <c r="BC206" s="14">
        <f t="shared" ref="BC206:BC215" si="915">BB206+BB$6</f>
        <v>299</v>
      </c>
      <c r="BD206" s="14">
        <f t="shared" ref="BD206:BD215" si="916">BC206+BC$6</f>
        <v>301</v>
      </c>
      <c r="BE206" s="14">
        <f t="shared" ref="BE206:BE215" si="917">BD206+BD$6</f>
        <v>303</v>
      </c>
      <c r="BF206" s="14">
        <f t="shared" ref="BF206:BF215" si="918">BE206+BE$6</f>
        <v>305</v>
      </c>
      <c r="BG206" s="14">
        <f t="shared" ref="BG206:BG215" si="919">BF206+BF$6</f>
        <v>307</v>
      </c>
      <c r="BH206" s="14">
        <f t="shared" ref="BH206:BH215" si="920">BG206+BG$6</f>
        <v>309</v>
      </c>
      <c r="BI206" s="14">
        <f t="shared" ref="BI206:BI215" si="921">BH206+BH$6</f>
        <v>311</v>
      </c>
      <c r="BJ206" s="14">
        <f t="shared" ref="BJ206:BJ215" si="922">BI206+BI$6</f>
        <v>313</v>
      </c>
      <c r="BK206" s="14">
        <f t="shared" ref="BK206:BK215" si="923">BJ206+BJ$6</f>
        <v>315</v>
      </c>
      <c r="BL206" s="14">
        <f t="shared" ref="BL206:BP206" si="924">BK206+BK$6</f>
        <v>317</v>
      </c>
      <c r="BM206" s="14">
        <f t="shared" si="924"/>
        <v>319</v>
      </c>
      <c r="BN206" s="14">
        <f t="shared" si="924"/>
        <v>321</v>
      </c>
      <c r="BO206" s="14">
        <f t="shared" si="924"/>
        <v>323</v>
      </c>
      <c r="BP206" s="14">
        <f t="shared" si="924"/>
        <v>325</v>
      </c>
    </row>
    <row r="207" spans="1:68" hidden="1" x14ac:dyDescent="0.25">
      <c r="A207" s="3">
        <v>4</v>
      </c>
      <c r="B207" s="3" t="s">
        <v>328</v>
      </c>
      <c r="C207" s="3" t="s">
        <v>43</v>
      </c>
      <c r="D207" s="3" t="s">
        <v>270</v>
      </c>
      <c r="E207" s="14">
        <f t="shared" ref="E207:E256" si="925">E206+$E$2</f>
        <v>400</v>
      </c>
      <c r="F207" s="14">
        <f t="shared" si="840"/>
        <v>401</v>
      </c>
      <c r="G207" s="14">
        <f t="shared" si="880"/>
        <v>403</v>
      </c>
      <c r="H207" s="14">
        <f t="shared" si="881"/>
        <v>405</v>
      </c>
      <c r="I207" s="14">
        <f t="shared" ref="I207:J207" si="926">H207+H$6</f>
        <v>407</v>
      </c>
      <c r="J207" s="14">
        <f t="shared" si="926"/>
        <v>409</v>
      </c>
      <c r="K207" s="14">
        <f t="shared" si="883"/>
        <v>411</v>
      </c>
      <c r="L207" s="14">
        <f t="shared" si="884"/>
        <v>413</v>
      </c>
      <c r="M207" s="14">
        <f t="shared" si="885"/>
        <v>415</v>
      </c>
      <c r="N207" s="14">
        <f t="shared" ref="N207:X222" si="927">M207+M$6</f>
        <v>417</v>
      </c>
      <c r="O207" s="14">
        <f t="shared" si="927"/>
        <v>419</v>
      </c>
      <c r="P207" s="14">
        <f t="shared" si="927"/>
        <v>421</v>
      </c>
      <c r="Q207" s="14">
        <f t="shared" si="927"/>
        <v>423</v>
      </c>
      <c r="R207" s="14">
        <f t="shared" si="927"/>
        <v>425</v>
      </c>
      <c r="S207" s="14">
        <f t="shared" si="927"/>
        <v>427</v>
      </c>
      <c r="T207" s="14">
        <f t="shared" si="927"/>
        <v>429</v>
      </c>
      <c r="U207" s="14">
        <f t="shared" si="927"/>
        <v>431</v>
      </c>
      <c r="V207" s="14">
        <f t="shared" si="927"/>
        <v>433</v>
      </c>
      <c r="W207" s="14">
        <f t="shared" si="927"/>
        <v>435</v>
      </c>
      <c r="X207" s="14">
        <f t="shared" si="927"/>
        <v>437</v>
      </c>
      <c r="Y207" s="14">
        <f t="shared" si="842"/>
        <v>439</v>
      </c>
      <c r="Z207" s="14"/>
      <c r="AA207" s="14">
        <f t="shared" si="843"/>
        <v>443</v>
      </c>
      <c r="AB207" s="14">
        <f t="shared" si="888"/>
        <v>445</v>
      </c>
      <c r="AC207" s="14">
        <f t="shared" si="889"/>
        <v>447</v>
      </c>
      <c r="AD207" s="14">
        <f t="shared" si="890"/>
        <v>449</v>
      </c>
      <c r="AE207" s="14">
        <f t="shared" si="891"/>
        <v>451</v>
      </c>
      <c r="AF207" s="14">
        <f t="shared" si="892"/>
        <v>453</v>
      </c>
      <c r="AG207" s="14">
        <f t="shared" si="893"/>
        <v>455</v>
      </c>
      <c r="AH207" s="14">
        <f t="shared" si="894"/>
        <v>457</v>
      </c>
      <c r="AI207" s="14">
        <f t="shared" si="895"/>
        <v>459</v>
      </c>
      <c r="AJ207" s="14">
        <f t="shared" si="896"/>
        <v>461</v>
      </c>
      <c r="AK207" s="14">
        <f t="shared" si="897"/>
        <v>463</v>
      </c>
      <c r="AL207" s="14">
        <f t="shared" si="898"/>
        <v>465</v>
      </c>
      <c r="AM207" s="14">
        <f t="shared" si="899"/>
        <v>467</v>
      </c>
      <c r="AN207" s="14">
        <f t="shared" si="900"/>
        <v>469</v>
      </c>
      <c r="AO207" s="14">
        <f t="shared" si="901"/>
        <v>471</v>
      </c>
      <c r="AP207" s="14">
        <f t="shared" si="902"/>
        <v>473</v>
      </c>
      <c r="AQ207" s="14">
        <f t="shared" si="903"/>
        <v>475</v>
      </c>
      <c r="AR207" s="14">
        <f t="shared" si="904"/>
        <v>477</v>
      </c>
      <c r="AS207" s="14">
        <f t="shared" si="905"/>
        <v>479</v>
      </c>
      <c r="AT207" s="14">
        <f t="shared" si="906"/>
        <v>481</v>
      </c>
      <c r="AU207" s="14">
        <f t="shared" si="907"/>
        <v>483</v>
      </c>
      <c r="AV207" s="14">
        <f t="shared" si="908"/>
        <v>485</v>
      </c>
      <c r="AW207" s="14">
        <f t="shared" si="909"/>
        <v>487</v>
      </c>
      <c r="AX207" s="14">
        <f t="shared" si="910"/>
        <v>489</v>
      </c>
      <c r="AY207" s="14">
        <f t="shared" si="911"/>
        <v>491</v>
      </c>
      <c r="AZ207" s="14">
        <f t="shared" si="912"/>
        <v>493</v>
      </c>
      <c r="BA207" s="14">
        <f t="shared" si="913"/>
        <v>495</v>
      </c>
      <c r="BB207" s="14">
        <f t="shared" si="914"/>
        <v>497</v>
      </c>
      <c r="BC207" s="14">
        <f t="shared" si="915"/>
        <v>499</v>
      </c>
      <c r="BD207" s="14">
        <f t="shared" si="916"/>
        <v>501</v>
      </c>
      <c r="BE207" s="14">
        <f t="shared" si="917"/>
        <v>503</v>
      </c>
      <c r="BF207" s="14">
        <f t="shared" si="918"/>
        <v>505</v>
      </c>
      <c r="BG207" s="14">
        <f t="shared" si="919"/>
        <v>507</v>
      </c>
      <c r="BH207" s="14">
        <f t="shared" si="920"/>
        <v>509</v>
      </c>
      <c r="BI207" s="14">
        <f t="shared" si="921"/>
        <v>511</v>
      </c>
      <c r="BJ207" s="14">
        <f t="shared" si="922"/>
        <v>513</v>
      </c>
      <c r="BK207" s="14">
        <f t="shared" si="923"/>
        <v>515</v>
      </c>
      <c r="BL207" s="14">
        <f t="shared" ref="BL207:BP207" si="928">BK207+BK$6</f>
        <v>517</v>
      </c>
      <c r="BM207" s="14">
        <f t="shared" si="928"/>
        <v>519</v>
      </c>
      <c r="BN207" s="14">
        <f t="shared" si="928"/>
        <v>521</v>
      </c>
      <c r="BO207" s="14">
        <f t="shared" si="928"/>
        <v>523</v>
      </c>
      <c r="BP207" s="14">
        <f t="shared" si="928"/>
        <v>525</v>
      </c>
    </row>
    <row r="208" spans="1:68" hidden="1" x14ac:dyDescent="0.25">
      <c r="A208" s="3">
        <v>5</v>
      </c>
      <c r="B208" s="3" t="s">
        <v>328</v>
      </c>
      <c r="C208" s="3" t="s">
        <v>44</v>
      </c>
      <c r="D208" s="3" t="s">
        <v>271</v>
      </c>
      <c r="E208" s="14">
        <f t="shared" si="925"/>
        <v>600</v>
      </c>
      <c r="F208" s="14">
        <f t="shared" si="840"/>
        <v>601</v>
      </c>
      <c r="G208" s="14">
        <f t="shared" si="880"/>
        <v>603</v>
      </c>
      <c r="H208" s="14">
        <f t="shared" si="881"/>
        <v>605</v>
      </c>
      <c r="I208" s="14">
        <f t="shared" ref="I208:J208" si="929">H208+H$6</f>
        <v>607</v>
      </c>
      <c r="J208" s="14">
        <f t="shared" si="929"/>
        <v>609</v>
      </c>
      <c r="K208" s="14">
        <f t="shared" si="883"/>
        <v>611</v>
      </c>
      <c r="L208" s="14">
        <f t="shared" si="884"/>
        <v>613</v>
      </c>
      <c r="M208" s="14">
        <f t="shared" si="885"/>
        <v>615</v>
      </c>
      <c r="N208" s="14">
        <f t="shared" ref="N208:X208" si="930">M208+M$6</f>
        <v>617</v>
      </c>
      <c r="O208" s="14">
        <f t="shared" si="930"/>
        <v>619</v>
      </c>
      <c r="P208" s="14">
        <f t="shared" si="930"/>
        <v>621</v>
      </c>
      <c r="Q208" s="14">
        <f t="shared" si="927"/>
        <v>623</v>
      </c>
      <c r="R208" s="14">
        <f t="shared" si="927"/>
        <v>625</v>
      </c>
      <c r="S208" s="14">
        <f t="shared" si="930"/>
        <v>627</v>
      </c>
      <c r="T208" s="14">
        <f t="shared" si="930"/>
        <v>629</v>
      </c>
      <c r="U208" s="14">
        <f t="shared" si="930"/>
        <v>631</v>
      </c>
      <c r="V208" s="14">
        <f t="shared" si="930"/>
        <v>633</v>
      </c>
      <c r="W208" s="14">
        <f t="shared" si="930"/>
        <v>635</v>
      </c>
      <c r="X208" s="14">
        <f t="shared" si="930"/>
        <v>637</v>
      </c>
      <c r="Y208" s="14">
        <f t="shared" si="842"/>
        <v>639</v>
      </c>
      <c r="Z208" s="14"/>
      <c r="AA208" s="14">
        <f t="shared" si="843"/>
        <v>643</v>
      </c>
      <c r="AB208" s="14">
        <f t="shared" si="888"/>
        <v>645</v>
      </c>
      <c r="AC208" s="14">
        <f t="shared" si="889"/>
        <v>647</v>
      </c>
      <c r="AD208" s="14">
        <f t="shared" si="890"/>
        <v>649</v>
      </c>
      <c r="AE208" s="14">
        <f t="shared" si="891"/>
        <v>651</v>
      </c>
      <c r="AF208" s="14">
        <f t="shared" si="892"/>
        <v>653</v>
      </c>
      <c r="AG208" s="14">
        <f t="shared" si="893"/>
        <v>655</v>
      </c>
      <c r="AH208" s="14">
        <f t="shared" si="894"/>
        <v>657</v>
      </c>
      <c r="AI208" s="14">
        <f t="shared" si="895"/>
        <v>659</v>
      </c>
      <c r="AJ208" s="14">
        <f t="shared" si="896"/>
        <v>661</v>
      </c>
      <c r="AK208" s="14">
        <f t="shared" si="897"/>
        <v>663</v>
      </c>
      <c r="AL208" s="14">
        <f t="shared" si="898"/>
        <v>665</v>
      </c>
      <c r="AM208" s="14">
        <f t="shared" si="899"/>
        <v>667</v>
      </c>
      <c r="AN208" s="14">
        <f t="shared" si="900"/>
        <v>669</v>
      </c>
      <c r="AO208" s="14">
        <f t="shared" si="901"/>
        <v>671</v>
      </c>
      <c r="AP208" s="14">
        <f t="shared" si="902"/>
        <v>673</v>
      </c>
      <c r="AQ208" s="14">
        <f t="shared" si="903"/>
        <v>675</v>
      </c>
      <c r="AR208" s="14">
        <f t="shared" si="904"/>
        <v>677</v>
      </c>
      <c r="AS208" s="14">
        <f t="shared" si="905"/>
        <v>679</v>
      </c>
      <c r="AT208" s="14">
        <f t="shared" si="906"/>
        <v>681</v>
      </c>
      <c r="AU208" s="14">
        <f t="shared" si="907"/>
        <v>683</v>
      </c>
      <c r="AV208" s="14">
        <f t="shared" si="908"/>
        <v>685</v>
      </c>
      <c r="AW208" s="14">
        <f t="shared" si="909"/>
        <v>687</v>
      </c>
      <c r="AX208" s="14">
        <f t="shared" si="910"/>
        <v>689</v>
      </c>
      <c r="AY208" s="14">
        <f t="shared" si="911"/>
        <v>691</v>
      </c>
      <c r="AZ208" s="14">
        <f t="shared" si="912"/>
        <v>693</v>
      </c>
      <c r="BA208" s="14">
        <f t="shared" si="913"/>
        <v>695</v>
      </c>
      <c r="BB208" s="14">
        <f t="shared" si="914"/>
        <v>697</v>
      </c>
      <c r="BC208" s="14">
        <f t="shared" si="915"/>
        <v>699</v>
      </c>
      <c r="BD208" s="14">
        <f t="shared" si="916"/>
        <v>701</v>
      </c>
      <c r="BE208" s="14">
        <f t="shared" si="917"/>
        <v>703</v>
      </c>
      <c r="BF208" s="14">
        <f t="shared" si="918"/>
        <v>705</v>
      </c>
      <c r="BG208" s="14">
        <f t="shared" si="919"/>
        <v>707</v>
      </c>
      <c r="BH208" s="14">
        <f t="shared" si="920"/>
        <v>709</v>
      </c>
      <c r="BI208" s="14">
        <f t="shared" si="921"/>
        <v>711</v>
      </c>
      <c r="BJ208" s="14">
        <f t="shared" si="922"/>
        <v>713</v>
      </c>
      <c r="BK208" s="14">
        <f t="shared" si="923"/>
        <v>715</v>
      </c>
      <c r="BL208" s="14">
        <f t="shared" ref="BL208:BP208" si="931">BK208+BK$6</f>
        <v>717</v>
      </c>
      <c r="BM208" s="14">
        <f t="shared" si="931"/>
        <v>719</v>
      </c>
      <c r="BN208" s="14">
        <f t="shared" si="931"/>
        <v>721</v>
      </c>
      <c r="BO208" s="14">
        <f t="shared" si="931"/>
        <v>723</v>
      </c>
      <c r="BP208" s="14">
        <f t="shared" si="931"/>
        <v>725</v>
      </c>
    </row>
    <row r="209" spans="1:68" hidden="1" x14ac:dyDescent="0.25">
      <c r="A209" s="3">
        <v>6</v>
      </c>
      <c r="B209" s="3" t="s">
        <v>328</v>
      </c>
      <c r="C209" s="3" t="s">
        <v>45</v>
      </c>
      <c r="D209" s="3" t="s">
        <v>272</v>
      </c>
      <c r="E209" s="14">
        <f t="shared" si="925"/>
        <v>800</v>
      </c>
      <c r="F209" s="14">
        <f t="shared" si="840"/>
        <v>801</v>
      </c>
      <c r="G209" s="14">
        <f t="shared" si="880"/>
        <v>803</v>
      </c>
      <c r="H209" s="14">
        <f t="shared" si="881"/>
        <v>805</v>
      </c>
      <c r="I209" s="14">
        <f t="shared" ref="I209:J209" si="932">H209+H$6</f>
        <v>807</v>
      </c>
      <c r="J209" s="14">
        <f t="shared" si="932"/>
        <v>809</v>
      </c>
      <c r="K209" s="14">
        <f t="shared" si="883"/>
        <v>811</v>
      </c>
      <c r="L209" s="14">
        <f t="shared" si="884"/>
        <v>813</v>
      </c>
      <c r="M209" s="14">
        <f t="shared" si="885"/>
        <v>815</v>
      </c>
      <c r="N209" s="14">
        <f t="shared" ref="N209:X209" si="933">M209+M$6</f>
        <v>817</v>
      </c>
      <c r="O209" s="14">
        <f t="shared" si="933"/>
        <v>819</v>
      </c>
      <c r="P209" s="14">
        <f t="shared" si="933"/>
        <v>821</v>
      </c>
      <c r="Q209" s="14">
        <f t="shared" si="927"/>
        <v>823</v>
      </c>
      <c r="R209" s="14">
        <f t="shared" si="927"/>
        <v>825</v>
      </c>
      <c r="S209" s="14">
        <f t="shared" si="933"/>
        <v>827</v>
      </c>
      <c r="T209" s="14">
        <f t="shared" si="933"/>
        <v>829</v>
      </c>
      <c r="U209" s="14">
        <f t="shared" si="933"/>
        <v>831</v>
      </c>
      <c r="V209" s="14">
        <f t="shared" si="933"/>
        <v>833</v>
      </c>
      <c r="W209" s="14">
        <f t="shared" si="933"/>
        <v>835</v>
      </c>
      <c r="X209" s="14">
        <f t="shared" si="933"/>
        <v>837</v>
      </c>
      <c r="Y209" s="14">
        <f t="shared" si="842"/>
        <v>839</v>
      </c>
      <c r="Z209" s="14"/>
      <c r="AA209" s="14">
        <f t="shared" si="843"/>
        <v>843</v>
      </c>
      <c r="AB209" s="14">
        <f t="shared" si="888"/>
        <v>845</v>
      </c>
      <c r="AC209" s="14">
        <f t="shared" si="889"/>
        <v>847</v>
      </c>
      <c r="AD209" s="14">
        <f t="shared" si="890"/>
        <v>849</v>
      </c>
      <c r="AE209" s="14">
        <f t="shared" si="891"/>
        <v>851</v>
      </c>
      <c r="AF209" s="14">
        <f t="shared" si="892"/>
        <v>853</v>
      </c>
      <c r="AG209" s="14">
        <f t="shared" si="893"/>
        <v>855</v>
      </c>
      <c r="AH209" s="14">
        <f t="shared" si="894"/>
        <v>857</v>
      </c>
      <c r="AI209" s="14">
        <f t="shared" si="895"/>
        <v>859</v>
      </c>
      <c r="AJ209" s="14">
        <f t="shared" si="896"/>
        <v>861</v>
      </c>
      <c r="AK209" s="14">
        <f t="shared" si="897"/>
        <v>863</v>
      </c>
      <c r="AL209" s="14">
        <f t="shared" si="898"/>
        <v>865</v>
      </c>
      <c r="AM209" s="14">
        <f t="shared" si="899"/>
        <v>867</v>
      </c>
      <c r="AN209" s="14">
        <f t="shared" si="900"/>
        <v>869</v>
      </c>
      <c r="AO209" s="14">
        <f t="shared" si="901"/>
        <v>871</v>
      </c>
      <c r="AP209" s="14">
        <f t="shared" si="902"/>
        <v>873</v>
      </c>
      <c r="AQ209" s="14">
        <f t="shared" si="903"/>
        <v>875</v>
      </c>
      <c r="AR209" s="14">
        <f t="shared" si="904"/>
        <v>877</v>
      </c>
      <c r="AS209" s="14">
        <f t="shared" si="905"/>
        <v>879</v>
      </c>
      <c r="AT209" s="14">
        <f t="shared" si="906"/>
        <v>881</v>
      </c>
      <c r="AU209" s="14">
        <f t="shared" si="907"/>
        <v>883</v>
      </c>
      <c r="AV209" s="14">
        <f t="shared" si="908"/>
        <v>885</v>
      </c>
      <c r="AW209" s="14">
        <f t="shared" si="909"/>
        <v>887</v>
      </c>
      <c r="AX209" s="14">
        <f t="shared" si="910"/>
        <v>889</v>
      </c>
      <c r="AY209" s="14">
        <f t="shared" si="911"/>
        <v>891</v>
      </c>
      <c r="AZ209" s="14">
        <f t="shared" si="912"/>
        <v>893</v>
      </c>
      <c r="BA209" s="14">
        <f t="shared" si="913"/>
        <v>895</v>
      </c>
      <c r="BB209" s="14">
        <f t="shared" si="914"/>
        <v>897</v>
      </c>
      <c r="BC209" s="14">
        <f t="shared" si="915"/>
        <v>899</v>
      </c>
      <c r="BD209" s="14">
        <f t="shared" si="916"/>
        <v>901</v>
      </c>
      <c r="BE209" s="14">
        <f t="shared" si="917"/>
        <v>903</v>
      </c>
      <c r="BF209" s="14">
        <f t="shared" si="918"/>
        <v>905</v>
      </c>
      <c r="BG209" s="14">
        <f t="shared" si="919"/>
        <v>907</v>
      </c>
      <c r="BH209" s="14">
        <f t="shared" si="920"/>
        <v>909</v>
      </c>
      <c r="BI209" s="14">
        <f t="shared" si="921"/>
        <v>911</v>
      </c>
      <c r="BJ209" s="14">
        <f t="shared" si="922"/>
        <v>913</v>
      </c>
      <c r="BK209" s="14">
        <f t="shared" si="923"/>
        <v>915</v>
      </c>
      <c r="BL209" s="14">
        <f t="shared" ref="BL209:BP209" si="934">BK209+BK$6</f>
        <v>917</v>
      </c>
      <c r="BM209" s="14">
        <f t="shared" si="934"/>
        <v>919</v>
      </c>
      <c r="BN209" s="14">
        <f t="shared" si="934"/>
        <v>921</v>
      </c>
      <c r="BO209" s="14">
        <f t="shared" si="934"/>
        <v>923</v>
      </c>
      <c r="BP209" s="14">
        <f t="shared" si="934"/>
        <v>925</v>
      </c>
    </row>
    <row r="210" spans="1:68" hidden="1" x14ac:dyDescent="0.25">
      <c r="A210" s="3">
        <v>7</v>
      </c>
      <c r="B210" s="3" t="s">
        <v>328</v>
      </c>
      <c r="C210" s="3" t="s">
        <v>46</v>
      </c>
      <c r="D210" s="3" t="s">
        <v>273</v>
      </c>
      <c r="E210" s="14">
        <f t="shared" si="925"/>
        <v>1000</v>
      </c>
      <c r="F210" s="14">
        <f t="shared" si="840"/>
        <v>1001</v>
      </c>
      <c r="G210" s="14">
        <f t="shared" si="880"/>
        <v>1003</v>
      </c>
      <c r="H210" s="14">
        <f t="shared" si="881"/>
        <v>1005</v>
      </c>
      <c r="I210" s="14">
        <f t="shared" ref="I210:J210" si="935">H210+H$6</f>
        <v>1007</v>
      </c>
      <c r="J210" s="14">
        <f t="shared" si="935"/>
        <v>1009</v>
      </c>
      <c r="K210" s="14">
        <f t="shared" si="883"/>
        <v>1011</v>
      </c>
      <c r="L210" s="14">
        <f t="shared" si="884"/>
        <v>1013</v>
      </c>
      <c r="M210" s="14">
        <f t="shared" si="885"/>
        <v>1015</v>
      </c>
      <c r="N210" s="14">
        <f t="shared" ref="N210:X210" si="936">M210+M$6</f>
        <v>1017</v>
      </c>
      <c r="O210" s="14">
        <f t="shared" si="936"/>
        <v>1019</v>
      </c>
      <c r="P210" s="14">
        <f t="shared" si="936"/>
        <v>1021</v>
      </c>
      <c r="Q210" s="14">
        <f t="shared" si="927"/>
        <v>1023</v>
      </c>
      <c r="R210" s="14">
        <f t="shared" si="927"/>
        <v>1025</v>
      </c>
      <c r="S210" s="14">
        <f t="shared" si="936"/>
        <v>1027</v>
      </c>
      <c r="T210" s="14">
        <f t="shared" si="936"/>
        <v>1029</v>
      </c>
      <c r="U210" s="14">
        <f t="shared" si="936"/>
        <v>1031</v>
      </c>
      <c r="V210" s="14">
        <f t="shared" si="936"/>
        <v>1033</v>
      </c>
      <c r="W210" s="14">
        <f t="shared" si="936"/>
        <v>1035</v>
      </c>
      <c r="X210" s="14">
        <f t="shared" si="936"/>
        <v>1037</v>
      </c>
      <c r="Y210" s="14">
        <f t="shared" si="842"/>
        <v>1039</v>
      </c>
      <c r="Z210" s="14"/>
      <c r="AA210" s="14">
        <f t="shared" si="843"/>
        <v>1043</v>
      </c>
      <c r="AB210" s="14">
        <f t="shared" si="888"/>
        <v>1045</v>
      </c>
      <c r="AC210" s="14">
        <f t="shared" si="889"/>
        <v>1047</v>
      </c>
      <c r="AD210" s="14">
        <f t="shared" si="890"/>
        <v>1049</v>
      </c>
      <c r="AE210" s="14">
        <f t="shared" si="891"/>
        <v>1051</v>
      </c>
      <c r="AF210" s="14">
        <f t="shared" si="892"/>
        <v>1053</v>
      </c>
      <c r="AG210" s="14">
        <f t="shared" si="893"/>
        <v>1055</v>
      </c>
      <c r="AH210" s="14">
        <f t="shared" si="894"/>
        <v>1057</v>
      </c>
      <c r="AI210" s="14">
        <f t="shared" si="895"/>
        <v>1059</v>
      </c>
      <c r="AJ210" s="14">
        <f t="shared" si="896"/>
        <v>1061</v>
      </c>
      <c r="AK210" s="14">
        <f t="shared" si="897"/>
        <v>1063</v>
      </c>
      <c r="AL210" s="14">
        <f t="shared" si="898"/>
        <v>1065</v>
      </c>
      <c r="AM210" s="14">
        <f t="shared" si="899"/>
        <v>1067</v>
      </c>
      <c r="AN210" s="14">
        <f t="shared" si="900"/>
        <v>1069</v>
      </c>
      <c r="AO210" s="14">
        <f t="shared" si="901"/>
        <v>1071</v>
      </c>
      <c r="AP210" s="14">
        <f t="shared" si="902"/>
        <v>1073</v>
      </c>
      <c r="AQ210" s="14">
        <f t="shared" si="903"/>
        <v>1075</v>
      </c>
      <c r="AR210" s="14">
        <f t="shared" si="904"/>
        <v>1077</v>
      </c>
      <c r="AS210" s="14">
        <f t="shared" si="905"/>
        <v>1079</v>
      </c>
      <c r="AT210" s="14">
        <f t="shared" si="906"/>
        <v>1081</v>
      </c>
      <c r="AU210" s="14">
        <f t="shared" si="907"/>
        <v>1083</v>
      </c>
      <c r="AV210" s="14">
        <f t="shared" si="908"/>
        <v>1085</v>
      </c>
      <c r="AW210" s="14">
        <f t="shared" si="909"/>
        <v>1087</v>
      </c>
      <c r="AX210" s="14">
        <f t="shared" si="910"/>
        <v>1089</v>
      </c>
      <c r="AY210" s="14">
        <f t="shared" si="911"/>
        <v>1091</v>
      </c>
      <c r="AZ210" s="14">
        <f t="shared" si="912"/>
        <v>1093</v>
      </c>
      <c r="BA210" s="14">
        <f t="shared" si="913"/>
        <v>1095</v>
      </c>
      <c r="BB210" s="14">
        <f t="shared" si="914"/>
        <v>1097</v>
      </c>
      <c r="BC210" s="14">
        <f t="shared" si="915"/>
        <v>1099</v>
      </c>
      <c r="BD210" s="14">
        <f t="shared" si="916"/>
        <v>1101</v>
      </c>
      <c r="BE210" s="14">
        <f t="shared" si="917"/>
        <v>1103</v>
      </c>
      <c r="BF210" s="14">
        <f t="shared" si="918"/>
        <v>1105</v>
      </c>
      <c r="BG210" s="14">
        <f t="shared" si="919"/>
        <v>1107</v>
      </c>
      <c r="BH210" s="14">
        <f t="shared" si="920"/>
        <v>1109</v>
      </c>
      <c r="BI210" s="14">
        <f t="shared" si="921"/>
        <v>1111</v>
      </c>
      <c r="BJ210" s="14">
        <f t="shared" si="922"/>
        <v>1113</v>
      </c>
      <c r="BK210" s="14">
        <f t="shared" si="923"/>
        <v>1115</v>
      </c>
      <c r="BL210" s="14">
        <f t="shared" ref="BL210:BP210" si="937">BK210+BK$6</f>
        <v>1117</v>
      </c>
      <c r="BM210" s="14">
        <f t="shared" si="937"/>
        <v>1119</v>
      </c>
      <c r="BN210" s="14">
        <f t="shared" si="937"/>
        <v>1121</v>
      </c>
      <c r="BO210" s="14">
        <f t="shared" si="937"/>
        <v>1123</v>
      </c>
      <c r="BP210" s="14">
        <f t="shared" si="937"/>
        <v>1125</v>
      </c>
    </row>
    <row r="211" spans="1:68" hidden="1" x14ac:dyDescent="0.25">
      <c r="A211" s="3">
        <v>8</v>
      </c>
      <c r="B211" s="3" t="s">
        <v>328</v>
      </c>
      <c r="C211" s="3" t="s">
        <v>47</v>
      </c>
      <c r="D211" s="3" t="s">
        <v>274</v>
      </c>
      <c r="E211" s="14">
        <f t="shared" si="925"/>
        <v>1200</v>
      </c>
      <c r="F211" s="14">
        <f t="shared" si="840"/>
        <v>1201</v>
      </c>
      <c r="G211" s="14">
        <f t="shared" si="880"/>
        <v>1203</v>
      </c>
      <c r="H211" s="14">
        <f t="shared" si="881"/>
        <v>1205</v>
      </c>
      <c r="I211" s="14">
        <f t="shared" ref="I211:J211" si="938">H211+H$6</f>
        <v>1207</v>
      </c>
      <c r="J211" s="14">
        <f t="shared" si="938"/>
        <v>1209</v>
      </c>
      <c r="K211" s="14">
        <f t="shared" si="883"/>
        <v>1211</v>
      </c>
      <c r="L211" s="14">
        <f t="shared" si="884"/>
        <v>1213</v>
      </c>
      <c r="M211" s="14">
        <f t="shared" si="885"/>
        <v>1215</v>
      </c>
      <c r="N211" s="14">
        <f t="shared" ref="N211:X211" si="939">M211+M$6</f>
        <v>1217</v>
      </c>
      <c r="O211" s="14">
        <f t="shared" si="939"/>
        <v>1219</v>
      </c>
      <c r="P211" s="14">
        <f t="shared" si="939"/>
        <v>1221</v>
      </c>
      <c r="Q211" s="14">
        <f t="shared" si="927"/>
        <v>1223</v>
      </c>
      <c r="R211" s="14">
        <f t="shared" si="927"/>
        <v>1225</v>
      </c>
      <c r="S211" s="14">
        <f t="shared" si="939"/>
        <v>1227</v>
      </c>
      <c r="T211" s="14">
        <f t="shared" si="939"/>
        <v>1229</v>
      </c>
      <c r="U211" s="14">
        <f t="shared" si="939"/>
        <v>1231</v>
      </c>
      <c r="V211" s="14">
        <f t="shared" si="939"/>
        <v>1233</v>
      </c>
      <c r="W211" s="14">
        <f t="shared" si="939"/>
        <v>1235</v>
      </c>
      <c r="X211" s="14">
        <f t="shared" si="939"/>
        <v>1237</v>
      </c>
      <c r="Y211" s="14">
        <f t="shared" si="842"/>
        <v>1239</v>
      </c>
      <c r="Z211" s="14"/>
      <c r="AA211" s="14">
        <f t="shared" si="843"/>
        <v>1243</v>
      </c>
      <c r="AB211" s="14">
        <f t="shared" si="888"/>
        <v>1245</v>
      </c>
      <c r="AC211" s="14">
        <f t="shared" si="889"/>
        <v>1247</v>
      </c>
      <c r="AD211" s="14">
        <f t="shared" si="890"/>
        <v>1249</v>
      </c>
      <c r="AE211" s="14">
        <f t="shared" si="891"/>
        <v>1251</v>
      </c>
      <c r="AF211" s="14">
        <f t="shared" si="892"/>
        <v>1253</v>
      </c>
      <c r="AG211" s="14">
        <f t="shared" si="893"/>
        <v>1255</v>
      </c>
      <c r="AH211" s="14">
        <f t="shared" si="894"/>
        <v>1257</v>
      </c>
      <c r="AI211" s="14">
        <f t="shared" si="895"/>
        <v>1259</v>
      </c>
      <c r="AJ211" s="14">
        <f t="shared" si="896"/>
        <v>1261</v>
      </c>
      <c r="AK211" s="14">
        <f t="shared" si="897"/>
        <v>1263</v>
      </c>
      <c r="AL211" s="14">
        <f t="shared" si="898"/>
        <v>1265</v>
      </c>
      <c r="AM211" s="14">
        <f t="shared" si="899"/>
        <v>1267</v>
      </c>
      <c r="AN211" s="14">
        <f t="shared" si="900"/>
        <v>1269</v>
      </c>
      <c r="AO211" s="14">
        <f t="shared" si="901"/>
        <v>1271</v>
      </c>
      <c r="AP211" s="14">
        <f t="shared" si="902"/>
        <v>1273</v>
      </c>
      <c r="AQ211" s="14">
        <f t="shared" si="903"/>
        <v>1275</v>
      </c>
      <c r="AR211" s="14">
        <f t="shared" si="904"/>
        <v>1277</v>
      </c>
      <c r="AS211" s="14">
        <f t="shared" si="905"/>
        <v>1279</v>
      </c>
      <c r="AT211" s="14">
        <f t="shared" si="906"/>
        <v>1281</v>
      </c>
      <c r="AU211" s="14">
        <f t="shared" si="907"/>
        <v>1283</v>
      </c>
      <c r="AV211" s="14">
        <f t="shared" si="908"/>
        <v>1285</v>
      </c>
      <c r="AW211" s="14">
        <f t="shared" si="909"/>
        <v>1287</v>
      </c>
      <c r="AX211" s="14">
        <f t="shared" si="910"/>
        <v>1289</v>
      </c>
      <c r="AY211" s="14">
        <f t="shared" si="911"/>
        <v>1291</v>
      </c>
      <c r="AZ211" s="14">
        <f t="shared" si="912"/>
        <v>1293</v>
      </c>
      <c r="BA211" s="14">
        <f t="shared" si="913"/>
        <v>1295</v>
      </c>
      <c r="BB211" s="14">
        <f t="shared" si="914"/>
        <v>1297</v>
      </c>
      <c r="BC211" s="14">
        <f t="shared" si="915"/>
        <v>1299</v>
      </c>
      <c r="BD211" s="14">
        <f t="shared" si="916"/>
        <v>1301</v>
      </c>
      <c r="BE211" s="14">
        <f t="shared" si="917"/>
        <v>1303</v>
      </c>
      <c r="BF211" s="14">
        <f t="shared" si="918"/>
        <v>1305</v>
      </c>
      <c r="BG211" s="14">
        <f t="shared" si="919"/>
        <v>1307</v>
      </c>
      <c r="BH211" s="14">
        <f t="shared" si="920"/>
        <v>1309</v>
      </c>
      <c r="BI211" s="14">
        <f t="shared" si="921"/>
        <v>1311</v>
      </c>
      <c r="BJ211" s="14">
        <f t="shared" si="922"/>
        <v>1313</v>
      </c>
      <c r="BK211" s="14">
        <f t="shared" si="923"/>
        <v>1315</v>
      </c>
      <c r="BL211" s="14">
        <f t="shared" ref="BL211:BP211" si="940">BK211+BK$6</f>
        <v>1317</v>
      </c>
      <c r="BM211" s="14">
        <f t="shared" si="940"/>
        <v>1319</v>
      </c>
      <c r="BN211" s="14">
        <f t="shared" si="940"/>
        <v>1321</v>
      </c>
      <c r="BO211" s="14">
        <f t="shared" si="940"/>
        <v>1323</v>
      </c>
      <c r="BP211" s="14">
        <f t="shared" si="940"/>
        <v>1325</v>
      </c>
    </row>
    <row r="212" spans="1:68" hidden="1" x14ac:dyDescent="0.25">
      <c r="A212" s="3">
        <v>9</v>
      </c>
      <c r="B212" s="3" t="s">
        <v>328</v>
      </c>
      <c r="C212" s="3" t="s">
        <v>48</v>
      </c>
      <c r="D212" s="3" t="s">
        <v>275</v>
      </c>
      <c r="E212" s="14">
        <f t="shared" si="925"/>
        <v>1400</v>
      </c>
      <c r="F212" s="14">
        <f t="shared" si="840"/>
        <v>1401</v>
      </c>
      <c r="G212" s="14">
        <f t="shared" si="880"/>
        <v>1403</v>
      </c>
      <c r="H212" s="14">
        <f t="shared" si="881"/>
        <v>1405</v>
      </c>
      <c r="I212" s="14">
        <f t="shared" ref="I212:J212" si="941">H212+H$6</f>
        <v>1407</v>
      </c>
      <c r="J212" s="14">
        <f t="shared" si="941"/>
        <v>1409</v>
      </c>
      <c r="K212" s="14">
        <f t="shared" si="883"/>
        <v>1411</v>
      </c>
      <c r="L212" s="14">
        <f t="shared" si="884"/>
        <v>1413</v>
      </c>
      <c r="M212" s="14">
        <f t="shared" si="885"/>
        <v>1415</v>
      </c>
      <c r="N212" s="14">
        <f t="shared" ref="N212:X212" si="942">M212+M$6</f>
        <v>1417</v>
      </c>
      <c r="O212" s="14">
        <f t="shared" si="942"/>
        <v>1419</v>
      </c>
      <c r="P212" s="14">
        <f t="shared" si="942"/>
        <v>1421</v>
      </c>
      <c r="Q212" s="14">
        <f t="shared" si="927"/>
        <v>1423</v>
      </c>
      <c r="R212" s="14">
        <f t="shared" si="927"/>
        <v>1425</v>
      </c>
      <c r="S212" s="14">
        <f t="shared" si="942"/>
        <v>1427</v>
      </c>
      <c r="T212" s="14">
        <f t="shared" si="942"/>
        <v>1429</v>
      </c>
      <c r="U212" s="14">
        <f t="shared" si="942"/>
        <v>1431</v>
      </c>
      <c r="V212" s="14">
        <f t="shared" si="942"/>
        <v>1433</v>
      </c>
      <c r="W212" s="14">
        <f t="shared" si="942"/>
        <v>1435</v>
      </c>
      <c r="X212" s="14">
        <f t="shared" si="942"/>
        <v>1437</v>
      </c>
      <c r="Y212" s="14">
        <f t="shared" si="842"/>
        <v>1439</v>
      </c>
      <c r="Z212" s="14"/>
      <c r="AA212" s="14">
        <f t="shared" si="843"/>
        <v>1443</v>
      </c>
      <c r="AB212" s="14">
        <f t="shared" si="888"/>
        <v>1445</v>
      </c>
      <c r="AC212" s="14">
        <f t="shared" si="889"/>
        <v>1447</v>
      </c>
      <c r="AD212" s="14">
        <f t="shared" si="890"/>
        <v>1449</v>
      </c>
      <c r="AE212" s="14">
        <f t="shared" si="891"/>
        <v>1451</v>
      </c>
      <c r="AF212" s="14">
        <f t="shared" si="892"/>
        <v>1453</v>
      </c>
      <c r="AG212" s="14">
        <f t="shared" si="893"/>
        <v>1455</v>
      </c>
      <c r="AH212" s="14">
        <f t="shared" si="894"/>
        <v>1457</v>
      </c>
      <c r="AI212" s="14">
        <f t="shared" si="895"/>
        <v>1459</v>
      </c>
      <c r="AJ212" s="14">
        <f t="shared" si="896"/>
        <v>1461</v>
      </c>
      <c r="AK212" s="14">
        <f t="shared" si="897"/>
        <v>1463</v>
      </c>
      <c r="AL212" s="14">
        <f t="shared" si="898"/>
        <v>1465</v>
      </c>
      <c r="AM212" s="14">
        <f t="shared" si="899"/>
        <v>1467</v>
      </c>
      <c r="AN212" s="14">
        <f t="shared" si="900"/>
        <v>1469</v>
      </c>
      <c r="AO212" s="14">
        <f t="shared" si="901"/>
        <v>1471</v>
      </c>
      <c r="AP212" s="14">
        <f t="shared" si="902"/>
        <v>1473</v>
      </c>
      <c r="AQ212" s="14">
        <f t="shared" si="903"/>
        <v>1475</v>
      </c>
      <c r="AR212" s="14">
        <f t="shared" si="904"/>
        <v>1477</v>
      </c>
      <c r="AS212" s="14">
        <f t="shared" si="905"/>
        <v>1479</v>
      </c>
      <c r="AT212" s="14">
        <f t="shared" si="906"/>
        <v>1481</v>
      </c>
      <c r="AU212" s="14">
        <f t="shared" si="907"/>
        <v>1483</v>
      </c>
      <c r="AV212" s="14">
        <f t="shared" si="908"/>
        <v>1485</v>
      </c>
      <c r="AW212" s="14">
        <f t="shared" si="909"/>
        <v>1487</v>
      </c>
      <c r="AX212" s="14">
        <f t="shared" si="910"/>
        <v>1489</v>
      </c>
      <c r="AY212" s="14">
        <f t="shared" si="911"/>
        <v>1491</v>
      </c>
      <c r="AZ212" s="14">
        <f t="shared" si="912"/>
        <v>1493</v>
      </c>
      <c r="BA212" s="14">
        <f t="shared" si="913"/>
        <v>1495</v>
      </c>
      <c r="BB212" s="14">
        <f t="shared" si="914"/>
        <v>1497</v>
      </c>
      <c r="BC212" s="14">
        <f t="shared" si="915"/>
        <v>1499</v>
      </c>
      <c r="BD212" s="14">
        <f t="shared" si="916"/>
        <v>1501</v>
      </c>
      <c r="BE212" s="14">
        <f t="shared" si="917"/>
        <v>1503</v>
      </c>
      <c r="BF212" s="14">
        <f t="shared" si="918"/>
        <v>1505</v>
      </c>
      <c r="BG212" s="14">
        <f t="shared" si="919"/>
        <v>1507</v>
      </c>
      <c r="BH212" s="14">
        <f t="shared" si="920"/>
        <v>1509</v>
      </c>
      <c r="BI212" s="14">
        <f t="shared" si="921"/>
        <v>1511</v>
      </c>
      <c r="BJ212" s="14">
        <f t="shared" si="922"/>
        <v>1513</v>
      </c>
      <c r="BK212" s="14">
        <f t="shared" si="923"/>
        <v>1515</v>
      </c>
      <c r="BL212" s="14">
        <f t="shared" ref="BL212:BP212" si="943">BK212+BK$6</f>
        <v>1517</v>
      </c>
      <c r="BM212" s="14">
        <f t="shared" si="943"/>
        <v>1519</v>
      </c>
      <c r="BN212" s="14">
        <f t="shared" si="943"/>
        <v>1521</v>
      </c>
      <c r="BO212" s="14">
        <f t="shared" si="943"/>
        <v>1523</v>
      </c>
      <c r="BP212" s="14">
        <f t="shared" si="943"/>
        <v>1525</v>
      </c>
    </row>
    <row r="213" spans="1:68" hidden="1" x14ac:dyDescent="0.25">
      <c r="A213" s="3">
        <v>10</v>
      </c>
      <c r="B213" s="3" t="s">
        <v>328</v>
      </c>
      <c r="C213" s="3" t="s">
        <v>49</v>
      </c>
      <c r="D213" s="3" t="s">
        <v>276</v>
      </c>
      <c r="E213" s="14">
        <f t="shared" si="925"/>
        <v>1600</v>
      </c>
      <c r="F213" s="14">
        <f t="shared" si="840"/>
        <v>1601</v>
      </c>
      <c r="G213" s="14">
        <f t="shared" si="880"/>
        <v>1603</v>
      </c>
      <c r="H213" s="14">
        <f t="shared" si="881"/>
        <v>1605</v>
      </c>
      <c r="I213" s="14">
        <f t="shared" ref="I213:J213" si="944">H213+H$6</f>
        <v>1607</v>
      </c>
      <c r="J213" s="14">
        <f t="shared" si="944"/>
        <v>1609</v>
      </c>
      <c r="K213" s="14">
        <f t="shared" si="883"/>
        <v>1611</v>
      </c>
      <c r="L213" s="14">
        <f t="shared" si="884"/>
        <v>1613</v>
      </c>
      <c r="M213" s="14">
        <f t="shared" si="885"/>
        <v>1615</v>
      </c>
      <c r="N213" s="14">
        <f t="shared" ref="N213:X213" si="945">M213+M$6</f>
        <v>1617</v>
      </c>
      <c r="O213" s="14">
        <f t="shared" si="945"/>
        <v>1619</v>
      </c>
      <c r="P213" s="14">
        <f t="shared" si="945"/>
        <v>1621</v>
      </c>
      <c r="Q213" s="14">
        <f t="shared" si="927"/>
        <v>1623</v>
      </c>
      <c r="R213" s="14">
        <f t="shared" si="927"/>
        <v>1625</v>
      </c>
      <c r="S213" s="14">
        <f t="shared" si="945"/>
        <v>1627</v>
      </c>
      <c r="T213" s="14">
        <f t="shared" si="945"/>
        <v>1629</v>
      </c>
      <c r="U213" s="14">
        <f t="shared" si="945"/>
        <v>1631</v>
      </c>
      <c r="V213" s="14">
        <f t="shared" si="945"/>
        <v>1633</v>
      </c>
      <c r="W213" s="14">
        <f t="shared" si="945"/>
        <v>1635</v>
      </c>
      <c r="X213" s="14">
        <f t="shared" si="945"/>
        <v>1637</v>
      </c>
      <c r="Y213" s="14">
        <f t="shared" si="842"/>
        <v>1639</v>
      </c>
      <c r="Z213" s="14"/>
      <c r="AA213" s="14">
        <f t="shared" si="843"/>
        <v>1643</v>
      </c>
      <c r="AB213" s="14">
        <f t="shared" si="888"/>
        <v>1645</v>
      </c>
      <c r="AC213" s="14">
        <f t="shared" si="889"/>
        <v>1647</v>
      </c>
      <c r="AD213" s="14">
        <f t="shared" si="890"/>
        <v>1649</v>
      </c>
      <c r="AE213" s="14">
        <f t="shared" si="891"/>
        <v>1651</v>
      </c>
      <c r="AF213" s="14">
        <f t="shared" si="892"/>
        <v>1653</v>
      </c>
      <c r="AG213" s="14">
        <f t="shared" si="893"/>
        <v>1655</v>
      </c>
      <c r="AH213" s="14">
        <f t="shared" si="894"/>
        <v>1657</v>
      </c>
      <c r="AI213" s="14">
        <f t="shared" si="895"/>
        <v>1659</v>
      </c>
      <c r="AJ213" s="14">
        <f t="shared" si="896"/>
        <v>1661</v>
      </c>
      <c r="AK213" s="14">
        <f t="shared" si="897"/>
        <v>1663</v>
      </c>
      <c r="AL213" s="14">
        <f t="shared" si="898"/>
        <v>1665</v>
      </c>
      <c r="AM213" s="14">
        <f t="shared" si="899"/>
        <v>1667</v>
      </c>
      <c r="AN213" s="14">
        <f t="shared" si="900"/>
        <v>1669</v>
      </c>
      <c r="AO213" s="14">
        <f t="shared" si="901"/>
        <v>1671</v>
      </c>
      <c r="AP213" s="14">
        <f t="shared" si="902"/>
        <v>1673</v>
      </c>
      <c r="AQ213" s="14">
        <f t="shared" si="903"/>
        <v>1675</v>
      </c>
      <c r="AR213" s="14">
        <f t="shared" si="904"/>
        <v>1677</v>
      </c>
      <c r="AS213" s="14">
        <f t="shared" si="905"/>
        <v>1679</v>
      </c>
      <c r="AT213" s="14">
        <f t="shared" si="906"/>
        <v>1681</v>
      </c>
      <c r="AU213" s="14">
        <f t="shared" si="907"/>
        <v>1683</v>
      </c>
      <c r="AV213" s="14">
        <f t="shared" si="908"/>
        <v>1685</v>
      </c>
      <c r="AW213" s="14">
        <f t="shared" si="909"/>
        <v>1687</v>
      </c>
      <c r="AX213" s="14">
        <f t="shared" si="910"/>
        <v>1689</v>
      </c>
      <c r="AY213" s="14">
        <f t="shared" si="911"/>
        <v>1691</v>
      </c>
      <c r="AZ213" s="14">
        <f t="shared" si="912"/>
        <v>1693</v>
      </c>
      <c r="BA213" s="14">
        <f t="shared" si="913"/>
        <v>1695</v>
      </c>
      <c r="BB213" s="14">
        <f t="shared" si="914"/>
        <v>1697</v>
      </c>
      <c r="BC213" s="14">
        <f t="shared" si="915"/>
        <v>1699</v>
      </c>
      <c r="BD213" s="14">
        <f t="shared" si="916"/>
        <v>1701</v>
      </c>
      <c r="BE213" s="14">
        <f t="shared" si="917"/>
        <v>1703</v>
      </c>
      <c r="BF213" s="14">
        <f t="shared" si="918"/>
        <v>1705</v>
      </c>
      <c r="BG213" s="14">
        <f t="shared" si="919"/>
        <v>1707</v>
      </c>
      <c r="BH213" s="14">
        <f t="shared" si="920"/>
        <v>1709</v>
      </c>
      <c r="BI213" s="14">
        <f t="shared" si="921"/>
        <v>1711</v>
      </c>
      <c r="BJ213" s="14">
        <f t="shared" si="922"/>
        <v>1713</v>
      </c>
      <c r="BK213" s="14">
        <f t="shared" si="923"/>
        <v>1715</v>
      </c>
      <c r="BL213" s="14">
        <f t="shared" ref="BL213:BP213" si="946">BK213+BK$6</f>
        <v>1717</v>
      </c>
      <c r="BM213" s="14">
        <f t="shared" si="946"/>
        <v>1719</v>
      </c>
      <c r="BN213" s="14">
        <f t="shared" si="946"/>
        <v>1721</v>
      </c>
      <c r="BO213" s="14">
        <f t="shared" si="946"/>
        <v>1723</v>
      </c>
      <c r="BP213" s="14">
        <f t="shared" si="946"/>
        <v>1725</v>
      </c>
    </row>
    <row r="214" spans="1:68" hidden="1" x14ac:dyDescent="0.25">
      <c r="A214" s="3">
        <v>11</v>
      </c>
      <c r="B214" s="3" t="s">
        <v>328</v>
      </c>
      <c r="C214" s="3" t="s">
        <v>50</v>
      </c>
      <c r="D214" s="3" t="s">
        <v>277</v>
      </c>
      <c r="E214" s="14">
        <f t="shared" si="925"/>
        <v>1800</v>
      </c>
      <c r="F214" s="14">
        <f t="shared" si="840"/>
        <v>1801</v>
      </c>
      <c r="G214" s="14">
        <f t="shared" si="880"/>
        <v>1803</v>
      </c>
      <c r="H214" s="14">
        <f t="shared" si="881"/>
        <v>1805</v>
      </c>
      <c r="I214" s="14">
        <f t="shared" ref="I214:J214" si="947">H214+H$6</f>
        <v>1807</v>
      </c>
      <c r="J214" s="14">
        <f t="shared" si="947"/>
        <v>1809</v>
      </c>
      <c r="K214" s="14">
        <f t="shared" si="883"/>
        <v>1811</v>
      </c>
      <c r="L214" s="14">
        <f t="shared" si="884"/>
        <v>1813</v>
      </c>
      <c r="M214" s="14">
        <f t="shared" si="885"/>
        <v>1815</v>
      </c>
      <c r="N214" s="14">
        <f t="shared" ref="N214:X214" si="948">M214+M$6</f>
        <v>1817</v>
      </c>
      <c r="O214" s="14">
        <f t="shared" si="948"/>
        <v>1819</v>
      </c>
      <c r="P214" s="14">
        <f t="shared" si="948"/>
        <v>1821</v>
      </c>
      <c r="Q214" s="14">
        <f t="shared" si="927"/>
        <v>1823</v>
      </c>
      <c r="R214" s="14">
        <f t="shared" si="927"/>
        <v>1825</v>
      </c>
      <c r="S214" s="14">
        <f t="shared" si="948"/>
        <v>1827</v>
      </c>
      <c r="T214" s="14">
        <f t="shared" si="948"/>
        <v>1829</v>
      </c>
      <c r="U214" s="14">
        <f t="shared" si="948"/>
        <v>1831</v>
      </c>
      <c r="V214" s="14">
        <f t="shared" si="948"/>
        <v>1833</v>
      </c>
      <c r="W214" s="14">
        <f t="shared" si="948"/>
        <v>1835</v>
      </c>
      <c r="X214" s="14">
        <f t="shared" si="948"/>
        <v>1837</v>
      </c>
      <c r="Y214" s="14">
        <f t="shared" si="842"/>
        <v>1839</v>
      </c>
      <c r="Z214" s="14"/>
      <c r="AA214" s="14">
        <f t="shared" si="843"/>
        <v>1843</v>
      </c>
      <c r="AB214" s="14">
        <f t="shared" si="888"/>
        <v>1845</v>
      </c>
      <c r="AC214" s="14">
        <f t="shared" si="889"/>
        <v>1847</v>
      </c>
      <c r="AD214" s="14">
        <f t="shared" si="890"/>
        <v>1849</v>
      </c>
      <c r="AE214" s="14">
        <f t="shared" si="891"/>
        <v>1851</v>
      </c>
      <c r="AF214" s="14">
        <f t="shared" si="892"/>
        <v>1853</v>
      </c>
      <c r="AG214" s="14">
        <f t="shared" si="893"/>
        <v>1855</v>
      </c>
      <c r="AH214" s="14">
        <f t="shared" si="894"/>
        <v>1857</v>
      </c>
      <c r="AI214" s="14">
        <f t="shared" si="895"/>
        <v>1859</v>
      </c>
      <c r="AJ214" s="14">
        <f t="shared" si="896"/>
        <v>1861</v>
      </c>
      <c r="AK214" s="14">
        <f t="shared" si="897"/>
        <v>1863</v>
      </c>
      <c r="AL214" s="14">
        <f t="shared" si="898"/>
        <v>1865</v>
      </c>
      <c r="AM214" s="14">
        <f t="shared" si="899"/>
        <v>1867</v>
      </c>
      <c r="AN214" s="14">
        <f t="shared" si="900"/>
        <v>1869</v>
      </c>
      <c r="AO214" s="14">
        <f t="shared" si="901"/>
        <v>1871</v>
      </c>
      <c r="AP214" s="14">
        <f t="shared" si="902"/>
        <v>1873</v>
      </c>
      <c r="AQ214" s="14">
        <f t="shared" si="903"/>
        <v>1875</v>
      </c>
      <c r="AR214" s="14">
        <f t="shared" si="904"/>
        <v>1877</v>
      </c>
      <c r="AS214" s="14">
        <f t="shared" si="905"/>
        <v>1879</v>
      </c>
      <c r="AT214" s="14">
        <f t="shared" si="906"/>
        <v>1881</v>
      </c>
      <c r="AU214" s="14">
        <f t="shared" si="907"/>
        <v>1883</v>
      </c>
      <c r="AV214" s="14">
        <f t="shared" si="908"/>
        <v>1885</v>
      </c>
      <c r="AW214" s="14">
        <f t="shared" si="909"/>
        <v>1887</v>
      </c>
      <c r="AX214" s="14">
        <f t="shared" si="910"/>
        <v>1889</v>
      </c>
      <c r="AY214" s="14">
        <f t="shared" si="911"/>
        <v>1891</v>
      </c>
      <c r="AZ214" s="14">
        <f t="shared" si="912"/>
        <v>1893</v>
      </c>
      <c r="BA214" s="14">
        <f t="shared" si="913"/>
        <v>1895</v>
      </c>
      <c r="BB214" s="14">
        <f t="shared" si="914"/>
        <v>1897</v>
      </c>
      <c r="BC214" s="14">
        <f t="shared" si="915"/>
        <v>1899</v>
      </c>
      <c r="BD214" s="14">
        <f t="shared" si="916"/>
        <v>1901</v>
      </c>
      <c r="BE214" s="14">
        <f t="shared" si="917"/>
        <v>1903</v>
      </c>
      <c r="BF214" s="14">
        <f t="shared" si="918"/>
        <v>1905</v>
      </c>
      <c r="BG214" s="14">
        <f t="shared" si="919"/>
        <v>1907</v>
      </c>
      <c r="BH214" s="14">
        <f t="shared" si="920"/>
        <v>1909</v>
      </c>
      <c r="BI214" s="14">
        <f t="shared" si="921"/>
        <v>1911</v>
      </c>
      <c r="BJ214" s="14">
        <f t="shared" si="922"/>
        <v>1913</v>
      </c>
      <c r="BK214" s="14">
        <f t="shared" si="923"/>
        <v>1915</v>
      </c>
      <c r="BL214" s="14">
        <f t="shared" ref="BL214:BP214" si="949">BK214+BK$6</f>
        <v>1917</v>
      </c>
      <c r="BM214" s="14">
        <f t="shared" si="949"/>
        <v>1919</v>
      </c>
      <c r="BN214" s="14">
        <f t="shared" si="949"/>
        <v>1921</v>
      </c>
      <c r="BO214" s="14">
        <f t="shared" si="949"/>
        <v>1923</v>
      </c>
      <c r="BP214" s="14">
        <f t="shared" si="949"/>
        <v>1925</v>
      </c>
    </row>
    <row r="215" spans="1:68" hidden="1" x14ac:dyDescent="0.25">
      <c r="A215" s="3">
        <v>12</v>
      </c>
      <c r="B215" s="3" t="s">
        <v>328</v>
      </c>
      <c r="C215" s="3" t="s">
        <v>51</v>
      </c>
      <c r="D215" s="3" t="s">
        <v>278</v>
      </c>
      <c r="E215" s="14">
        <f t="shared" si="925"/>
        <v>2000</v>
      </c>
      <c r="F215" s="14">
        <f t="shared" si="840"/>
        <v>2001</v>
      </c>
      <c r="G215" s="14">
        <f t="shared" si="880"/>
        <v>2003</v>
      </c>
      <c r="H215" s="14">
        <f t="shared" si="881"/>
        <v>2005</v>
      </c>
      <c r="I215" s="14">
        <f t="shared" ref="I215:J215" si="950">H215+H$6</f>
        <v>2007</v>
      </c>
      <c r="J215" s="14">
        <f t="shared" si="950"/>
        <v>2009</v>
      </c>
      <c r="K215" s="14">
        <f t="shared" si="883"/>
        <v>2011</v>
      </c>
      <c r="L215" s="14">
        <f t="shared" si="884"/>
        <v>2013</v>
      </c>
      <c r="M215" s="14">
        <f t="shared" si="885"/>
        <v>2015</v>
      </c>
      <c r="N215" s="14">
        <f t="shared" ref="N215:X215" si="951">M215+M$6</f>
        <v>2017</v>
      </c>
      <c r="O215" s="14">
        <f t="shared" si="951"/>
        <v>2019</v>
      </c>
      <c r="P215" s="14">
        <f t="shared" si="951"/>
        <v>2021</v>
      </c>
      <c r="Q215" s="14">
        <f t="shared" si="927"/>
        <v>2023</v>
      </c>
      <c r="R215" s="14">
        <f t="shared" si="927"/>
        <v>2025</v>
      </c>
      <c r="S215" s="14">
        <f t="shared" si="951"/>
        <v>2027</v>
      </c>
      <c r="T215" s="14">
        <f t="shared" si="951"/>
        <v>2029</v>
      </c>
      <c r="U215" s="14">
        <f t="shared" si="951"/>
        <v>2031</v>
      </c>
      <c r="V215" s="14">
        <f t="shared" si="951"/>
        <v>2033</v>
      </c>
      <c r="W215" s="14">
        <f t="shared" si="951"/>
        <v>2035</v>
      </c>
      <c r="X215" s="14">
        <f t="shared" si="951"/>
        <v>2037</v>
      </c>
      <c r="Y215" s="14">
        <f t="shared" si="842"/>
        <v>2039</v>
      </c>
      <c r="Z215" s="14"/>
      <c r="AA215" s="14">
        <f t="shared" si="843"/>
        <v>2043</v>
      </c>
      <c r="AB215" s="14">
        <f t="shared" si="888"/>
        <v>2045</v>
      </c>
      <c r="AC215" s="14">
        <f t="shared" si="889"/>
        <v>2047</v>
      </c>
      <c r="AD215" s="14">
        <f t="shared" si="890"/>
        <v>2049</v>
      </c>
      <c r="AE215" s="14">
        <f t="shared" si="891"/>
        <v>2051</v>
      </c>
      <c r="AF215" s="14">
        <f t="shared" si="892"/>
        <v>2053</v>
      </c>
      <c r="AG215" s="14">
        <f t="shared" si="893"/>
        <v>2055</v>
      </c>
      <c r="AH215" s="14">
        <f t="shared" si="894"/>
        <v>2057</v>
      </c>
      <c r="AI215" s="14">
        <f t="shared" si="895"/>
        <v>2059</v>
      </c>
      <c r="AJ215" s="14">
        <f t="shared" si="896"/>
        <v>2061</v>
      </c>
      <c r="AK215" s="14">
        <f t="shared" si="897"/>
        <v>2063</v>
      </c>
      <c r="AL215" s="14">
        <f t="shared" si="898"/>
        <v>2065</v>
      </c>
      <c r="AM215" s="14">
        <f t="shared" si="899"/>
        <v>2067</v>
      </c>
      <c r="AN215" s="14">
        <f t="shared" si="900"/>
        <v>2069</v>
      </c>
      <c r="AO215" s="14">
        <f t="shared" si="901"/>
        <v>2071</v>
      </c>
      <c r="AP215" s="14">
        <f t="shared" si="902"/>
        <v>2073</v>
      </c>
      <c r="AQ215" s="14">
        <f t="shared" si="903"/>
        <v>2075</v>
      </c>
      <c r="AR215" s="14">
        <f t="shared" si="904"/>
        <v>2077</v>
      </c>
      <c r="AS215" s="14">
        <f t="shared" si="905"/>
        <v>2079</v>
      </c>
      <c r="AT215" s="14">
        <f t="shared" si="906"/>
        <v>2081</v>
      </c>
      <c r="AU215" s="14">
        <f t="shared" si="907"/>
        <v>2083</v>
      </c>
      <c r="AV215" s="14">
        <f t="shared" si="908"/>
        <v>2085</v>
      </c>
      <c r="AW215" s="14">
        <f t="shared" si="909"/>
        <v>2087</v>
      </c>
      <c r="AX215" s="14">
        <f t="shared" si="910"/>
        <v>2089</v>
      </c>
      <c r="AY215" s="14">
        <f t="shared" si="911"/>
        <v>2091</v>
      </c>
      <c r="AZ215" s="14">
        <f t="shared" si="912"/>
        <v>2093</v>
      </c>
      <c r="BA215" s="14">
        <f t="shared" si="913"/>
        <v>2095</v>
      </c>
      <c r="BB215" s="14">
        <f t="shared" si="914"/>
        <v>2097</v>
      </c>
      <c r="BC215" s="14">
        <f t="shared" si="915"/>
        <v>2099</v>
      </c>
      <c r="BD215" s="14">
        <f t="shared" si="916"/>
        <v>2101</v>
      </c>
      <c r="BE215" s="14">
        <f t="shared" si="917"/>
        <v>2103</v>
      </c>
      <c r="BF215" s="14">
        <f t="shared" si="918"/>
        <v>2105</v>
      </c>
      <c r="BG215" s="14">
        <f t="shared" si="919"/>
        <v>2107</v>
      </c>
      <c r="BH215" s="14">
        <f t="shared" si="920"/>
        <v>2109</v>
      </c>
      <c r="BI215" s="14">
        <f t="shared" si="921"/>
        <v>2111</v>
      </c>
      <c r="BJ215" s="14">
        <f t="shared" si="922"/>
        <v>2113</v>
      </c>
      <c r="BK215" s="14">
        <f t="shared" si="923"/>
        <v>2115</v>
      </c>
      <c r="BL215" s="14">
        <f t="shared" ref="BL215:BP215" si="952">BK215+BK$6</f>
        <v>2117</v>
      </c>
      <c r="BM215" s="14">
        <f t="shared" si="952"/>
        <v>2119</v>
      </c>
      <c r="BN215" s="14">
        <f t="shared" si="952"/>
        <v>2121</v>
      </c>
      <c r="BO215" s="14">
        <f t="shared" si="952"/>
        <v>2123</v>
      </c>
      <c r="BP215" s="14">
        <f t="shared" si="952"/>
        <v>2125</v>
      </c>
    </row>
    <row r="216" spans="1:68" hidden="1" x14ac:dyDescent="0.25">
      <c r="A216" s="3">
        <v>13</v>
      </c>
      <c r="B216" s="3" t="s">
        <v>328</v>
      </c>
      <c r="C216" s="3" t="s">
        <v>183</v>
      </c>
      <c r="D216" s="3" t="s">
        <v>285</v>
      </c>
      <c r="E216" s="14">
        <f t="shared" si="925"/>
        <v>2200</v>
      </c>
      <c r="F216" s="14">
        <f t="shared" si="766"/>
        <v>2201</v>
      </c>
      <c r="G216" s="14">
        <f t="shared" ref="G216:G219" si="953">F216+F$6</f>
        <v>2203</v>
      </c>
      <c r="H216" s="14">
        <f t="shared" ref="H216:H219" si="954">G216+G$6</f>
        <v>2205</v>
      </c>
      <c r="I216" s="14">
        <f t="shared" ref="I216:J216" si="955">H216+H$6</f>
        <v>2207</v>
      </c>
      <c r="J216" s="14">
        <f t="shared" si="955"/>
        <v>2209</v>
      </c>
      <c r="K216" s="14">
        <f t="shared" ref="K216:K219" si="956">J216+J$6</f>
        <v>2211</v>
      </c>
      <c r="L216" s="14">
        <f t="shared" ref="L216:L219" si="957">K216+K$6</f>
        <v>2213</v>
      </c>
      <c r="M216" s="14">
        <f t="shared" ref="M216:M219" si="958">L216+L$6</f>
        <v>2215</v>
      </c>
      <c r="N216" s="14">
        <f t="shared" ref="N216:X216" si="959">M216+M$6</f>
        <v>2217</v>
      </c>
      <c r="O216" s="14">
        <f t="shared" si="959"/>
        <v>2219</v>
      </c>
      <c r="P216" s="14">
        <f t="shared" si="959"/>
        <v>2221</v>
      </c>
      <c r="Q216" s="14">
        <f t="shared" si="927"/>
        <v>2223</v>
      </c>
      <c r="R216" s="14">
        <f t="shared" si="927"/>
        <v>2225</v>
      </c>
      <c r="S216" s="14">
        <f t="shared" si="959"/>
        <v>2227</v>
      </c>
      <c r="T216" s="14">
        <f t="shared" si="959"/>
        <v>2229</v>
      </c>
      <c r="U216" s="14">
        <f t="shared" si="959"/>
        <v>2231</v>
      </c>
      <c r="V216" s="14">
        <f t="shared" si="959"/>
        <v>2233</v>
      </c>
      <c r="W216" s="14">
        <f t="shared" si="959"/>
        <v>2235</v>
      </c>
      <c r="X216" s="14">
        <f t="shared" si="959"/>
        <v>2237</v>
      </c>
      <c r="Y216" s="14">
        <f t="shared" si="842"/>
        <v>2239</v>
      </c>
      <c r="Z216" s="14">
        <f t="shared" si="842"/>
        <v>2241</v>
      </c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</row>
    <row r="217" spans="1:68" hidden="1" x14ac:dyDescent="0.25">
      <c r="A217" s="3">
        <v>14</v>
      </c>
      <c r="B217" s="3" t="s">
        <v>328</v>
      </c>
      <c r="C217" s="3" t="s">
        <v>184</v>
      </c>
      <c r="D217" s="3" t="s">
        <v>285</v>
      </c>
      <c r="E217" s="14">
        <f t="shared" si="925"/>
        <v>2400</v>
      </c>
      <c r="F217" s="14">
        <f t="shared" si="766"/>
        <v>2401</v>
      </c>
      <c r="G217" s="14">
        <f t="shared" si="953"/>
        <v>2403</v>
      </c>
      <c r="H217" s="14">
        <f t="shared" si="954"/>
        <v>2405</v>
      </c>
      <c r="I217" s="14">
        <f t="shared" ref="I217:J217" si="960">H217+H$6</f>
        <v>2407</v>
      </c>
      <c r="J217" s="14">
        <f t="shared" si="960"/>
        <v>2409</v>
      </c>
      <c r="K217" s="14">
        <f t="shared" si="956"/>
        <v>2411</v>
      </c>
      <c r="L217" s="14">
        <f t="shared" si="957"/>
        <v>2413</v>
      </c>
      <c r="M217" s="14">
        <f t="shared" si="958"/>
        <v>2415</v>
      </c>
      <c r="N217" s="14">
        <f t="shared" ref="N217:X217" si="961">M217+M$6</f>
        <v>2417</v>
      </c>
      <c r="O217" s="14">
        <f t="shared" si="961"/>
        <v>2419</v>
      </c>
      <c r="P217" s="14">
        <f t="shared" si="961"/>
        <v>2421</v>
      </c>
      <c r="Q217" s="14">
        <f t="shared" si="927"/>
        <v>2423</v>
      </c>
      <c r="R217" s="14">
        <f t="shared" si="927"/>
        <v>2425</v>
      </c>
      <c r="S217" s="14">
        <f t="shared" si="961"/>
        <v>2427</v>
      </c>
      <c r="T217" s="14">
        <f t="shared" si="961"/>
        <v>2429</v>
      </c>
      <c r="U217" s="14">
        <f t="shared" si="961"/>
        <v>2431</v>
      </c>
      <c r="V217" s="14">
        <f t="shared" si="961"/>
        <v>2433</v>
      </c>
      <c r="W217" s="14">
        <f t="shared" si="961"/>
        <v>2435</v>
      </c>
      <c r="X217" s="14">
        <f t="shared" si="961"/>
        <v>2437</v>
      </c>
      <c r="Y217" s="14">
        <f t="shared" si="842"/>
        <v>2439</v>
      </c>
      <c r="Z217" s="14">
        <f t="shared" si="842"/>
        <v>2441</v>
      </c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</row>
    <row r="218" spans="1:68" hidden="1" x14ac:dyDescent="0.25">
      <c r="A218" s="3">
        <v>15</v>
      </c>
      <c r="B218" s="3" t="s">
        <v>328</v>
      </c>
      <c r="C218" s="3" t="s">
        <v>185</v>
      </c>
      <c r="D218" s="3" t="s">
        <v>285</v>
      </c>
      <c r="E218" s="14">
        <f t="shared" si="925"/>
        <v>2600</v>
      </c>
      <c r="F218" s="14">
        <f t="shared" si="766"/>
        <v>2601</v>
      </c>
      <c r="G218" s="14">
        <f t="shared" si="953"/>
        <v>2603</v>
      </c>
      <c r="H218" s="14">
        <f t="shared" si="954"/>
        <v>2605</v>
      </c>
      <c r="I218" s="14">
        <f t="shared" ref="I218:J218" si="962">H218+H$6</f>
        <v>2607</v>
      </c>
      <c r="J218" s="14">
        <f t="shared" si="962"/>
        <v>2609</v>
      </c>
      <c r="K218" s="14">
        <f t="shared" si="956"/>
        <v>2611</v>
      </c>
      <c r="L218" s="14">
        <f t="shared" si="957"/>
        <v>2613</v>
      </c>
      <c r="M218" s="14">
        <f t="shared" si="958"/>
        <v>2615</v>
      </c>
      <c r="N218" s="14">
        <f t="shared" ref="N218:X218" si="963">M218+M$6</f>
        <v>2617</v>
      </c>
      <c r="O218" s="14">
        <f t="shared" si="963"/>
        <v>2619</v>
      </c>
      <c r="P218" s="14">
        <f t="shared" si="963"/>
        <v>2621</v>
      </c>
      <c r="Q218" s="14">
        <f t="shared" si="927"/>
        <v>2623</v>
      </c>
      <c r="R218" s="14">
        <f t="shared" si="927"/>
        <v>2625</v>
      </c>
      <c r="S218" s="14">
        <f t="shared" si="963"/>
        <v>2627</v>
      </c>
      <c r="T218" s="14">
        <f t="shared" si="963"/>
        <v>2629</v>
      </c>
      <c r="U218" s="14">
        <f t="shared" si="963"/>
        <v>2631</v>
      </c>
      <c r="V218" s="14">
        <f t="shared" si="963"/>
        <v>2633</v>
      </c>
      <c r="W218" s="14">
        <f t="shared" si="963"/>
        <v>2635</v>
      </c>
      <c r="X218" s="14">
        <f t="shared" si="963"/>
        <v>2637</v>
      </c>
      <c r="Y218" s="14">
        <f t="shared" si="842"/>
        <v>2639</v>
      </c>
      <c r="Z218" s="14">
        <f t="shared" si="842"/>
        <v>2641</v>
      </c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</row>
    <row r="219" spans="1:68" hidden="1" x14ac:dyDescent="0.25">
      <c r="A219" s="3">
        <v>16</v>
      </c>
      <c r="B219" s="3" t="s">
        <v>328</v>
      </c>
      <c r="C219" s="3" t="s">
        <v>186</v>
      </c>
      <c r="D219" s="3" t="s">
        <v>285</v>
      </c>
      <c r="E219" s="14">
        <f t="shared" si="925"/>
        <v>2800</v>
      </c>
      <c r="F219" s="14">
        <f t="shared" si="766"/>
        <v>2801</v>
      </c>
      <c r="G219" s="14">
        <f t="shared" si="953"/>
        <v>2803</v>
      </c>
      <c r="H219" s="14">
        <f t="shared" si="954"/>
        <v>2805</v>
      </c>
      <c r="I219" s="14">
        <f t="shared" ref="I219:J219" si="964">H219+H$6</f>
        <v>2807</v>
      </c>
      <c r="J219" s="14">
        <f t="shared" si="964"/>
        <v>2809</v>
      </c>
      <c r="K219" s="14">
        <f t="shared" si="956"/>
        <v>2811</v>
      </c>
      <c r="L219" s="14">
        <f t="shared" si="957"/>
        <v>2813</v>
      </c>
      <c r="M219" s="14">
        <f t="shared" si="958"/>
        <v>2815</v>
      </c>
      <c r="N219" s="14">
        <f t="shared" ref="N219:X219" si="965">M219+M$6</f>
        <v>2817</v>
      </c>
      <c r="O219" s="14">
        <f t="shared" si="965"/>
        <v>2819</v>
      </c>
      <c r="P219" s="14">
        <f t="shared" si="965"/>
        <v>2821</v>
      </c>
      <c r="Q219" s="14">
        <f t="shared" si="927"/>
        <v>2823</v>
      </c>
      <c r="R219" s="14">
        <f t="shared" si="927"/>
        <v>2825</v>
      </c>
      <c r="S219" s="14">
        <f t="shared" si="965"/>
        <v>2827</v>
      </c>
      <c r="T219" s="14">
        <f t="shared" si="965"/>
        <v>2829</v>
      </c>
      <c r="U219" s="14">
        <f t="shared" si="965"/>
        <v>2831</v>
      </c>
      <c r="V219" s="14">
        <f t="shared" si="965"/>
        <v>2833</v>
      </c>
      <c r="W219" s="14">
        <f t="shared" si="965"/>
        <v>2835</v>
      </c>
      <c r="X219" s="14">
        <f t="shared" si="965"/>
        <v>2837</v>
      </c>
      <c r="Y219" s="14">
        <f t="shared" si="842"/>
        <v>2839</v>
      </c>
      <c r="Z219" s="14">
        <f t="shared" si="842"/>
        <v>2841</v>
      </c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</row>
    <row r="220" spans="1:68" hidden="1" x14ac:dyDescent="0.25">
      <c r="A220" s="3">
        <v>17</v>
      </c>
      <c r="B220" s="3" t="s">
        <v>328</v>
      </c>
      <c r="C220" s="3" t="s">
        <v>187</v>
      </c>
      <c r="D220" s="3" t="s">
        <v>324</v>
      </c>
      <c r="E220" s="14">
        <f t="shared" si="925"/>
        <v>3000</v>
      </c>
      <c r="F220" s="14">
        <f t="shared" si="766"/>
        <v>3001</v>
      </c>
      <c r="G220" s="14">
        <f t="shared" ref="G220:G229" si="966">F220+F$6</f>
        <v>3003</v>
      </c>
      <c r="H220" s="14">
        <f t="shared" ref="H220:H229" si="967">G220+G$6</f>
        <v>3005</v>
      </c>
      <c r="I220" s="14">
        <f t="shared" ref="I220:J220" si="968">H220+H$6</f>
        <v>3007</v>
      </c>
      <c r="J220" s="14">
        <f t="shared" si="968"/>
        <v>3009</v>
      </c>
      <c r="K220" s="14">
        <f t="shared" ref="K220:K229" si="969">J220+J$6</f>
        <v>3011</v>
      </c>
      <c r="L220" s="14">
        <f t="shared" ref="L220:L229" si="970">K220+K$6</f>
        <v>3013</v>
      </c>
      <c r="M220" s="14">
        <f t="shared" ref="M220:M229" si="971">L220+L$6</f>
        <v>3015</v>
      </c>
      <c r="N220" s="14">
        <f t="shared" ref="N220:X220" si="972">M220+M$6</f>
        <v>3017</v>
      </c>
      <c r="O220" s="14">
        <f t="shared" si="972"/>
        <v>3019</v>
      </c>
      <c r="P220" s="14">
        <f t="shared" si="972"/>
        <v>3021</v>
      </c>
      <c r="Q220" s="14">
        <f t="shared" si="927"/>
        <v>3023</v>
      </c>
      <c r="R220" s="14">
        <f t="shared" si="927"/>
        <v>3025</v>
      </c>
      <c r="S220" s="14">
        <f t="shared" si="972"/>
        <v>3027</v>
      </c>
      <c r="T220" s="14">
        <f t="shared" si="972"/>
        <v>3029</v>
      </c>
      <c r="U220" s="14">
        <f t="shared" si="972"/>
        <v>3031</v>
      </c>
      <c r="V220" s="14">
        <f t="shared" si="972"/>
        <v>3033</v>
      </c>
      <c r="W220" s="14">
        <f t="shared" si="972"/>
        <v>3035</v>
      </c>
      <c r="X220" s="14">
        <f t="shared" si="972"/>
        <v>3037</v>
      </c>
      <c r="Y220" s="14">
        <f t="shared" si="842"/>
        <v>3039</v>
      </c>
      <c r="Z220" s="14">
        <f t="shared" si="842"/>
        <v>3041</v>
      </c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</row>
    <row r="221" spans="1:68" hidden="1" x14ac:dyDescent="0.25">
      <c r="A221" s="3">
        <v>18</v>
      </c>
      <c r="B221" s="3" t="s">
        <v>328</v>
      </c>
      <c r="C221" s="3" t="s">
        <v>188</v>
      </c>
      <c r="D221" s="3" t="s">
        <v>324</v>
      </c>
      <c r="E221" s="14">
        <f t="shared" si="925"/>
        <v>3200</v>
      </c>
      <c r="F221" s="14">
        <f t="shared" si="766"/>
        <v>3201</v>
      </c>
      <c r="G221" s="14">
        <f t="shared" si="966"/>
        <v>3203</v>
      </c>
      <c r="H221" s="14">
        <f t="shared" si="967"/>
        <v>3205</v>
      </c>
      <c r="I221" s="14">
        <f t="shared" ref="I221:J221" si="973">H221+H$6</f>
        <v>3207</v>
      </c>
      <c r="J221" s="14">
        <f t="shared" si="973"/>
        <v>3209</v>
      </c>
      <c r="K221" s="14">
        <f t="shared" si="969"/>
        <v>3211</v>
      </c>
      <c r="L221" s="14">
        <f t="shared" si="970"/>
        <v>3213</v>
      </c>
      <c r="M221" s="14">
        <f t="shared" si="971"/>
        <v>3215</v>
      </c>
      <c r="N221" s="14">
        <f t="shared" ref="N221:X221" si="974">M221+M$6</f>
        <v>3217</v>
      </c>
      <c r="O221" s="14">
        <f t="shared" si="974"/>
        <v>3219</v>
      </c>
      <c r="P221" s="14">
        <f t="shared" si="974"/>
        <v>3221</v>
      </c>
      <c r="Q221" s="14">
        <f t="shared" si="927"/>
        <v>3223</v>
      </c>
      <c r="R221" s="14">
        <f t="shared" si="927"/>
        <v>3225</v>
      </c>
      <c r="S221" s="14">
        <f t="shared" si="974"/>
        <v>3227</v>
      </c>
      <c r="T221" s="14">
        <f t="shared" si="974"/>
        <v>3229</v>
      </c>
      <c r="U221" s="14">
        <f t="shared" si="974"/>
        <v>3231</v>
      </c>
      <c r="V221" s="14">
        <f t="shared" si="974"/>
        <v>3233</v>
      </c>
      <c r="W221" s="14">
        <f t="shared" si="974"/>
        <v>3235</v>
      </c>
      <c r="X221" s="14">
        <f t="shared" si="974"/>
        <v>3237</v>
      </c>
      <c r="Y221" s="14">
        <f t="shared" si="842"/>
        <v>3239</v>
      </c>
      <c r="Z221" s="14">
        <f t="shared" si="842"/>
        <v>3241</v>
      </c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</row>
    <row r="222" spans="1:68" hidden="1" x14ac:dyDescent="0.25">
      <c r="A222" s="3">
        <v>19</v>
      </c>
      <c r="B222" s="3" t="s">
        <v>328</v>
      </c>
      <c r="C222" s="3" t="s">
        <v>189</v>
      </c>
      <c r="D222" s="3" t="s">
        <v>324</v>
      </c>
      <c r="E222" s="14">
        <f t="shared" si="925"/>
        <v>3400</v>
      </c>
      <c r="F222" s="14">
        <f t="shared" si="766"/>
        <v>3401</v>
      </c>
      <c r="G222" s="14">
        <f t="shared" si="966"/>
        <v>3403</v>
      </c>
      <c r="H222" s="14">
        <f t="shared" si="967"/>
        <v>3405</v>
      </c>
      <c r="I222" s="14">
        <f t="shared" ref="I222:J222" si="975">H222+H$6</f>
        <v>3407</v>
      </c>
      <c r="J222" s="14">
        <f t="shared" si="975"/>
        <v>3409</v>
      </c>
      <c r="K222" s="14">
        <f t="shared" si="969"/>
        <v>3411</v>
      </c>
      <c r="L222" s="14">
        <f t="shared" si="970"/>
        <v>3413</v>
      </c>
      <c r="M222" s="14">
        <f t="shared" si="971"/>
        <v>3415</v>
      </c>
      <c r="N222" s="14">
        <f t="shared" ref="N222:X222" si="976">M222+M$6</f>
        <v>3417</v>
      </c>
      <c r="O222" s="14">
        <f t="shared" si="976"/>
        <v>3419</v>
      </c>
      <c r="P222" s="14">
        <f t="shared" si="976"/>
        <v>3421</v>
      </c>
      <c r="Q222" s="14">
        <f t="shared" si="927"/>
        <v>3423</v>
      </c>
      <c r="R222" s="14">
        <f t="shared" si="927"/>
        <v>3425</v>
      </c>
      <c r="S222" s="14">
        <f t="shared" si="976"/>
        <v>3427</v>
      </c>
      <c r="T222" s="14">
        <f t="shared" si="976"/>
        <v>3429</v>
      </c>
      <c r="U222" s="14">
        <f t="shared" si="976"/>
        <v>3431</v>
      </c>
      <c r="V222" s="14">
        <f t="shared" si="976"/>
        <v>3433</v>
      </c>
      <c r="W222" s="14">
        <f t="shared" si="976"/>
        <v>3435</v>
      </c>
      <c r="X222" s="14">
        <f t="shared" si="976"/>
        <v>3437</v>
      </c>
      <c r="Y222" s="14">
        <f t="shared" si="842"/>
        <v>3439</v>
      </c>
      <c r="Z222" s="14">
        <f t="shared" si="842"/>
        <v>3441</v>
      </c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</row>
    <row r="223" spans="1:68" hidden="1" x14ac:dyDescent="0.25">
      <c r="A223" s="3">
        <v>20</v>
      </c>
      <c r="B223" s="3" t="s">
        <v>328</v>
      </c>
      <c r="C223" s="3" t="s">
        <v>190</v>
      </c>
      <c r="D223" s="3" t="s">
        <v>324</v>
      </c>
      <c r="E223" s="14">
        <f t="shared" si="925"/>
        <v>3600</v>
      </c>
      <c r="F223" s="14">
        <f t="shared" si="766"/>
        <v>3601</v>
      </c>
      <c r="G223" s="14">
        <f t="shared" si="966"/>
        <v>3603</v>
      </c>
      <c r="H223" s="14">
        <f t="shared" si="967"/>
        <v>3605</v>
      </c>
      <c r="I223" s="14">
        <f t="shared" ref="I223:J223" si="977">H223+H$6</f>
        <v>3607</v>
      </c>
      <c r="J223" s="14">
        <f t="shared" si="977"/>
        <v>3609</v>
      </c>
      <c r="K223" s="14">
        <f t="shared" si="969"/>
        <v>3611</v>
      </c>
      <c r="L223" s="14">
        <f t="shared" si="970"/>
        <v>3613</v>
      </c>
      <c r="M223" s="14">
        <f t="shared" si="971"/>
        <v>3615</v>
      </c>
      <c r="N223" s="14">
        <f t="shared" ref="N223:X239" si="978">M223+M$6</f>
        <v>3617</v>
      </c>
      <c r="O223" s="14">
        <f t="shared" si="978"/>
        <v>3619</v>
      </c>
      <c r="P223" s="14">
        <f t="shared" si="978"/>
        <v>3621</v>
      </c>
      <c r="Q223" s="14">
        <f t="shared" si="978"/>
        <v>3623</v>
      </c>
      <c r="R223" s="14">
        <f t="shared" si="978"/>
        <v>3625</v>
      </c>
      <c r="S223" s="14">
        <f t="shared" si="978"/>
        <v>3627</v>
      </c>
      <c r="T223" s="14">
        <f t="shared" si="978"/>
        <v>3629</v>
      </c>
      <c r="U223" s="14">
        <f t="shared" si="978"/>
        <v>3631</v>
      </c>
      <c r="V223" s="14">
        <f t="shared" si="978"/>
        <v>3633</v>
      </c>
      <c r="W223" s="14">
        <f t="shared" si="978"/>
        <v>3635</v>
      </c>
      <c r="X223" s="14">
        <f t="shared" si="978"/>
        <v>3637</v>
      </c>
      <c r="Y223" s="14">
        <f t="shared" si="842"/>
        <v>3639</v>
      </c>
      <c r="Z223" s="14">
        <f t="shared" si="842"/>
        <v>3641</v>
      </c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</row>
    <row r="224" spans="1:68" hidden="1" x14ac:dyDescent="0.25">
      <c r="A224" s="3">
        <v>21</v>
      </c>
      <c r="B224" s="3" t="s">
        <v>328</v>
      </c>
      <c r="C224" s="3" t="s">
        <v>191</v>
      </c>
      <c r="D224" s="3" t="s">
        <v>324</v>
      </c>
      <c r="E224" s="14">
        <f t="shared" si="925"/>
        <v>3800</v>
      </c>
      <c r="F224" s="14">
        <f t="shared" si="766"/>
        <v>3801</v>
      </c>
      <c r="G224" s="14">
        <f t="shared" si="966"/>
        <v>3803</v>
      </c>
      <c r="H224" s="14">
        <f t="shared" si="967"/>
        <v>3805</v>
      </c>
      <c r="I224" s="14">
        <f t="shared" ref="I224:J224" si="979">H224+H$6</f>
        <v>3807</v>
      </c>
      <c r="J224" s="14">
        <f t="shared" si="979"/>
        <v>3809</v>
      </c>
      <c r="K224" s="14">
        <f t="shared" si="969"/>
        <v>3811</v>
      </c>
      <c r="L224" s="14">
        <f t="shared" si="970"/>
        <v>3813</v>
      </c>
      <c r="M224" s="14">
        <f t="shared" si="971"/>
        <v>3815</v>
      </c>
      <c r="N224" s="14">
        <f t="shared" ref="N224:X224" si="980">M224+M$6</f>
        <v>3817</v>
      </c>
      <c r="O224" s="14">
        <f t="shared" si="980"/>
        <v>3819</v>
      </c>
      <c r="P224" s="14">
        <f t="shared" si="980"/>
        <v>3821</v>
      </c>
      <c r="Q224" s="14">
        <f t="shared" si="978"/>
        <v>3823</v>
      </c>
      <c r="R224" s="14">
        <f t="shared" si="978"/>
        <v>3825</v>
      </c>
      <c r="S224" s="14">
        <f t="shared" si="980"/>
        <v>3827</v>
      </c>
      <c r="T224" s="14">
        <f t="shared" si="980"/>
        <v>3829</v>
      </c>
      <c r="U224" s="14">
        <f t="shared" si="980"/>
        <v>3831</v>
      </c>
      <c r="V224" s="14">
        <f t="shared" si="980"/>
        <v>3833</v>
      </c>
      <c r="W224" s="14">
        <f t="shared" si="980"/>
        <v>3835</v>
      </c>
      <c r="X224" s="14">
        <f t="shared" si="980"/>
        <v>3837</v>
      </c>
      <c r="Y224" s="14">
        <f t="shared" si="842"/>
        <v>3839</v>
      </c>
      <c r="Z224" s="14">
        <f t="shared" si="842"/>
        <v>3841</v>
      </c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</row>
    <row r="225" spans="1:68" hidden="1" x14ac:dyDescent="0.25">
      <c r="A225" s="3">
        <v>22</v>
      </c>
      <c r="B225" s="3" t="s">
        <v>328</v>
      </c>
      <c r="C225" s="3" t="s">
        <v>192</v>
      </c>
      <c r="D225" s="3" t="s">
        <v>324</v>
      </c>
      <c r="E225" s="14">
        <f t="shared" si="925"/>
        <v>4000</v>
      </c>
      <c r="F225" s="14">
        <f t="shared" si="766"/>
        <v>4001</v>
      </c>
      <c r="G225" s="14">
        <f t="shared" si="966"/>
        <v>4003</v>
      </c>
      <c r="H225" s="14">
        <f t="shared" si="967"/>
        <v>4005</v>
      </c>
      <c r="I225" s="14">
        <f t="shared" ref="I225:J225" si="981">H225+H$6</f>
        <v>4007</v>
      </c>
      <c r="J225" s="14">
        <f t="shared" si="981"/>
        <v>4009</v>
      </c>
      <c r="K225" s="14">
        <f t="shared" si="969"/>
        <v>4011</v>
      </c>
      <c r="L225" s="14">
        <f t="shared" si="970"/>
        <v>4013</v>
      </c>
      <c r="M225" s="14">
        <f t="shared" si="971"/>
        <v>4015</v>
      </c>
      <c r="N225" s="14">
        <f t="shared" ref="N225:X225" si="982">M225+M$6</f>
        <v>4017</v>
      </c>
      <c r="O225" s="14">
        <f t="shared" si="982"/>
        <v>4019</v>
      </c>
      <c r="P225" s="14">
        <f t="shared" si="982"/>
        <v>4021</v>
      </c>
      <c r="Q225" s="14">
        <f t="shared" si="978"/>
        <v>4023</v>
      </c>
      <c r="R225" s="14">
        <f t="shared" si="978"/>
        <v>4025</v>
      </c>
      <c r="S225" s="14">
        <f t="shared" si="982"/>
        <v>4027</v>
      </c>
      <c r="T225" s="14">
        <f t="shared" si="982"/>
        <v>4029</v>
      </c>
      <c r="U225" s="14">
        <f t="shared" si="982"/>
        <v>4031</v>
      </c>
      <c r="V225" s="14">
        <f t="shared" si="982"/>
        <v>4033</v>
      </c>
      <c r="W225" s="14">
        <f t="shared" si="982"/>
        <v>4035</v>
      </c>
      <c r="X225" s="14">
        <f t="shared" si="982"/>
        <v>4037</v>
      </c>
      <c r="Y225" s="14">
        <f t="shared" si="842"/>
        <v>4039</v>
      </c>
      <c r="Z225" s="14">
        <f t="shared" si="842"/>
        <v>4041</v>
      </c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</row>
    <row r="226" spans="1:68" hidden="1" x14ac:dyDescent="0.25">
      <c r="A226" s="3">
        <v>23</v>
      </c>
      <c r="B226" s="3" t="s">
        <v>328</v>
      </c>
      <c r="C226" s="3" t="s">
        <v>193</v>
      </c>
      <c r="D226" s="3" t="s">
        <v>324</v>
      </c>
      <c r="E226" s="14">
        <f t="shared" si="925"/>
        <v>4200</v>
      </c>
      <c r="F226" s="14">
        <f t="shared" si="766"/>
        <v>4201</v>
      </c>
      <c r="G226" s="14">
        <f t="shared" si="966"/>
        <v>4203</v>
      </c>
      <c r="H226" s="14">
        <f t="shared" si="967"/>
        <v>4205</v>
      </c>
      <c r="I226" s="14">
        <f t="shared" ref="I226:J226" si="983">H226+H$6</f>
        <v>4207</v>
      </c>
      <c r="J226" s="14">
        <f t="shared" si="983"/>
        <v>4209</v>
      </c>
      <c r="K226" s="14">
        <f t="shared" si="969"/>
        <v>4211</v>
      </c>
      <c r="L226" s="14">
        <f t="shared" si="970"/>
        <v>4213</v>
      </c>
      <c r="M226" s="14">
        <f t="shared" si="971"/>
        <v>4215</v>
      </c>
      <c r="N226" s="14">
        <f t="shared" ref="N226:X226" si="984">M226+M$6</f>
        <v>4217</v>
      </c>
      <c r="O226" s="14">
        <f t="shared" si="984"/>
        <v>4219</v>
      </c>
      <c r="P226" s="14">
        <f t="shared" si="984"/>
        <v>4221</v>
      </c>
      <c r="Q226" s="14">
        <f t="shared" si="978"/>
        <v>4223</v>
      </c>
      <c r="R226" s="14">
        <f t="shared" si="978"/>
        <v>4225</v>
      </c>
      <c r="S226" s="14">
        <f t="shared" si="984"/>
        <v>4227</v>
      </c>
      <c r="T226" s="14">
        <f t="shared" si="984"/>
        <v>4229</v>
      </c>
      <c r="U226" s="14">
        <f t="shared" si="984"/>
        <v>4231</v>
      </c>
      <c r="V226" s="14">
        <f t="shared" si="984"/>
        <v>4233</v>
      </c>
      <c r="W226" s="14">
        <f t="shared" si="984"/>
        <v>4235</v>
      </c>
      <c r="X226" s="14">
        <f t="shared" si="984"/>
        <v>4237</v>
      </c>
      <c r="Y226" s="14">
        <f t="shared" si="842"/>
        <v>4239</v>
      </c>
      <c r="Z226" s="14">
        <f t="shared" si="842"/>
        <v>4241</v>
      </c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</row>
    <row r="227" spans="1:68" hidden="1" x14ac:dyDescent="0.25">
      <c r="A227" s="3">
        <v>24</v>
      </c>
      <c r="B227" s="3" t="s">
        <v>328</v>
      </c>
      <c r="C227" s="3" t="s">
        <v>194</v>
      </c>
      <c r="D227" s="3" t="s">
        <v>324</v>
      </c>
      <c r="E227" s="14">
        <f t="shared" si="925"/>
        <v>4400</v>
      </c>
      <c r="F227" s="14">
        <f t="shared" si="766"/>
        <v>4401</v>
      </c>
      <c r="G227" s="14">
        <f t="shared" si="966"/>
        <v>4403</v>
      </c>
      <c r="H227" s="14">
        <f t="shared" si="967"/>
        <v>4405</v>
      </c>
      <c r="I227" s="14">
        <f t="shared" ref="I227:J227" si="985">H227+H$6</f>
        <v>4407</v>
      </c>
      <c r="J227" s="14">
        <f t="shared" si="985"/>
        <v>4409</v>
      </c>
      <c r="K227" s="14">
        <f t="shared" si="969"/>
        <v>4411</v>
      </c>
      <c r="L227" s="14">
        <f t="shared" si="970"/>
        <v>4413</v>
      </c>
      <c r="M227" s="14">
        <f t="shared" si="971"/>
        <v>4415</v>
      </c>
      <c r="N227" s="14">
        <f t="shared" ref="N227:X227" si="986">M227+M$6</f>
        <v>4417</v>
      </c>
      <c r="O227" s="14">
        <f t="shared" si="986"/>
        <v>4419</v>
      </c>
      <c r="P227" s="14">
        <f t="shared" si="986"/>
        <v>4421</v>
      </c>
      <c r="Q227" s="14">
        <f t="shared" si="978"/>
        <v>4423</v>
      </c>
      <c r="R227" s="14">
        <f t="shared" si="978"/>
        <v>4425</v>
      </c>
      <c r="S227" s="14">
        <f t="shared" si="986"/>
        <v>4427</v>
      </c>
      <c r="T227" s="14">
        <f t="shared" si="986"/>
        <v>4429</v>
      </c>
      <c r="U227" s="14">
        <f t="shared" si="986"/>
        <v>4431</v>
      </c>
      <c r="V227" s="14">
        <f t="shared" si="986"/>
        <v>4433</v>
      </c>
      <c r="W227" s="14">
        <f t="shared" si="986"/>
        <v>4435</v>
      </c>
      <c r="X227" s="14">
        <f t="shared" si="986"/>
        <v>4437</v>
      </c>
      <c r="Y227" s="14">
        <f t="shared" si="842"/>
        <v>4439</v>
      </c>
      <c r="Z227" s="14">
        <f t="shared" si="842"/>
        <v>4441</v>
      </c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</row>
    <row r="228" spans="1:68" hidden="1" x14ac:dyDescent="0.25">
      <c r="A228" s="3">
        <v>25</v>
      </c>
      <c r="B228" s="3" t="s">
        <v>328</v>
      </c>
      <c r="C228" s="3" t="s">
        <v>195</v>
      </c>
      <c r="D228" s="3" t="s">
        <v>324</v>
      </c>
      <c r="E228" s="14">
        <f t="shared" si="925"/>
        <v>4600</v>
      </c>
      <c r="F228" s="14">
        <f t="shared" si="766"/>
        <v>4601</v>
      </c>
      <c r="G228" s="14">
        <f t="shared" si="966"/>
        <v>4603</v>
      </c>
      <c r="H228" s="14">
        <f t="shared" si="967"/>
        <v>4605</v>
      </c>
      <c r="I228" s="14">
        <f t="shared" ref="I228:J228" si="987">H228+H$6</f>
        <v>4607</v>
      </c>
      <c r="J228" s="14">
        <f t="shared" si="987"/>
        <v>4609</v>
      </c>
      <c r="K228" s="14">
        <f t="shared" si="969"/>
        <v>4611</v>
      </c>
      <c r="L228" s="14">
        <f t="shared" si="970"/>
        <v>4613</v>
      </c>
      <c r="M228" s="14">
        <f t="shared" si="971"/>
        <v>4615</v>
      </c>
      <c r="N228" s="14">
        <f t="shared" ref="N228:X228" si="988">M228+M$6</f>
        <v>4617</v>
      </c>
      <c r="O228" s="14">
        <f t="shared" si="988"/>
        <v>4619</v>
      </c>
      <c r="P228" s="14">
        <f t="shared" si="988"/>
        <v>4621</v>
      </c>
      <c r="Q228" s="14">
        <f t="shared" si="978"/>
        <v>4623</v>
      </c>
      <c r="R228" s="14">
        <f t="shared" si="978"/>
        <v>4625</v>
      </c>
      <c r="S228" s="14">
        <f t="shared" si="988"/>
        <v>4627</v>
      </c>
      <c r="T228" s="14">
        <f t="shared" si="988"/>
        <v>4629</v>
      </c>
      <c r="U228" s="14">
        <f t="shared" si="988"/>
        <v>4631</v>
      </c>
      <c r="V228" s="14">
        <f t="shared" si="988"/>
        <v>4633</v>
      </c>
      <c r="W228" s="14">
        <f t="shared" si="988"/>
        <v>4635</v>
      </c>
      <c r="X228" s="14">
        <f t="shared" si="988"/>
        <v>4637</v>
      </c>
      <c r="Y228" s="14">
        <f t="shared" si="842"/>
        <v>4639</v>
      </c>
      <c r="Z228" s="14">
        <f t="shared" si="842"/>
        <v>4641</v>
      </c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</row>
    <row r="229" spans="1:68" hidden="1" x14ac:dyDescent="0.25">
      <c r="A229" s="3">
        <v>26</v>
      </c>
      <c r="B229" s="3" t="s">
        <v>328</v>
      </c>
      <c r="C229" s="3" t="s">
        <v>196</v>
      </c>
      <c r="D229" s="3" t="s">
        <v>324</v>
      </c>
      <c r="E229" s="14">
        <f t="shared" si="925"/>
        <v>4800</v>
      </c>
      <c r="F229" s="14">
        <f t="shared" si="766"/>
        <v>4801</v>
      </c>
      <c r="G229" s="14">
        <f t="shared" si="966"/>
        <v>4803</v>
      </c>
      <c r="H229" s="14">
        <f t="shared" si="967"/>
        <v>4805</v>
      </c>
      <c r="I229" s="14">
        <f t="shared" ref="I229:J229" si="989">H229+H$6</f>
        <v>4807</v>
      </c>
      <c r="J229" s="14">
        <f t="shared" si="989"/>
        <v>4809</v>
      </c>
      <c r="K229" s="14">
        <f t="shared" si="969"/>
        <v>4811</v>
      </c>
      <c r="L229" s="14">
        <f t="shared" si="970"/>
        <v>4813</v>
      </c>
      <c r="M229" s="14">
        <f t="shared" si="971"/>
        <v>4815</v>
      </c>
      <c r="N229" s="14">
        <f t="shared" ref="N229:X229" si="990">M229+M$6</f>
        <v>4817</v>
      </c>
      <c r="O229" s="14">
        <f t="shared" si="990"/>
        <v>4819</v>
      </c>
      <c r="P229" s="14">
        <f t="shared" si="990"/>
        <v>4821</v>
      </c>
      <c r="Q229" s="14">
        <f t="shared" si="978"/>
        <v>4823</v>
      </c>
      <c r="R229" s="14">
        <f t="shared" si="978"/>
        <v>4825</v>
      </c>
      <c r="S229" s="14">
        <f t="shared" si="990"/>
        <v>4827</v>
      </c>
      <c r="T229" s="14">
        <f t="shared" si="990"/>
        <v>4829</v>
      </c>
      <c r="U229" s="14">
        <f t="shared" si="990"/>
        <v>4831</v>
      </c>
      <c r="V229" s="14">
        <f t="shared" si="990"/>
        <v>4833</v>
      </c>
      <c r="W229" s="14">
        <f t="shared" si="990"/>
        <v>4835</v>
      </c>
      <c r="X229" s="14">
        <f t="shared" si="990"/>
        <v>4837</v>
      </c>
      <c r="Y229" s="14">
        <f t="shared" si="842"/>
        <v>4839</v>
      </c>
      <c r="Z229" s="14">
        <f t="shared" si="842"/>
        <v>4841</v>
      </c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</row>
    <row r="230" spans="1:68" hidden="1" x14ac:dyDescent="0.25">
      <c r="A230" s="3">
        <v>27</v>
      </c>
      <c r="B230" s="3" t="s">
        <v>328</v>
      </c>
      <c r="C230" s="6" t="s">
        <v>588</v>
      </c>
      <c r="D230" s="6" t="s">
        <v>324</v>
      </c>
      <c r="E230" s="17">
        <f t="shared" si="925"/>
        <v>5000</v>
      </c>
      <c r="F230" s="14">
        <f t="shared" ref="F230:F232" si="991">E230+1</f>
        <v>5001</v>
      </c>
      <c r="G230" s="14">
        <f t="shared" ref="G230:G232" si="992">F230+F$6</f>
        <v>5003</v>
      </c>
      <c r="H230" s="14">
        <f t="shared" ref="H230:H232" si="993">G230+G$6</f>
        <v>5005</v>
      </c>
      <c r="I230" s="14">
        <f t="shared" ref="I230:I232" si="994">H230+H$6</f>
        <v>5007</v>
      </c>
      <c r="J230" s="14">
        <f t="shared" ref="J230:J232" si="995">I230+I$6</f>
        <v>5009</v>
      </c>
      <c r="K230" s="14">
        <f t="shared" ref="K230:K232" si="996">J230+J$6</f>
        <v>5011</v>
      </c>
      <c r="L230" s="14">
        <f t="shared" ref="L230:L232" si="997">K230+K$6</f>
        <v>5013</v>
      </c>
      <c r="M230" s="14">
        <f t="shared" ref="M230:M232" si="998">L230+L$6</f>
        <v>5015</v>
      </c>
      <c r="N230" s="14">
        <f t="shared" ref="N230:N232" si="999">M230+M$6</f>
        <v>5017</v>
      </c>
      <c r="O230" s="14">
        <f t="shared" ref="O230:O232" si="1000">N230+N$6</f>
        <v>5019</v>
      </c>
      <c r="P230" s="14">
        <f t="shared" ref="P230:P232" si="1001">O230+O$6</f>
        <v>5021</v>
      </c>
      <c r="Q230" s="14">
        <f t="shared" ref="Q230:Q232" si="1002">P230+P$6</f>
        <v>5023</v>
      </c>
      <c r="R230" s="14">
        <f t="shared" ref="R230:R232" si="1003">Q230+Q$6</f>
        <v>5025</v>
      </c>
      <c r="S230" s="14">
        <f t="shared" ref="S230:S232" si="1004">R230+R$6</f>
        <v>5027</v>
      </c>
      <c r="T230" s="14">
        <f t="shared" ref="T230:T232" si="1005">S230+S$6</f>
        <v>5029</v>
      </c>
      <c r="U230" s="14">
        <f t="shared" ref="U230:U232" si="1006">T230+T$6</f>
        <v>5031</v>
      </c>
      <c r="V230" s="14">
        <f t="shared" ref="V230:V232" si="1007">U230+U$6</f>
        <v>5033</v>
      </c>
      <c r="W230" s="14">
        <f t="shared" ref="W230:W232" si="1008">V230+V$6</f>
        <v>5035</v>
      </c>
      <c r="X230" s="14">
        <f t="shared" ref="X230:X232" si="1009">W230+W$6</f>
        <v>5037</v>
      </c>
      <c r="Y230" s="14">
        <f t="shared" ref="Y230:Y232" si="1010">X230+X$6</f>
        <v>5039</v>
      </c>
      <c r="Z230" s="14">
        <f t="shared" ref="Z230:Z232" si="1011">Y230+Y$6</f>
        <v>5041</v>
      </c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</row>
    <row r="231" spans="1:68" hidden="1" x14ac:dyDescent="0.25">
      <c r="A231" s="3">
        <v>28</v>
      </c>
      <c r="B231" s="3" t="s">
        <v>328</v>
      </c>
      <c r="C231" s="6" t="s">
        <v>589</v>
      </c>
      <c r="D231" s="6" t="s">
        <v>324</v>
      </c>
      <c r="E231" s="17">
        <f t="shared" si="925"/>
        <v>5200</v>
      </c>
      <c r="F231" s="14">
        <f t="shared" si="991"/>
        <v>5201</v>
      </c>
      <c r="G231" s="14">
        <f t="shared" si="992"/>
        <v>5203</v>
      </c>
      <c r="H231" s="14">
        <f t="shared" si="993"/>
        <v>5205</v>
      </c>
      <c r="I231" s="14">
        <f t="shared" si="994"/>
        <v>5207</v>
      </c>
      <c r="J231" s="14">
        <f t="shared" si="995"/>
        <v>5209</v>
      </c>
      <c r="K231" s="14">
        <f t="shared" si="996"/>
        <v>5211</v>
      </c>
      <c r="L231" s="14">
        <f t="shared" si="997"/>
        <v>5213</v>
      </c>
      <c r="M231" s="14">
        <f t="shared" si="998"/>
        <v>5215</v>
      </c>
      <c r="N231" s="14">
        <f t="shared" si="999"/>
        <v>5217</v>
      </c>
      <c r="O231" s="14">
        <f t="shared" si="1000"/>
        <v>5219</v>
      </c>
      <c r="P231" s="14">
        <f t="shared" si="1001"/>
        <v>5221</v>
      </c>
      <c r="Q231" s="14">
        <f t="shared" si="1002"/>
        <v>5223</v>
      </c>
      <c r="R231" s="14">
        <f t="shared" si="1003"/>
        <v>5225</v>
      </c>
      <c r="S231" s="14">
        <f t="shared" si="1004"/>
        <v>5227</v>
      </c>
      <c r="T231" s="14">
        <f t="shared" si="1005"/>
        <v>5229</v>
      </c>
      <c r="U231" s="14">
        <f t="shared" si="1006"/>
        <v>5231</v>
      </c>
      <c r="V231" s="14">
        <f t="shared" si="1007"/>
        <v>5233</v>
      </c>
      <c r="W231" s="14">
        <f t="shared" si="1008"/>
        <v>5235</v>
      </c>
      <c r="X231" s="14">
        <f t="shared" si="1009"/>
        <v>5237</v>
      </c>
      <c r="Y231" s="14">
        <f t="shared" si="1010"/>
        <v>5239</v>
      </c>
      <c r="Z231" s="14">
        <f t="shared" si="1011"/>
        <v>5241</v>
      </c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</row>
    <row r="232" spans="1:68" hidden="1" x14ac:dyDescent="0.25">
      <c r="A232" s="3">
        <v>29</v>
      </c>
      <c r="B232" s="3" t="s">
        <v>328</v>
      </c>
      <c r="C232" s="3" t="s">
        <v>197</v>
      </c>
      <c r="D232" s="3" t="s">
        <v>325</v>
      </c>
      <c r="E232" s="14">
        <f t="shared" si="925"/>
        <v>5400</v>
      </c>
      <c r="F232" s="14">
        <f t="shared" si="991"/>
        <v>5401</v>
      </c>
      <c r="G232" s="14">
        <f t="shared" si="992"/>
        <v>5403</v>
      </c>
      <c r="H232" s="14">
        <f t="shared" si="993"/>
        <v>5405</v>
      </c>
      <c r="I232" s="14">
        <f t="shared" si="994"/>
        <v>5407</v>
      </c>
      <c r="J232" s="14">
        <f t="shared" si="995"/>
        <v>5409</v>
      </c>
      <c r="K232" s="14">
        <f t="shared" si="996"/>
        <v>5411</v>
      </c>
      <c r="L232" s="14">
        <f t="shared" si="997"/>
        <v>5413</v>
      </c>
      <c r="M232" s="14">
        <f t="shared" si="998"/>
        <v>5415</v>
      </c>
      <c r="N232" s="14">
        <f t="shared" si="999"/>
        <v>5417</v>
      </c>
      <c r="O232" s="14">
        <f t="shared" si="1000"/>
        <v>5419</v>
      </c>
      <c r="P232" s="14">
        <f t="shared" si="1001"/>
        <v>5421</v>
      </c>
      <c r="Q232" s="14">
        <f t="shared" si="1002"/>
        <v>5423</v>
      </c>
      <c r="R232" s="14">
        <f t="shared" si="1003"/>
        <v>5425</v>
      </c>
      <c r="S232" s="14">
        <f t="shared" si="1004"/>
        <v>5427</v>
      </c>
      <c r="T232" s="14">
        <f t="shared" si="1005"/>
        <v>5429</v>
      </c>
      <c r="U232" s="14">
        <f t="shared" si="1006"/>
        <v>5431</v>
      </c>
      <c r="V232" s="14">
        <f t="shared" si="1007"/>
        <v>5433</v>
      </c>
      <c r="W232" s="14">
        <f t="shared" si="1008"/>
        <v>5435</v>
      </c>
      <c r="X232" s="14">
        <f t="shared" si="1009"/>
        <v>5437</v>
      </c>
      <c r="Y232" s="14">
        <f t="shared" si="1010"/>
        <v>5439</v>
      </c>
      <c r="Z232" s="14">
        <f t="shared" si="1011"/>
        <v>5441</v>
      </c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</row>
    <row r="233" spans="1:68" hidden="1" x14ac:dyDescent="0.25">
      <c r="A233" s="3">
        <v>30</v>
      </c>
      <c r="B233" s="3" t="s">
        <v>328</v>
      </c>
      <c r="C233" s="3" t="s">
        <v>198</v>
      </c>
      <c r="D233" s="3" t="s">
        <v>325</v>
      </c>
      <c r="E233" s="14">
        <f t="shared" si="925"/>
        <v>5600</v>
      </c>
      <c r="F233" s="14">
        <f t="shared" si="766"/>
        <v>5601</v>
      </c>
      <c r="G233" s="14">
        <f t="shared" ref="G233:G239" si="1012">F233+F$6</f>
        <v>5603</v>
      </c>
      <c r="H233" s="14">
        <f t="shared" ref="H233:H239" si="1013">G233+G$6</f>
        <v>5605</v>
      </c>
      <c r="I233" s="14">
        <f t="shared" ref="I233:J233" si="1014">H233+H$6</f>
        <v>5607</v>
      </c>
      <c r="J233" s="14">
        <f t="shared" si="1014"/>
        <v>5609</v>
      </c>
      <c r="K233" s="14">
        <f t="shared" ref="K233:K239" si="1015">J233+J$6</f>
        <v>5611</v>
      </c>
      <c r="L233" s="14">
        <f t="shared" ref="L233:L239" si="1016">K233+K$6</f>
        <v>5613</v>
      </c>
      <c r="M233" s="14">
        <f t="shared" ref="M233:M239" si="1017">L233+L$6</f>
        <v>5615</v>
      </c>
      <c r="N233" s="14">
        <f t="shared" ref="N233:X233" si="1018">M233+M$6</f>
        <v>5617</v>
      </c>
      <c r="O233" s="14">
        <f t="shared" si="1018"/>
        <v>5619</v>
      </c>
      <c r="P233" s="14">
        <f t="shared" si="1018"/>
        <v>5621</v>
      </c>
      <c r="Q233" s="14">
        <f t="shared" si="978"/>
        <v>5623</v>
      </c>
      <c r="R233" s="14">
        <f t="shared" si="978"/>
        <v>5625</v>
      </c>
      <c r="S233" s="14">
        <f t="shared" si="1018"/>
        <v>5627</v>
      </c>
      <c r="T233" s="14">
        <f t="shared" si="1018"/>
        <v>5629</v>
      </c>
      <c r="U233" s="14">
        <f t="shared" si="1018"/>
        <v>5631</v>
      </c>
      <c r="V233" s="14">
        <f t="shared" si="1018"/>
        <v>5633</v>
      </c>
      <c r="W233" s="14">
        <f t="shared" si="1018"/>
        <v>5635</v>
      </c>
      <c r="X233" s="14">
        <f t="shared" si="1018"/>
        <v>5637</v>
      </c>
      <c r="Y233" s="14">
        <f t="shared" si="842"/>
        <v>5639</v>
      </c>
      <c r="Z233" s="14">
        <f t="shared" si="842"/>
        <v>5641</v>
      </c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</row>
    <row r="234" spans="1:68" hidden="1" x14ac:dyDescent="0.25">
      <c r="A234" s="3">
        <v>31</v>
      </c>
      <c r="B234" s="3" t="s">
        <v>328</v>
      </c>
      <c r="C234" s="3" t="s">
        <v>199</v>
      </c>
      <c r="D234" s="3" t="s">
        <v>325</v>
      </c>
      <c r="E234" s="14">
        <f t="shared" si="925"/>
        <v>5800</v>
      </c>
      <c r="F234" s="14">
        <f t="shared" si="766"/>
        <v>5801</v>
      </c>
      <c r="G234" s="14">
        <f t="shared" si="1012"/>
        <v>5803</v>
      </c>
      <c r="H234" s="14">
        <f t="shared" si="1013"/>
        <v>5805</v>
      </c>
      <c r="I234" s="14">
        <f t="shared" ref="I234:J234" si="1019">H234+H$6</f>
        <v>5807</v>
      </c>
      <c r="J234" s="14">
        <f t="shared" si="1019"/>
        <v>5809</v>
      </c>
      <c r="K234" s="14">
        <f t="shared" si="1015"/>
        <v>5811</v>
      </c>
      <c r="L234" s="14">
        <f t="shared" si="1016"/>
        <v>5813</v>
      </c>
      <c r="M234" s="14">
        <f t="shared" si="1017"/>
        <v>5815</v>
      </c>
      <c r="N234" s="14">
        <f t="shared" ref="N234:X234" si="1020">M234+M$6</f>
        <v>5817</v>
      </c>
      <c r="O234" s="14">
        <f t="shared" si="1020"/>
        <v>5819</v>
      </c>
      <c r="P234" s="14">
        <f t="shared" si="1020"/>
        <v>5821</v>
      </c>
      <c r="Q234" s="14">
        <f t="shared" si="978"/>
        <v>5823</v>
      </c>
      <c r="R234" s="14">
        <f t="shared" si="978"/>
        <v>5825</v>
      </c>
      <c r="S234" s="14">
        <f t="shared" si="1020"/>
        <v>5827</v>
      </c>
      <c r="T234" s="14">
        <f t="shared" si="1020"/>
        <v>5829</v>
      </c>
      <c r="U234" s="14">
        <f t="shared" si="1020"/>
        <v>5831</v>
      </c>
      <c r="V234" s="14">
        <f t="shared" si="1020"/>
        <v>5833</v>
      </c>
      <c r="W234" s="14">
        <f t="shared" si="1020"/>
        <v>5835</v>
      </c>
      <c r="X234" s="14">
        <f t="shared" si="1020"/>
        <v>5837</v>
      </c>
      <c r="Y234" s="14">
        <f t="shared" si="842"/>
        <v>5839</v>
      </c>
      <c r="Z234" s="14">
        <f t="shared" si="842"/>
        <v>5841</v>
      </c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</row>
    <row r="235" spans="1:68" hidden="1" x14ac:dyDescent="0.25">
      <c r="A235" s="3">
        <v>32</v>
      </c>
      <c r="B235" s="3" t="s">
        <v>328</v>
      </c>
      <c r="C235" s="3" t="s">
        <v>200</v>
      </c>
      <c r="D235" s="3" t="s">
        <v>325</v>
      </c>
      <c r="E235" s="14">
        <f t="shared" si="925"/>
        <v>6000</v>
      </c>
      <c r="F235" s="14">
        <f t="shared" si="766"/>
        <v>6001</v>
      </c>
      <c r="G235" s="14">
        <f t="shared" si="1012"/>
        <v>6003</v>
      </c>
      <c r="H235" s="14">
        <f t="shared" si="1013"/>
        <v>6005</v>
      </c>
      <c r="I235" s="14">
        <f t="shared" ref="I235:J235" si="1021">H235+H$6</f>
        <v>6007</v>
      </c>
      <c r="J235" s="14">
        <f t="shared" si="1021"/>
        <v>6009</v>
      </c>
      <c r="K235" s="14">
        <f t="shared" si="1015"/>
        <v>6011</v>
      </c>
      <c r="L235" s="14">
        <f t="shared" si="1016"/>
        <v>6013</v>
      </c>
      <c r="M235" s="14">
        <f t="shared" si="1017"/>
        <v>6015</v>
      </c>
      <c r="N235" s="14">
        <f t="shared" ref="N235:X235" si="1022">M235+M$6</f>
        <v>6017</v>
      </c>
      <c r="O235" s="14">
        <f t="shared" si="1022"/>
        <v>6019</v>
      </c>
      <c r="P235" s="14">
        <f t="shared" si="1022"/>
        <v>6021</v>
      </c>
      <c r="Q235" s="14">
        <f t="shared" si="978"/>
        <v>6023</v>
      </c>
      <c r="R235" s="14">
        <f t="shared" si="978"/>
        <v>6025</v>
      </c>
      <c r="S235" s="14">
        <f t="shared" si="1022"/>
        <v>6027</v>
      </c>
      <c r="T235" s="14">
        <f t="shared" si="1022"/>
        <v>6029</v>
      </c>
      <c r="U235" s="14">
        <f t="shared" si="1022"/>
        <v>6031</v>
      </c>
      <c r="V235" s="14">
        <f t="shared" si="1022"/>
        <v>6033</v>
      </c>
      <c r="W235" s="14">
        <f t="shared" si="1022"/>
        <v>6035</v>
      </c>
      <c r="X235" s="14">
        <f t="shared" si="1022"/>
        <v>6037</v>
      </c>
      <c r="Y235" s="14">
        <f t="shared" si="842"/>
        <v>6039</v>
      </c>
      <c r="Z235" s="14">
        <f t="shared" si="842"/>
        <v>6041</v>
      </c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</row>
    <row r="236" spans="1:68" hidden="1" x14ac:dyDescent="0.25">
      <c r="A236" s="3">
        <v>33</v>
      </c>
      <c r="B236" s="3" t="s">
        <v>328</v>
      </c>
      <c r="C236" s="3" t="s">
        <v>201</v>
      </c>
      <c r="D236" s="3" t="s">
        <v>325</v>
      </c>
      <c r="E236" s="14">
        <f t="shared" si="925"/>
        <v>6200</v>
      </c>
      <c r="F236" s="14">
        <f t="shared" si="766"/>
        <v>6201</v>
      </c>
      <c r="G236" s="14">
        <f t="shared" si="1012"/>
        <v>6203</v>
      </c>
      <c r="H236" s="14">
        <f t="shared" si="1013"/>
        <v>6205</v>
      </c>
      <c r="I236" s="14">
        <f t="shared" ref="I236:J236" si="1023">H236+H$6</f>
        <v>6207</v>
      </c>
      <c r="J236" s="14">
        <f t="shared" si="1023"/>
        <v>6209</v>
      </c>
      <c r="K236" s="14">
        <f t="shared" si="1015"/>
        <v>6211</v>
      </c>
      <c r="L236" s="14">
        <f t="shared" si="1016"/>
        <v>6213</v>
      </c>
      <c r="M236" s="14">
        <f t="shared" si="1017"/>
        <v>6215</v>
      </c>
      <c r="N236" s="14">
        <f t="shared" ref="N236:X236" si="1024">M236+M$6</f>
        <v>6217</v>
      </c>
      <c r="O236" s="14">
        <f t="shared" si="1024"/>
        <v>6219</v>
      </c>
      <c r="P236" s="14">
        <f t="shared" si="1024"/>
        <v>6221</v>
      </c>
      <c r="Q236" s="14">
        <f t="shared" si="978"/>
        <v>6223</v>
      </c>
      <c r="R236" s="14">
        <f t="shared" si="978"/>
        <v>6225</v>
      </c>
      <c r="S236" s="14">
        <f t="shared" si="1024"/>
        <v>6227</v>
      </c>
      <c r="T236" s="14">
        <f t="shared" si="1024"/>
        <v>6229</v>
      </c>
      <c r="U236" s="14">
        <f t="shared" si="1024"/>
        <v>6231</v>
      </c>
      <c r="V236" s="14">
        <f t="shared" si="1024"/>
        <v>6233</v>
      </c>
      <c r="W236" s="14">
        <f t="shared" si="1024"/>
        <v>6235</v>
      </c>
      <c r="X236" s="14">
        <f t="shared" si="1024"/>
        <v>6237</v>
      </c>
      <c r="Y236" s="14">
        <f t="shared" si="842"/>
        <v>6239</v>
      </c>
      <c r="Z236" s="14">
        <f t="shared" si="842"/>
        <v>6241</v>
      </c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</row>
    <row r="237" spans="1:68" hidden="1" x14ac:dyDescent="0.25">
      <c r="A237" s="3">
        <v>34</v>
      </c>
      <c r="B237" s="3" t="s">
        <v>328</v>
      </c>
      <c r="C237" s="3" t="s">
        <v>202</v>
      </c>
      <c r="D237" s="3" t="s">
        <v>325</v>
      </c>
      <c r="E237" s="14">
        <f t="shared" si="925"/>
        <v>6400</v>
      </c>
      <c r="F237" s="14">
        <f t="shared" si="766"/>
        <v>6401</v>
      </c>
      <c r="G237" s="14">
        <f t="shared" si="1012"/>
        <v>6403</v>
      </c>
      <c r="H237" s="14">
        <f t="shared" si="1013"/>
        <v>6405</v>
      </c>
      <c r="I237" s="14">
        <f t="shared" ref="I237:J237" si="1025">H237+H$6</f>
        <v>6407</v>
      </c>
      <c r="J237" s="14">
        <f t="shared" si="1025"/>
        <v>6409</v>
      </c>
      <c r="K237" s="14">
        <f t="shared" si="1015"/>
        <v>6411</v>
      </c>
      <c r="L237" s="14">
        <f t="shared" si="1016"/>
        <v>6413</v>
      </c>
      <c r="M237" s="14">
        <f t="shared" si="1017"/>
        <v>6415</v>
      </c>
      <c r="N237" s="14">
        <f t="shared" ref="N237:X237" si="1026">M237+M$6</f>
        <v>6417</v>
      </c>
      <c r="O237" s="14">
        <f t="shared" si="1026"/>
        <v>6419</v>
      </c>
      <c r="P237" s="14">
        <f t="shared" si="1026"/>
        <v>6421</v>
      </c>
      <c r="Q237" s="14">
        <f t="shared" si="978"/>
        <v>6423</v>
      </c>
      <c r="R237" s="14">
        <f t="shared" si="978"/>
        <v>6425</v>
      </c>
      <c r="S237" s="14">
        <f t="shared" si="1026"/>
        <v>6427</v>
      </c>
      <c r="T237" s="14">
        <f t="shared" si="1026"/>
        <v>6429</v>
      </c>
      <c r="U237" s="14">
        <f t="shared" si="1026"/>
        <v>6431</v>
      </c>
      <c r="V237" s="14">
        <f t="shared" si="1026"/>
        <v>6433</v>
      </c>
      <c r="W237" s="14">
        <f t="shared" si="1026"/>
        <v>6435</v>
      </c>
      <c r="X237" s="14">
        <f t="shared" si="1026"/>
        <v>6437</v>
      </c>
      <c r="Y237" s="14">
        <f t="shared" si="842"/>
        <v>6439</v>
      </c>
      <c r="Z237" s="14">
        <f t="shared" si="842"/>
        <v>6441</v>
      </c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</row>
    <row r="238" spans="1:68" hidden="1" x14ac:dyDescent="0.25">
      <c r="A238" s="3">
        <v>35</v>
      </c>
      <c r="B238" s="3" t="s">
        <v>328</v>
      </c>
      <c r="C238" s="3" t="s">
        <v>203</v>
      </c>
      <c r="D238" s="3" t="s">
        <v>325</v>
      </c>
      <c r="E238" s="14">
        <f t="shared" si="925"/>
        <v>6600</v>
      </c>
      <c r="F238" s="14">
        <f t="shared" si="766"/>
        <v>6601</v>
      </c>
      <c r="G238" s="14">
        <f t="shared" si="1012"/>
        <v>6603</v>
      </c>
      <c r="H238" s="14">
        <f t="shared" si="1013"/>
        <v>6605</v>
      </c>
      <c r="I238" s="14">
        <f t="shared" ref="I238:J238" si="1027">H238+H$6</f>
        <v>6607</v>
      </c>
      <c r="J238" s="14">
        <f t="shared" si="1027"/>
        <v>6609</v>
      </c>
      <c r="K238" s="14">
        <f t="shared" si="1015"/>
        <v>6611</v>
      </c>
      <c r="L238" s="14">
        <f t="shared" si="1016"/>
        <v>6613</v>
      </c>
      <c r="M238" s="14">
        <f t="shared" si="1017"/>
        <v>6615</v>
      </c>
      <c r="N238" s="14">
        <f t="shared" ref="N238:X238" si="1028">M238+M$6</f>
        <v>6617</v>
      </c>
      <c r="O238" s="14">
        <f t="shared" si="1028"/>
        <v>6619</v>
      </c>
      <c r="P238" s="14">
        <f t="shared" si="1028"/>
        <v>6621</v>
      </c>
      <c r="Q238" s="14">
        <f t="shared" si="978"/>
        <v>6623</v>
      </c>
      <c r="R238" s="14">
        <f t="shared" si="978"/>
        <v>6625</v>
      </c>
      <c r="S238" s="14">
        <f t="shared" si="1028"/>
        <v>6627</v>
      </c>
      <c r="T238" s="14">
        <f t="shared" si="1028"/>
        <v>6629</v>
      </c>
      <c r="U238" s="14">
        <f t="shared" si="1028"/>
        <v>6631</v>
      </c>
      <c r="V238" s="14">
        <f t="shared" si="1028"/>
        <v>6633</v>
      </c>
      <c r="W238" s="14">
        <f t="shared" si="1028"/>
        <v>6635</v>
      </c>
      <c r="X238" s="14">
        <f t="shared" si="1028"/>
        <v>6637</v>
      </c>
      <c r="Y238" s="14">
        <f t="shared" si="842"/>
        <v>6639</v>
      </c>
      <c r="Z238" s="14">
        <f t="shared" si="842"/>
        <v>6641</v>
      </c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</row>
    <row r="239" spans="1:68" hidden="1" x14ac:dyDescent="0.25">
      <c r="A239" s="3">
        <v>36</v>
      </c>
      <c r="B239" s="3" t="s">
        <v>328</v>
      </c>
      <c r="C239" s="3" t="s">
        <v>204</v>
      </c>
      <c r="D239" s="3" t="s">
        <v>325</v>
      </c>
      <c r="E239" s="14">
        <f t="shared" si="925"/>
        <v>6800</v>
      </c>
      <c r="F239" s="14">
        <f t="shared" si="766"/>
        <v>6801</v>
      </c>
      <c r="G239" s="14">
        <f t="shared" si="1012"/>
        <v>6803</v>
      </c>
      <c r="H239" s="14">
        <f t="shared" si="1013"/>
        <v>6805</v>
      </c>
      <c r="I239" s="14">
        <f t="shared" ref="I239:J239" si="1029">H239+H$6</f>
        <v>6807</v>
      </c>
      <c r="J239" s="14">
        <f t="shared" si="1029"/>
        <v>6809</v>
      </c>
      <c r="K239" s="14">
        <f t="shared" si="1015"/>
        <v>6811</v>
      </c>
      <c r="L239" s="14">
        <f t="shared" si="1016"/>
        <v>6813</v>
      </c>
      <c r="M239" s="14">
        <f t="shared" si="1017"/>
        <v>6815</v>
      </c>
      <c r="N239" s="14">
        <f t="shared" ref="N239:X239" si="1030">M239+M$6</f>
        <v>6817</v>
      </c>
      <c r="O239" s="14">
        <f t="shared" si="1030"/>
        <v>6819</v>
      </c>
      <c r="P239" s="14">
        <f t="shared" si="1030"/>
        <v>6821</v>
      </c>
      <c r="Q239" s="14">
        <f t="shared" si="978"/>
        <v>6823</v>
      </c>
      <c r="R239" s="14">
        <f t="shared" si="978"/>
        <v>6825</v>
      </c>
      <c r="S239" s="14">
        <f t="shared" si="1030"/>
        <v>6827</v>
      </c>
      <c r="T239" s="14">
        <f t="shared" si="1030"/>
        <v>6829</v>
      </c>
      <c r="U239" s="14">
        <f t="shared" si="1030"/>
        <v>6831</v>
      </c>
      <c r="V239" s="14">
        <f t="shared" si="1030"/>
        <v>6833</v>
      </c>
      <c r="W239" s="14">
        <f t="shared" si="1030"/>
        <v>6835</v>
      </c>
      <c r="X239" s="14">
        <f t="shared" si="1030"/>
        <v>6837</v>
      </c>
      <c r="Y239" s="14">
        <f t="shared" si="842"/>
        <v>6839</v>
      </c>
      <c r="Z239" s="14">
        <f t="shared" si="842"/>
        <v>6841</v>
      </c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</row>
    <row r="240" spans="1:68" hidden="1" x14ac:dyDescent="0.25">
      <c r="A240" s="3">
        <v>37</v>
      </c>
      <c r="B240" s="3" t="s">
        <v>328</v>
      </c>
      <c r="C240" s="3" t="s">
        <v>263</v>
      </c>
      <c r="D240" s="3" t="s">
        <v>314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</row>
    <row r="241" spans="1:68" hidden="1" x14ac:dyDescent="0.25">
      <c r="A241" s="3">
        <v>38</v>
      </c>
      <c r="B241" s="3" t="s">
        <v>328</v>
      </c>
      <c r="C241" s="3" t="s">
        <v>205</v>
      </c>
      <c r="D241" s="3" t="s">
        <v>314</v>
      </c>
      <c r="E241" s="14">
        <f>E239+$E$2</f>
        <v>7000</v>
      </c>
      <c r="F241" s="14">
        <f t="shared" si="766"/>
        <v>7001</v>
      </c>
      <c r="G241" s="14">
        <f t="shared" ref="G241:G245" si="1031">F241+F$6</f>
        <v>7003</v>
      </c>
      <c r="H241" s="14">
        <f t="shared" ref="H241:H245" si="1032">G241+G$6</f>
        <v>7005</v>
      </c>
      <c r="I241" s="14">
        <f t="shared" ref="I241:J241" si="1033">H241+H$6</f>
        <v>7007</v>
      </c>
      <c r="J241" s="14">
        <f t="shared" si="1033"/>
        <v>7009</v>
      </c>
      <c r="K241" s="14">
        <f t="shared" ref="K241:K245" si="1034">J241+J$6</f>
        <v>7011</v>
      </c>
      <c r="L241" s="14">
        <f t="shared" ref="L241:L245" si="1035">K241+K$6</f>
        <v>7013</v>
      </c>
      <c r="M241" s="14">
        <f t="shared" ref="M241:M245" si="1036">L241+L$6</f>
        <v>7015</v>
      </c>
      <c r="N241" s="14">
        <f t="shared" ref="N241:X241" si="1037">M241+M$6</f>
        <v>7017</v>
      </c>
      <c r="O241" s="14">
        <f t="shared" si="1037"/>
        <v>7019</v>
      </c>
      <c r="P241" s="14">
        <f t="shared" si="1037"/>
        <v>7021</v>
      </c>
      <c r="Q241" s="14">
        <f t="shared" ref="Q241:R241" si="1038">P241+P$6</f>
        <v>7023</v>
      </c>
      <c r="R241" s="14">
        <f t="shared" si="1038"/>
        <v>7025</v>
      </c>
      <c r="S241" s="14">
        <f t="shared" si="1037"/>
        <v>7027</v>
      </c>
      <c r="T241" s="14">
        <f t="shared" si="1037"/>
        <v>7029</v>
      </c>
      <c r="U241" s="14">
        <f t="shared" si="1037"/>
        <v>7031</v>
      </c>
      <c r="V241" s="14">
        <f t="shared" si="1037"/>
        <v>7033</v>
      </c>
      <c r="W241" s="14">
        <f t="shared" si="1037"/>
        <v>7035</v>
      </c>
      <c r="X241" s="14">
        <f t="shared" si="1037"/>
        <v>7037</v>
      </c>
      <c r="Y241" s="14">
        <f t="shared" si="842"/>
        <v>7039</v>
      </c>
      <c r="Z241" s="14">
        <f t="shared" si="842"/>
        <v>7041</v>
      </c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</row>
    <row r="242" spans="1:68" hidden="1" x14ac:dyDescent="0.25">
      <c r="A242" s="3">
        <v>39</v>
      </c>
      <c r="B242" s="3" t="s">
        <v>328</v>
      </c>
      <c r="C242" s="3" t="s">
        <v>206</v>
      </c>
      <c r="D242" s="3" t="s">
        <v>314</v>
      </c>
      <c r="E242" s="14">
        <f t="shared" si="925"/>
        <v>7200</v>
      </c>
      <c r="F242" s="14">
        <f t="shared" si="766"/>
        <v>7201</v>
      </c>
      <c r="G242" s="14">
        <f t="shared" si="1031"/>
        <v>7203</v>
      </c>
      <c r="H242" s="14">
        <f t="shared" si="1032"/>
        <v>7205</v>
      </c>
      <c r="I242" s="14">
        <f t="shared" ref="I242:J242" si="1039">H242+H$6</f>
        <v>7207</v>
      </c>
      <c r="J242" s="14">
        <f t="shared" si="1039"/>
        <v>7209</v>
      </c>
      <c r="K242" s="14">
        <f t="shared" si="1034"/>
        <v>7211</v>
      </c>
      <c r="L242" s="14">
        <f t="shared" si="1035"/>
        <v>7213</v>
      </c>
      <c r="M242" s="14">
        <f t="shared" si="1036"/>
        <v>7215</v>
      </c>
      <c r="N242" s="14">
        <f t="shared" ref="N242:X256" si="1040">M242+M$6</f>
        <v>7217</v>
      </c>
      <c r="O242" s="14">
        <f t="shared" si="1040"/>
        <v>7219</v>
      </c>
      <c r="P242" s="14">
        <f t="shared" si="1040"/>
        <v>7221</v>
      </c>
      <c r="Q242" s="14">
        <f t="shared" si="1040"/>
        <v>7223</v>
      </c>
      <c r="R242" s="14">
        <f t="shared" si="1040"/>
        <v>7225</v>
      </c>
      <c r="S242" s="14">
        <f t="shared" si="1040"/>
        <v>7227</v>
      </c>
      <c r="T242" s="14">
        <f t="shared" si="1040"/>
        <v>7229</v>
      </c>
      <c r="U242" s="14">
        <f t="shared" si="1040"/>
        <v>7231</v>
      </c>
      <c r="V242" s="14">
        <f t="shared" si="1040"/>
        <v>7233</v>
      </c>
      <c r="W242" s="14">
        <f t="shared" si="1040"/>
        <v>7235</v>
      </c>
      <c r="X242" s="14">
        <f t="shared" si="1040"/>
        <v>7237</v>
      </c>
      <c r="Y242" s="14">
        <f t="shared" si="842"/>
        <v>7239</v>
      </c>
      <c r="Z242" s="14">
        <f t="shared" si="842"/>
        <v>7241</v>
      </c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</row>
    <row r="243" spans="1:68" hidden="1" x14ac:dyDescent="0.25">
      <c r="A243" s="3">
        <v>40</v>
      </c>
      <c r="B243" s="3" t="s">
        <v>328</v>
      </c>
      <c r="C243" s="3" t="s">
        <v>207</v>
      </c>
      <c r="D243" s="3" t="s">
        <v>314</v>
      </c>
      <c r="E243" s="14">
        <f t="shared" si="925"/>
        <v>7400</v>
      </c>
      <c r="F243" s="14">
        <f t="shared" si="766"/>
        <v>7401</v>
      </c>
      <c r="G243" s="14">
        <f t="shared" si="1031"/>
        <v>7403</v>
      </c>
      <c r="H243" s="14">
        <f t="shared" si="1032"/>
        <v>7405</v>
      </c>
      <c r="I243" s="14">
        <f t="shared" ref="I243:J243" si="1041">H243+H$6</f>
        <v>7407</v>
      </c>
      <c r="J243" s="14">
        <f t="shared" si="1041"/>
        <v>7409</v>
      </c>
      <c r="K243" s="14">
        <f t="shared" si="1034"/>
        <v>7411</v>
      </c>
      <c r="L243" s="14">
        <f t="shared" si="1035"/>
        <v>7413</v>
      </c>
      <c r="M243" s="14">
        <f t="shared" si="1036"/>
        <v>7415</v>
      </c>
      <c r="N243" s="14">
        <f t="shared" ref="N243:X243" si="1042">M243+M$6</f>
        <v>7417</v>
      </c>
      <c r="O243" s="14">
        <f t="shared" si="1042"/>
        <v>7419</v>
      </c>
      <c r="P243" s="14">
        <f t="shared" si="1042"/>
        <v>7421</v>
      </c>
      <c r="Q243" s="14">
        <f t="shared" si="1040"/>
        <v>7423</v>
      </c>
      <c r="R243" s="14">
        <f t="shared" si="1040"/>
        <v>7425</v>
      </c>
      <c r="S243" s="14">
        <f t="shared" si="1042"/>
        <v>7427</v>
      </c>
      <c r="T243" s="14">
        <f t="shared" si="1042"/>
        <v>7429</v>
      </c>
      <c r="U243" s="14">
        <f t="shared" si="1042"/>
        <v>7431</v>
      </c>
      <c r="V243" s="14">
        <f t="shared" si="1042"/>
        <v>7433</v>
      </c>
      <c r="W243" s="14">
        <f t="shared" si="1042"/>
        <v>7435</v>
      </c>
      <c r="X243" s="14">
        <f t="shared" si="1042"/>
        <v>7437</v>
      </c>
      <c r="Y243" s="14">
        <f t="shared" si="842"/>
        <v>7439</v>
      </c>
      <c r="Z243" s="14">
        <f t="shared" si="842"/>
        <v>7441</v>
      </c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</row>
    <row r="244" spans="1:68" hidden="1" x14ac:dyDescent="0.25">
      <c r="A244" s="3">
        <v>41</v>
      </c>
      <c r="B244" s="3" t="s">
        <v>328</v>
      </c>
      <c r="C244" s="3" t="s">
        <v>208</v>
      </c>
      <c r="D244" s="3" t="s">
        <v>314</v>
      </c>
      <c r="E244" s="14">
        <f t="shared" si="925"/>
        <v>7600</v>
      </c>
      <c r="F244" s="14">
        <f t="shared" si="766"/>
        <v>7601</v>
      </c>
      <c r="G244" s="14">
        <f t="shared" si="1031"/>
        <v>7603</v>
      </c>
      <c r="H244" s="14">
        <f t="shared" si="1032"/>
        <v>7605</v>
      </c>
      <c r="I244" s="14">
        <f t="shared" ref="I244:J244" si="1043">H244+H$6</f>
        <v>7607</v>
      </c>
      <c r="J244" s="14">
        <f t="shared" si="1043"/>
        <v>7609</v>
      </c>
      <c r="K244" s="14">
        <f t="shared" si="1034"/>
        <v>7611</v>
      </c>
      <c r="L244" s="14">
        <f t="shared" si="1035"/>
        <v>7613</v>
      </c>
      <c r="M244" s="14">
        <f t="shared" si="1036"/>
        <v>7615</v>
      </c>
      <c r="N244" s="14">
        <f t="shared" ref="N244:X244" si="1044">M244+M$6</f>
        <v>7617</v>
      </c>
      <c r="O244" s="14">
        <f t="shared" si="1044"/>
        <v>7619</v>
      </c>
      <c r="P244" s="14">
        <f t="shared" si="1044"/>
        <v>7621</v>
      </c>
      <c r="Q244" s="14">
        <f t="shared" si="1040"/>
        <v>7623</v>
      </c>
      <c r="R244" s="14">
        <f t="shared" si="1040"/>
        <v>7625</v>
      </c>
      <c r="S244" s="14">
        <f t="shared" si="1044"/>
        <v>7627</v>
      </c>
      <c r="T244" s="14">
        <f t="shared" si="1044"/>
        <v>7629</v>
      </c>
      <c r="U244" s="14">
        <f t="shared" si="1044"/>
        <v>7631</v>
      </c>
      <c r="V244" s="14">
        <f t="shared" si="1044"/>
        <v>7633</v>
      </c>
      <c r="W244" s="14">
        <f t="shared" si="1044"/>
        <v>7635</v>
      </c>
      <c r="X244" s="14">
        <f t="shared" si="1044"/>
        <v>7637</v>
      </c>
      <c r="Y244" s="14">
        <f t="shared" si="842"/>
        <v>7639</v>
      </c>
      <c r="Z244" s="14">
        <f t="shared" si="842"/>
        <v>7641</v>
      </c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</row>
    <row r="245" spans="1:68" hidden="1" x14ac:dyDescent="0.25">
      <c r="A245" s="3">
        <v>42</v>
      </c>
      <c r="B245" s="3" t="s">
        <v>328</v>
      </c>
      <c r="C245" s="3" t="s">
        <v>209</v>
      </c>
      <c r="D245" s="3" t="s">
        <v>314</v>
      </c>
      <c r="E245" s="14">
        <f t="shared" si="925"/>
        <v>7800</v>
      </c>
      <c r="F245" s="14">
        <f t="shared" si="766"/>
        <v>7801</v>
      </c>
      <c r="G245" s="14">
        <f t="shared" si="1031"/>
        <v>7803</v>
      </c>
      <c r="H245" s="14">
        <f t="shared" si="1032"/>
        <v>7805</v>
      </c>
      <c r="I245" s="14">
        <f t="shared" ref="I245:J245" si="1045">H245+H$6</f>
        <v>7807</v>
      </c>
      <c r="J245" s="14">
        <f t="shared" si="1045"/>
        <v>7809</v>
      </c>
      <c r="K245" s="14">
        <f t="shared" si="1034"/>
        <v>7811</v>
      </c>
      <c r="L245" s="14">
        <f t="shared" si="1035"/>
        <v>7813</v>
      </c>
      <c r="M245" s="14">
        <f t="shared" si="1036"/>
        <v>7815</v>
      </c>
      <c r="N245" s="14">
        <f t="shared" ref="N245:X245" si="1046">M245+M$6</f>
        <v>7817</v>
      </c>
      <c r="O245" s="14">
        <f t="shared" si="1046"/>
        <v>7819</v>
      </c>
      <c r="P245" s="14">
        <f t="shared" si="1046"/>
        <v>7821</v>
      </c>
      <c r="Q245" s="14">
        <f t="shared" si="1040"/>
        <v>7823</v>
      </c>
      <c r="R245" s="14">
        <f t="shared" si="1040"/>
        <v>7825</v>
      </c>
      <c r="S245" s="14">
        <f t="shared" si="1046"/>
        <v>7827</v>
      </c>
      <c r="T245" s="14">
        <f t="shared" si="1046"/>
        <v>7829</v>
      </c>
      <c r="U245" s="14">
        <f t="shared" si="1046"/>
        <v>7831</v>
      </c>
      <c r="V245" s="14">
        <f t="shared" si="1046"/>
        <v>7833</v>
      </c>
      <c r="W245" s="14">
        <f t="shared" si="1046"/>
        <v>7835</v>
      </c>
      <c r="X245" s="14">
        <f t="shared" si="1046"/>
        <v>7837</v>
      </c>
      <c r="Y245" s="14">
        <f t="shared" si="842"/>
        <v>7839</v>
      </c>
      <c r="Z245" s="14">
        <f t="shared" si="842"/>
        <v>7841</v>
      </c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</row>
    <row r="246" spans="1:68" hidden="1" x14ac:dyDescent="0.25">
      <c r="A246" s="3">
        <v>43</v>
      </c>
      <c r="B246" s="3" t="s">
        <v>328</v>
      </c>
      <c r="C246" s="6" t="s">
        <v>576</v>
      </c>
      <c r="D246" s="6" t="s">
        <v>574</v>
      </c>
      <c r="E246" s="17">
        <f t="shared" si="925"/>
        <v>8000</v>
      </c>
      <c r="F246" s="14">
        <f t="shared" ref="F246:F249" si="1047">E246+1</f>
        <v>8001</v>
      </c>
      <c r="G246" s="14">
        <f t="shared" ref="G246:G249" si="1048">F246+F$6</f>
        <v>8003</v>
      </c>
      <c r="H246" s="14">
        <f t="shared" ref="H246:H249" si="1049">G246+G$6</f>
        <v>8005</v>
      </c>
      <c r="I246" s="14">
        <f t="shared" ref="I246:I249" si="1050">H246+H$6</f>
        <v>8007</v>
      </c>
      <c r="J246" s="14">
        <f t="shared" ref="J246:J249" si="1051">I246+I$6</f>
        <v>8009</v>
      </c>
      <c r="K246" s="14">
        <f t="shared" ref="K246:K249" si="1052">J246+J$6</f>
        <v>8011</v>
      </c>
      <c r="L246" s="14">
        <f t="shared" ref="L246:L249" si="1053">K246+K$6</f>
        <v>8013</v>
      </c>
      <c r="M246" s="14">
        <f t="shared" ref="M246:M249" si="1054">L246+L$6</f>
        <v>8015</v>
      </c>
      <c r="N246" s="14">
        <f t="shared" ref="N246:N249" si="1055">M246+M$6</f>
        <v>8017</v>
      </c>
      <c r="O246" s="14">
        <f t="shared" ref="O246:O249" si="1056">N246+N$6</f>
        <v>8019</v>
      </c>
      <c r="P246" s="14">
        <f t="shared" ref="P246:P249" si="1057">O246+O$6</f>
        <v>8021</v>
      </c>
      <c r="Q246" s="14">
        <f t="shared" ref="Q246:Q249" si="1058">P246+P$6</f>
        <v>8023</v>
      </c>
      <c r="R246" s="14">
        <f t="shared" ref="R246:R249" si="1059">Q246+Q$6</f>
        <v>8025</v>
      </c>
      <c r="S246" s="14">
        <f t="shared" ref="S246:S249" si="1060">R246+R$6</f>
        <v>8027</v>
      </c>
      <c r="T246" s="14">
        <f t="shared" ref="T246:T249" si="1061">S246+S$6</f>
        <v>8029</v>
      </c>
      <c r="U246" s="14">
        <f t="shared" ref="U246:U249" si="1062">T246+T$6</f>
        <v>8031</v>
      </c>
      <c r="V246" s="14">
        <f t="shared" ref="V246:V249" si="1063">U246+U$6</f>
        <v>8033</v>
      </c>
      <c r="W246" s="14">
        <f t="shared" ref="W246:W249" si="1064">V246+V$6</f>
        <v>8035</v>
      </c>
      <c r="X246" s="14">
        <f t="shared" ref="X246:X249" si="1065">W246+W$6</f>
        <v>8037</v>
      </c>
      <c r="Y246" s="14">
        <f t="shared" ref="Y246:Y249" si="1066">X246+X$6</f>
        <v>8039</v>
      </c>
      <c r="Z246" s="14">
        <f t="shared" ref="Z246:Z249" si="1067">Y246+Y$6</f>
        <v>8041</v>
      </c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</row>
    <row r="247" spans="1:68" hidden="1" x14ac:dyDescent="0.25">
      <c r="A247" s="3">
        <v>44</v>
      </c>
      <c r="B247" s="3" t="s">
        <v>328</v>
      </c>
      <c r="C247" s="6" t="s">
        <v>578</v>
      </c>
      <c r="D247" s="6" t="s">
        <v>574</v>
      </c>
      <c r="E247" s="17">
        <f t="shared" si="925"/>
        <v>8200</v>
      </c>
      <c r="F247" s="14">
        <f t="shared" si="1047"/>
        <v>8201</v>
      </c>
      <c r="G247" s="14">
        <f t="shared" si="1048"/>
        <v>8203</v>
      </c>
      <c r="H247" s="14">
        <f t="shared" si="1049"/>
        <v>8205</v>
      </c>
      <c r="I247" s="14">
        <f t="shared" si="1050"/>
        <v>8207</v>
      </c>
      <c r="J247" s="14">
        <f t="shared" si="1051"/>
        <v>8209</v>
      </c>
      <c r="K247" s="14">
        <f t="shared" si="1052"/>
        <v>8211</v>
      </c>
      <c r="L247" s="14">
        <f t="shared" si="1053"/>
        <v>8213</v>
      </c>
      <c r="M247" s="14">
        <f t="shared" si="1054"/>
        <v>8215</v>
      </c>
      <c r="N247" s="14">
        <f t="shared" si="1055"/>
        <v>8217</v>
      </c>
      <c r="O247" s="14">
        <f t="shared" si="1056"/>
        <v>8219</v>
      </c>
      <c r="P247" s="14">
        <f t="shared" si="1057"/>
        <v>8221</v>
      </c>
      <c r="Q247" s="14">
        <f t="shared" si="1058"/>
        <v>8223</v>
      </c>
      <c r="R247" s="14">
        <f t="shared" si="1059"/>
        <v>8225</v>
      </c>
      <c r="S247" s="14">
        <f t="shared" si="1060"/>
        <v>8227</v>
      </c>
      <c r="T247" s="14">
        <f t="shared" si="1061"/>
        <v>8229</v>
      </c>
      <c r="U247" s="14">
        <f t="shared" si="1062"/>
        <v>8231</v>
      </c>
      <c r="V247" s="14">
        <f t="shared" si="1063"/>
        <v>8233</v>
      </c>
      <c r="W247" s="14">
        <f t="shared" si="1064"/>
        <v>8235</v>
      </c>
      <c r="X247" s="14">
        <f t="shared" si="1065"/>
        <v>8237</v>
      </c>
      <c r="Y247" s="14">
        <f t="shared" si="1066"/>
        <v>8239</v>
      </c>
      <c r="Z247" s="14">
        <f t="shared" si="1067"/>
        <v>8241</v>
      </c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</row>
    <row r="248" spans="1:68" hidden="1" x14ac:dyDescent="0.25">
      <c r="A248" s="3">
        <v>45</v>
      </c>
      <c r="B248" s="3" t="s">
        <v>328</v>
      </c>
      <c r="C248" s="6" t="s">
        <v>580</v>
      </c>
      <c r="D248" s="6" t="s">
        <v>574</v>
      </c>
      <c r="E248" s="17">
        <f t="shared" si="925"/>
        <v>8400</v>
      </c>
      <c r="F248" s="14">
        <f t="shared" si="1047"/>
        <v>8401</v>
      </c>
      <c r="G248" s="14">
        <f t="shared" si="1048"/>
        <v>8403</v>
      </c>
      <c r="H248" s="14">
        <f t="shared" si="1049"/>
        <v>8405</v>
      </c>
      <c r="I248" s="14">
        <f t="shared" si="1050"/>
        <v>8407</v>
      </c>
      <c r="J248" s="14">
        <f t="shared" si="1051"/>
        <v>8409</v>
      </c>
      <c r="K248" s="14">
        <f t="shared" si="1052"/>
        <v>8411</v>
      </c>
      <c r="L248" s="14">
        <f t="shared" si="1053"/>
        <v>8413</v>
      </c>
      <c r="M248" s="14">
        <f t="shared" si="1054"/>
        <v>8415</v>
      </c>
      <c r="N248" s="14">
        <f t="shared" si="1055"/>
        <v>8417</v>
      </c>
      <c r="O248" s="14">
        <f t="shared" si="1056"/>
        <v>8419</v>
      </c>
      <c r="P248" s="14">
        <f t="shared" si="1057"/>
        <v>8421</v>
      </c>
      <c r="Q248" s="14">
        <f t="shared" si="1058"/>
        <v>8423</v>
      </c>
      <c r="R248" s="14">
        <f t="shared" si="1059"/>
        <v>8425</v>
      </c>
      <c r="S248" s="14">
        <f t="shared" si="1060"/>
        <v>8427</v>
      </c>
      <c r="T248" s="14">
        <f t="shared" si="1061"/>
        <v>8429</v>
      </c>
      <c r="U248" s="14">
        <f t="shared" si="1062"/>
        <v>8431</v>
      </c>
      <c r="V248" s="14">
        <f t="shared" si="1063"/>
        <v>8433</v>
      </c>
      <c r="W248" s="14">
        <f t="shared" si="1064"/>
        <v>8435</v>
      </c>
      <c r="X248" s="14">
        <f t="shared" si="1065"/>
        <v>8437</v>
      </c>
      <c r="Y248" s="14">
        <f t="shared" si="1066"/>
        <v>8439</v>
      </c>
      <c r="Z248" s="14">
        <f t="shared" si="1067"/>
        <v>8441</v>
      </c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</row>
    <row r="249" spans="1:68" hidden="1" x14ac:dyDescent="0.25">
      <c r="A249" s="3">
        <v>46</v>
      </c>
      <c r="B249" s="3" t="s">
        <v>328</v>
      </c>
      <c r="C249" s="6" t="s">
        <v>583</v>
      </c>
      <c r="D249" s="6" t="s">
        <v>574</v>
      </c>
      <c r="E249" s="17">
        <f t="shared" si="925"/>
        <v>8600</v>
      </c>
      <c r="F249" s="14">
        <f t="shared" si="1047"/>
        <v>8601</v>
      </c>
      <c r="G249" s="14">
        <f t="shared" si="1048"/>
        <v>8603</v>
      </c>
      <c r="H249" s="14">
        <f t="shared" si="1049"/>
        <v>8605</v>
      </c>
      <c r="I249" s="14">
        <f t="shared" si="1050"/>
        <v>8607</v>
      </c>
      <c r="J249" s="14">
        <f t="shared" si="1051"/>
        <v>8609</v>
      </c>
      <c r="K249" s="14">
        <f t="shared" si="1052"/>
        <v>8611</v>
      </c>
      <c r="L249" s="14">
        <f t="shared" si="1053"/>
        <v>8613</v>
      </c>
      <c r="M249" s="14">
        <f t="shared" si="1054"/>
        <v>8615</v>
      </c>
      <c r="N249" s="14">
        <f t="shared" si="1055"/>
        <v>8617</v>
      </c>
      <c r="O249" s="14">
        <f t="shared" si="1056"/>
        <v>8619</v>
      </c>
      <c r="P249" s="14">
        <f t="shared" si="1057"/>
        <v>8621</v>
      </c>
      <c r="Q249" s="14">
        <f t="shared" si="1058"/>
        <v>8623</v>
      </c>
      <c r="R249" s="14">
        <f t="shared" si="1059"/>
        <v>8625</v>
      </c>
      <c r="S249" s="14">
        <f t="shared" si="1060"/>
        <v>8627</v>
      </c>
      <c r="T249" s="14">
        <f t="shared" si="1061"/>
        <v>8629</v>
      </c>
      <c r="U249" s="14">
        <f t="shared" si="1062"/>
        <v>8631</v>
      </c>
      <c r="V249" s="14">
        <f t="shared" si="1063"/>
        <v>8633</v>
      </c>
      <c r="W249" s="14">
        <f t="shared" si="1064"/>
        <v>8635</v>
      </c>
      <c r="X249" s="14">
        <f t="shared" si="1065"/>
        <v>8637</v>
      </c>
      <c r="Y249" s="14">
        <f t="shared" si="1066"/>
        <v>8639</v>
      </c>
      <c r="Z249" s="14">
        <f t="shared" si="1067"/>
        <v>8641</v>
      </c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</row>
    <row r="250" spans="1:68" hidden="1" x14ac:dyDescent="0.25">
      <c r="A250" s="3">
        <v>47</v>
      </c>
      <c r="B250" s="3" t="s">
        <v>328</v>
      </c>
      <c r="C250" s="3" t="s">
        <v>210</v>
      </c>
      <c r="D250" s="3" t="s">
        <v>290</v>
      </c>
      <c r="E250" s="14">
        <f>E249+$E$2</f>
        <v>8800</v>
      </c>
      <c r="F250" s="14">
        <f t="shared" si="766"/>
        <v>8801</v>
      </c>
      <c r="G250" s="14">
        <f t="shared" ref="G250:G256" si="1068">F250+F$6</f>
        <v>8803</v>
      </c>
      <c r="H250" s="14">
        <f t="shared" ref="H250:H256" si="1069">G250+G$6</f>
        <v>8805</v>
      </c>
      <c r="I250" s="14">
        <f t="shared" ref="I250:J250" si="1070">H250+H$6</f>
        <v>8807</v>
      </c>
      <c r="J250" s="14">
        <f t="shared" si="1070"/>
        <v>8809</v>
      </c>
      <c r="K250" s="14">
        <f t="shared" ref="K250:K256" si="1071">J250+J$6</f>
        <v>8811</v>
      </c>
      <c r="L250" s="14">
        <f t="shared" ref="L250:L256" si="1072">K250+K$6</f>
        <v>8813</v>
      </c>
      <c r="M250" s="14">
        <f t="shared" ref="M250:M256" si="1073">L250+L$6</f>
        <v>8815</v>
      </c>
      <c r="N250" s="14">
        <f t="shared" ref="N250:X250" si="1074">M250+M$6</f>
        <v>8817</v>
      </c>
      <c r="O250" s="14">
        <f t="shared" si="1074"/>
        <v>8819</v>
      </c>
      <c r="P250" s="14">
        <f t="shared" si="1074"/>
        <v>8821</v>
      </c>
      <c r="Q250" s="14">
        <f t="shared" si="1040"/>
        <v>8823</v>
      </c>
      <c r="R250" s="14">
        <f t="shared" si="1040"/>
        <v>8825</v>
      </c>
      <c r="S250" s="14">
        <f t="shared" si="1074"/>
        <v>8827</v>
      </c>
      <c r="T250" s="14">
        <f t="shared" si="1074"/>
        <v>8829</v>
      </c>
      <c r="U250" s="14">
        <f t="shared" si="1074"/>
        <v>8831</v>
      </c>
      <c r="V250" s="14">
        <f t="shared" si="1074"/>
        <v>8833</v>
      </c>
      <c r="W250" s="14">
        <f t="shared" si="1074"/>
        <v>8835</v>
      </c>
      <c r="X250" s="14">
        <f t="shared" si="1074"/>
        <v>8837</v>
      </c>
      <c r="Y250" s="14">
        <f t="shared" si="842"/>
        <v>8839</v>
      </c>
      <c r="Z250" s="14">
        <f t="shared" si="842"/>
        <v>8841</v>
      </c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</row>
    <row r="251" spans="1:68" hidden="1" x14ac:dyDescent="0.25">
      <c r="A251" s="3">
        <v>48</v>
      </c>
      <c r="B251" s="3" t="s">
        <v>328</v>
      </c>
      <c r="C251" s="3" t="s">
        <v>211</v>
      </c>
      <c r="D251" s="3" t="s">
        <v>290</v>
      </c>
      <c r="E251" s="14">
        <f t="shared" si="925"/>
        <v>9000</v>
      </c>
      <c r="F251" s="14">
        <f t="shared" si="766"/>
        <v>9001</v>
      </c>
      <c r="G251" s="14">
        <f t="shared" si="1068"/>
        <v>9003</v>
      </c>
      <c r="H251" s="14">
        <f t="shared" si="1069"/>
        <v>9005</v>
      </c>
      <c r="I251" s="14">
        <f t="shared" ref="I251:J251" si="1075">H251+H$6</f>
        <v>9007</v>
      </c>
      <c r="J251" s="14">
        <f t="shared" si="1075"/>
        <v>9009</v>
      </c>
      <c r="K251" s="14">
        <f t="shared" si="1071"/>
        <v>9011</v>
      </c>
      <c r="L251" s="14">
        <f t="shared" si="1072"/>
        <v>9013</v>
      </c>
      <c r="M251" s="14">
        <f t="shared" si="1073"/>
        <v>9015</v>
      </c>
      <c r="N251" s="14">
        <f t="shared" ref="N251:X251" si="1076">M251+M$6</f>
        <v>9017</v>
      </c>
      <c r="O251" s="14">
        <f t="shared" si="1076"/>
        <v>9019</v>
      </c>
      <c r="P251" s="14">
        <f t="shared" si="1076"/>
        <v>9021</v>
      </c>
      <c r="Q251" s="14">
        <f t="shared" si="1040"/>
        <v>9023</v>
      </c>
      <c r="R251" s="14">
        <f t="shared" si="1040"/>
        <v>9025</v>
      </c>
      <c r="S251" s="14">
        <f t="shared" si="1076"/>
        <v>9027</v>
      </c>
      <c r="T251" s="14">
        <f t="shared" si="1076"/>
        <v>9029</v>
      </c>
      <c r="U251" s="14">
        <f t="shared" si="1076"/>
        <v>9031</v>
      </c>
      <c r="V251" s="14">
        <f t="shared" si="1076"/>
        <v>9033</v>
      </c>
      <c r="W251" s="14">
        <f t="shared" si="1076"/>
        <v>9035</v>
      </c>
      <c r="X251" s="14">
        <f t="shared" si="1076"/>
        <v>9037</v>
      </c>
      <c r="Y251" s="14">
        <f t="shared" si="842"/>
        <v>9039</v>
      </c>
      <c r="Z251" s="14">
        <f t="shared" si="842"/>
        <v>9041</v>
      </c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</row>
    <row r="252" spans="1:68" hidden="1" x14ac:dyDescent="0.25">
      <c r="A252" s="3">
        <v>49</v>
      </c>
      <c r="B252" s="3" t="s">
        <v>328</v>
      </c>
      <c r="C252" s="3" t="s">
        <v>212</v>
      </c>
      <c r="D252" s="3" t="s">
        <v>290</v>
      </c>
      <c r="E252" s="14">
        <f t="shared" si="925"/>
        <v>9200</v>
      </c>
      <c r="F252" s="14">
        <f t="shared" si="766"/>
        <v>9201</v>
      </c>
      <c r="G252" s="14">
        <f t="shared" si="1068"/>
        <v>9203</v>
      </c>
      <c r="H252" s="14">
        <f t="shared" si="1069"/>
        <v>9205</v>
      </c>
      <c r="I252" s="14">
        <f t="shared" ref="I252:J252" si="1077">H252+H$6</f>
        <v>9207</v>
      </c>
      <c r="J252" s="14">
        <f t="shared" si="1077"/>
        <v>9209</v>
      </c>
      <c r="K252" s="14">
        <f t="shared" si="1071"/>
        <v>9211</v>
      </c>
      <c r="L252" s="14">
        <f t="shared" si="1072"/>
        <v>9213</v>
      </c>
      <c r="M252" s="14">
        <f t="shared" si="1073"/>
        <v>9215</v>
      </c>
      <c r="N252" s="14">
        <f t="shared" ref="N252:X252" si="1078">M252+M$6</f>
        <v>9217</v>
      </c>
      <c r="O252" s="14">
        <f t="shared" si="1078"/>
        <v>9219</v>
      </c>
      <c r="P252" s="14">
        <f t="shared" si="1078"/>
        <v>9221</v>
      </c>
      <c r="Q252" s="14">
        <f t="shared" si="1040"/>
        <v>9223</v>
      </c>
      <c r="R252" s="14">
        <f t="shared" si="1040"/>
        <v>9225</v>
      </c>
      <c r="S252" s="14">
        <f t="shared" si="1078"/>
        <v>9227</v>
      </c>
      <c r="T252" s="14">
        <f t="shared" si="1078"/>
        <v>9229</v>
      </c>
      <c r="U252" s="14">
        <f t="shared" si="1078"/>
        <v>9231</v>
      </c>
      <c r="V252" s="14">
        <f t="shared" si="1078"/>
        <v>9233</v>
      </c>
      <c r="W252" s="14">
        <f t="shared" si="1078"/>
        <v>9235</v>
      </c>
      <c r="X252" s="14">
        <f t="shared" si="1078"/>
        <v>9237</v>
      </c>
      <c r="Y252" s="14">
        <f t="shared" si="842"/>
        <v>9239</v>
      </c>
      <c r="Z252" s="14">
        <f t="shared" si="842"/>
        <v>9241</v>
      </c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</row>
    <row r="253" spans="1:68" hidden="1" x14ac:dyDescent="0.25">
      <c r="A253" s="3">
        <v>50</v>
      </c>
      <c r="B253" s="3" t="s">
        <v>328</v>
      </c>
      <c r="C253" s="3" t="s">
        <v>213</v>
      </c>
      <c r="D253" s="3" t="s">
        <v>290</v>
      </c>
      <c r="E253" s="14">
        <f t="shared" si="925"/>
        <v>9400</v>
      </c>
      <c r="F253" s="14">
        <f t="shared" si="766"/>
        <v>9401</v>
      </c>
      <c r="G253" s="14">
        <f t="shared" si="1068"/>
        <v>9403</v>
      </c>
      <c r="H253" s="14">
        <f t="shared" si="1069"/>
        <v>9405</v>
      </c>
      <c r="I253" s="14">
        <f t="shared" ref="I253:J253" si="1079">H253+H$6</f>
        <v>9407</v>
      </c>
      <c r="J253" s="14">
        <f t="shared" si="1079"/>
        <v>9409</v>
      </c>
      <c r="K253" s="14">
        <f t="shared" si="1071"/>
        <v>9411</v>
      </c>
      <c r="L253" s="14">
        <f t="shared" si="1072"/>
        <v>9413</v>
      </c>
      <c r="M253" s="14">
        <f t="shared" si="1073"/>
        <v>9415</v>
      </c>
      <c r="N253" s="14">
        <f t="shared" ref="N253:X253" si="1080">M253+M$6</f>
        <v>9417</v>
      </c>
      <c r="O253" s="14">
        <f t="shared" si="1080"/>
        <v>9419</v>
      </c>
      <c r="P253" s="14">
        <f t="shared" si="1080"/>
        <v>9421</v>
      </c>
      <c r="Q253" s="14">
        <f t="shared" si="1040"/>
        <v>9423</v>
      </c>
      <c r="R253" s="14">
        <f t="shared" si="1040"/>
        <v>9425</v>
      </c>
      <c r="S253" s="14">
        <f t="shared" si="1080"/>
        <v>9427</v>
      </c>
      <c r="T253" s="14">
        <f t="shared" si="1080"/>
        <v>9429</v>
      </c>
      <c r="U253" s="14">
        <f t="shared" si="1080"/>
        <v>9431</v>
      </c>
      <c r="V253" s="14">
        <f t="shared" si="1080"/>
        <v>9433</v>
      </c>
      <c r="W253" s="14">
        <f t="shared" si="1080"/>
        <v>9435</v>
      </c>
      <c r="X253" s="14">
        <f t="shared" si="1080"/>
        <v>9437</v>
      </c>
      <c r="Y253" s="14">
        <f t="shared" si="842"/>
        <v>9439</v>
      </c>
      <c r="Z253" s="14">
        <f t="shared" si="842"/>
        <v>9441</v>
      </c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</row>
    <row r="254" spans="1:68" hidden="1" x14ac:dyDescent="0.25">
      <c r="A254" s="3">
        <v>51</v>
      </c>
      <c r="B254" s="3" t="s">
        <v>328</v>
      </c>
      <c r="C254" s="3" t="s">
        <v>214</v>
      </c>
      <c r="D254" s="3" t="s">
        <v>290</v>
      </c>
      <c r="E254" s="14">
        <f t="shared" si="925"/>
        <v>9600</v>
      </c>
      <c r="F254" s="14">
        <f t="shared" si="766"/>
        <v>9601</v>
      </c>
      <c r="G254" s="14">
        <f t="shared" si="1068"/>
        <v>9603</v>
      </c>
      <c r="H254" s="14">
        <f t="shared" si="1069"/>
        <v>9605</v>
      </c>
      <c r="I254" s="14">
        <f t="shared" ref="I254:J254" si="1081">H254+H$6</f>
        <v>9607</v>
      </c>
      <c r="J254" s="14">
        <f t="shared" si="1081"/>
        <v>9609</v>
      </c>
      <c r="K254" s="14">
        <f t="shared" si="1071"/>
        <v>9611</v>
      </c>
      <c r="L254" s="14">
        <f t="shared" si="1072"/>
        <v>9613</v>
      </c>
      <c r="M254" s="14">
        <f t="shared" si="1073"/>
        <v>9615</v>
      </c>
      <c r="N254" s="14">
        <f t="shared" ref="N254:X254" si="1082">M254+M$6</f>
        <v>9617</v>
      </c>
      <c r="O254" s="14">
        <f t="shared" si="1082"/>
        <v>9619</v>
      </c>
      <c r="P254" s="14">
        <f t="shared" si="1082"/>
        <v>9621</v>
      </c>
      <c r="Q254" s="14">
        <f t="shared" si="1040"/>
        <v>9623</v>
      </c>
      <c r="R254" s="14">
        <f t="shared" si="1040"/>
        <v>9625</v>
      </c>
      <c r="S254" s="14">
        <f t="shared" si="1082"/>
        <v>9627</v>
      </c>
      <c r="T254" s="14">
        <f t="shared" si="1082"/>
        <v>9629</v>
      </c>
      <c r="U254" s="14">
        <f t="shared" si="1082"/>
        <v>9631</v>
      </c>
      <c r="V254" s="14">
        <f t="shared" si="1082"/>
        <v>9633</v>
      </c>
      <c r="W254" s="14">
        <f t="shared" si="1082"/>
        <v>9635</v>
      </c>
      <c r="X254" s="14">
        <f t="shared" si="1082"/>
        <v>9637</v>
      </c>
      <c r="Y254" s="14">
        <f t="shared" si="842"/>
        <v>9639</v>
      </c>
      <c r="Z254" s="14">
        <f t="shared" si="842"/>
        <v>9641</v>
      </c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</row>
    <row r="255" spans="1:68" hidden="1" x14ac:dyDescent="0.25">
      <c r="A255" s="3">
        <v>52</v>
      </c>
      <c r="B255" s="3" t="s">
        <v>328</v>
      </c>
      <c r="C255" s="3" t="s">
        <v>215</v>
      </c>
      <c r="D255" s="3" t="s">
        <v>290</v>
      </c>
      <c r="E255" s="14">
        <f t="shared" si="925"/>
        <v>9800</v>
      </c>
      <c r="F255" s="14">
        <f t="shared" si="766"/>
        <v>9801</v>
      </c>
      <c r="G255" s="14">
        <f t="shared" si="1068"/>
        <v>9803</v>
      </c>
      <c r="H255" s="14">
        <f t="shared" si="1069"/>
        <v>9805</v>
      </c>
      <c r="I255" s="14">
        <f t="shared" ref="I255:J255" si="1083">H255+H$6</f>
        <v>9807</v>
      </c>
      <c r="J255" s="14">
        <f t="shared" si="1083"/>
        <v>9809</v>
      </c>
      <c r="K255" s="14">
        <f t="shared" si="1071"/>
        <v>9811</v>
      </c>
      <c r="L255" s="14">
        <f t="shared" si="1072"/>
        <v>9813</v>
      </c>
      <c r="M255" s="14">
        <f t="shared" si="1073"/>
        <v>9815</v>
      </c>
      <c r="N255" s="14">
        <f t="shared" ref="N255:X255" si="1084">M255+M$6</f>
        <v>9817</v>
      </c>
      <c r="O255" s="14">
        <f t="shared" si="1084"/>
        <v>9819</v>
      </c>
      <c r="P255" s="14">
        <f t="shared" si="1084"/>
        <v>9821</v>
      </c>
      <c r="Q255" s="14">
        <f t="shared" si="1040"/>
        <v>9823</v>
      </c>
      <c r="R255" s="14">
        <f t="shared" si="1040"/>
        <v>9825</v>
      </c>
      <c r="S255" s="14">
        <f t="shared" si="1084"/>
        <v>9827</v>
      </c>
      <c r="T255" s="14">
        <f t="shared" si="1084"/>
        <v>9829</v>
      </c>
      <c r="U255" s="14">
        <f t="shared" si="1084"/>
        <v>9831</v>
      </c>
      <c r="V255" s="14">
        <f t="shared" si="1084"/>
        <v>9833</v>
      </c>
      <c r="W255" s="14">
        <f t="shared" si="1084"/>
        <v>9835</v>
      </c>
      <c r="X255" s="14">
        <f t="shared" si="1084"/>
        <v>9837</v>
      </c>
      <c r="Y255" s="14">
        <f t="shared" si="842"/>
        <v>9839</v>
      </c>
      <c r="Z255" s="14">
        <f t="shared" si="842"/>
        <v>9841</v>
      </c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</row>
    <row r="256" spans="1:68" hidden="1" x14ac:dyDescent="0.25">
      <c r="A256" s="3">
        <v>53</v>
      </c>
      <c r="B256" s="3" t="s">
        <v>328</v>
      </c>
      <c r="C256" s="3" t="s">
        <v>216</v>
      </c>
      <c r="D256" s="3" t="s">
        <v>290</v>
      </c>
      <c r="E256" s="14">
        <f t="shared" si="925"/>
        <v>10000</v>
      </c>
      <c r="F256" s="14">
        <f t="shared" si="766"/>
        <v>10001</v>
      </c>
      <c r="G256" s="14">
        <f t="shared" si="1068"/>
        <v>10003</v>
      </c>
      <c r="H256" s="14">
        <f t="shared" si="1069"/>
        <v>10005</v>
      </c>
      <c r="I256" s="14">
        <f t="shared" ref="I256:J256" si="1085">H256+H$6</f>
        <v>10007</v>
      </c>
      <c r="J256" s="14">
        <f t="shared" si="1085"/>
        <v>10009</v>
      </c>
      <c r="K256" s="14">
        <f t="shared" si="1071"/>
        <v>10011</v>
      </c>
      <c r="L256" s="14">
        <f t="shared" si="1072"/>
        <v>10013</v>
      </c>
      <c r="M256" s="14">
        <f t="shared" si="1073"/>
        <v>10015</v>
      </c>
      <c r="N256" s="14">
        <f t="shared" ref="N256:X256" si="1086">M256+M$6</f>
        <v>10017</v>
      </c>
      <c r="O256" s="14">
        <f t="shared" si="1086"/>
        <v>10019</v>
      </c>
      <c r="P256" s="14">
        <f t="shared" si="1086"/>
        <v>10021</v>
      </c>
      <c r="Q256" s="14">
        <f t="shared" si="1040"/>
        <v>10023</v>
      </c>
      <c r="R256" s="14">
        <f t="shared" si="1040"/>
        <v>10025</v>
      </c>
      <c r="S256" s="14">
        <f t="shared" si="1086"/>
        <v>10027</v>
      </c>
      <c r="T256" s="14">
        <f t="shared" si="1086"/>
        <v>10029</v>
      </c>
      <c r="U256" s="14">
        <f t="shared" si="1086"/>
        <v>10031</v>
      </c>
      <c r="V256" s="14">
        <f t="shared" si="1086"/>
        <v>10033</v>
      </c>
      <c r="W256" s="14">
        <f t="shared" si="1086"/>
        <v>10035</v>
      </c>
      <c r="X256" s="14">
        <f t="shared" si="1086"/>
        <v>10037</v>
      </c>
      <c r="Y256" s="14">
        <f t="shared" si="842"/>
        <v>10039</v>
      </c>
      <c r="Z256" s="14">
        <f t="shared" si="842"/>
        <v>10041</v>
      </c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</row>
    <row r="257" spans="1:68" hidden="1" x14ac:dyDescent="0.25">
      <c r="A257" s="3">
        <v>54</v>
      </c>
      <c r="B257" s="3" t="s">
        <v>328</v>
      </c>
      <c r="C257" s="3" t="s">
        <v>441</v>
      </c>
      <c r="D257" s="3" t="s">
        <v>442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</row>
  </sheetData>
  <autoFilter ref="A7:BP257" xr:uid="{5F757495-DBE8-4716-A180-77350591F858}">
    <filterColumn colId="3">
      <filters>
        <filter val="MBP1"/>
      </filters>
    </filterColumn>
  </autoFilter>
  <mergeCells count="24">
    <mergeCell ref="AG4:AL4"/>
    <mergeCell ref="A4:A7"/>
    <mergeCell ref="D4:D7"/>
    <mergeCell ref="C4:C7"/>
    <mergeCell ref="B4:B7"/>
    <mergeCell ref="F4:M4"/>
    <mergeCell ref="E4:E7"/>
    <mergeCell ref="Y4:Y5"/>
    <mergeCell ref="AM4:AR4"/>
    <mergeCell ref="BQ4:BQ5"/>
    <mergeCell ref="N4:R4"/>
    <mergeCell ref="BK4:BM4"/>
    <mergeCell ref="BN4:BP4"/>
    <mergeCell ref="U4:U5"/>
    <mergeCell ref="AS4:AX4"/>
    <mergeCell ref="AY4:BD4"/>
    <mergeCell ref="BE4:BJ4"/>
    <mergeCell ref="V4:V5"/>
    <mergeCell ref="W4:W5"/>
    <mergeCell ref="X4:X5"/>
    <mergeCell ref="Z4:Z5"/>
    <mergeCell ref="S4:S5"/>
    <mergeCell ref="T4:T5"/>
    <mergeCell ref="AA4:AF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2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6270-F3DF-4109-8D73-4EF175F83EDB}">
  <dimension ref="B2:G76"/>
  <sheetViews>
    <sheetView topLeftCell="A29" zoomScale="120" zoomScaleNormal="120" workbookViewId="0">
      <selection activeCell="J49" sqref="J49"/>
    </sheetView>
  </sheetViews>
  <sheetFormatPr defaultRowHeight="13.5" x14ac:dyDescent="0.25"/>
  <cols>
    <col min="2" max="2" width="17.42578125" customWidth="1"/>
    <col min="3" max="3" width="14.42578125" customWidth="1"/>
    <col min="5" max="5" width="19.7109375" bestFit="1" customWidth="1"/>
    <col min="6" max="6" width="23.7109375" bestFit="1" customWidth="1"/>
    <col min="7" max="7" width="63.85546875" customWidth="1"/>
  </cols>
  <sheetData>
    <row r="2" spans="2:7" x14ac:dyDescent="0.25">
      <c r="B2" s="35" t="s">
        <v>0</v>
      </c>
      <c r="C2" s="35"/>
      <c r="D2" s="35"/>
      <c r="E2" s="3" t="s">
        <v>394</v>
      </c>
      <c r="F2" s="3" t="s">
        <v>411</v>
      </c>
      <c r="G2" s="3" t="s">
        <v>395</v>
      </c>
    </row>
    <row r="3" spans="2:7" x14ac:dyDescent="0.25">
      <c r="B3" s="34" t="s">
        <v>218</v>
      </c>
      <c r="C3" s="34" t="s">
        <v>15</v>
      </c>
      <c r="D3" s="34"/>
      <c r="E3" s="4" t="s">
        <v>23</v>
      </c>
      <c r="F3" s="34" t="s">
        <v>436</v>
      </c>
      <c r="G3" s="44" t="s">
        <v>437</v>
      </c>
    </row>
    <row r="4" spans="2:7" x14ac:dyDescent="0.25">
      <c r="B4" s="34"/>
      <c r="C4" s="34" t="s">
        <v>219</v>
      </c>
      <c r="D4" s="34"/>
      <c r="E4" s="4" t="s">
        <v>220</v>
      </c>
      <c r="F4" s="34"/>
      <c r="G4" s="45"/>
    </row>
    <row r="5" spans="2:7" x14ac:dyDescent="0.25">
      <c r="B5" s="34"/>
      <c r="C5" s="34" t="s">
        <v>221</v>
      </c>
      <c r="D5" s="34"/>
      <c r="E5" s="4" t="s">
        <v>222</v>
      </c>
      <c r="F5" s="34"/>
      <c r="G5" s="45"/>
    </row>
    <row r="6" spans="2:7" x14ac:dyDescent="0.25">
      <c r="B6" s="34"/>
      <c r="C6" s="34" t="s">
        <v>329</v>
      </c>
      <c r="D6" s="34"/>
      <c r="E6" s="4" t="s">
        <v>330</v>
      </c>
      <c r="F6" s="34"/>
      <c r="G6" s="45"/>
    </row>
    <row r="7" spans="2:7" x14ac:dyDescent="0.25">
      <c r="B7" s="34"/>
      <c r="C7" s="34" t="s">
        <v>17</v>
      </c>
      <c r="D7" s="34"/>
      <c r="E7" s="4" t="s">
        <v>24</v>
      </c>
      <c r="F7" s="34"/>
      <c r="G7" s="45"/>
    </row>
    <row r="8" spans="2:7" x14ac:dyDescent="0.25">
      <c r="B8" s="34"/>
      <c r="C8" s="34" t="s">
        <v>16</v>
      </c>
      <c r="D8" s="34"/>
      <c r="E8" s="4" t="s">
        <v>26</v>
      </c>
      <c r="F8" s="34"/>
      <c r="G8" s="45"/>
    </row>
    <row r="9" spans="2:7" x14ac:dyDescent="0.25">
      <c r="B9" s="34"/>
      <c r="C9" s="34" t="s">
        <v>18</v>
      </c>
      <c r="D9" s="34"/>
      <c r="E9" s="4" t="s">
        <v>25</v>
      </c>
      <c r="F9" s="34"/>
      <c r="G9" s="45"/>
    </row>
    <row r="10" spans="2:7" x14ac:dyDescent="0.25">
      <c r="B10" s="34"/>
      <c r="C10" s="34" t="s">
        <v>19</v>
      </c>
      <c r="D10" s="34"/>
      <c r="E10" s="4" t="s">
        <v>27</v>
      </c>
      <c r="F10" s="34"/>
      <c r="G10" s="45"/>
    </row>
    <row r="11" spans="2:7" x14ac:dyDescent="0.25">
      <c r="B11" s="34"/>
      <c r="C11" s="34" t="s">
        <v>20</v>
      </c>
      <c r="D11" s="34"/>
      <c r="E11" s="4" t="s">
        <v>28</v>
      </c>
      <c r="F11" s="34"/>
      <c r="G11" s="45"/>
    </row>
    <row r="12" spans="2:7" x14ac:dyDescent="0.25">
      <c r="B12" s="34"/>
      <c r="C12" s="46" t="s">
        <v>627</v>
      </c>
      <c r="D12" s="47"/>
      <c r="E12" s="31">
        <v>50</v>
      </c>
      <c r="F12" s="34"/>
      <c r="G12" s="45"/>
    </row>
    <row r="13" spans="2:7" x14ac:dyDescent="0.25">
      <c r="B13" s="34"/>
      <c r="C13" s="43" t="s">
        <v>628</v>
      </c>
      <c r="D13" s="43"/>
      <c r="E13" s="31">
        <v>51</v>
      </c>
      <c r="F13" s="34"/>
      <c r="G13" s="45"/>
    </row>
    <row r="14" spans="2:7" x14ac:dyDescent="0.25">
      <c r="B14" s="34"/>
      <c r="C14" s="36" t="s">
        <v>264</v>
      </c>
      <c r="D14" s="34"/>
      <c r="E14" s="4" t="s">
        <v>238</v>
      </c>
      <c r="F14" s="34"/>
      <c r="G14" s="45"/>
    </row>
    <row r="15" spans="2:7" ht="16.5" x14ac:dyDescent="0.25">
      <c r="B15" s="42" t="s">
        <v>376</v>
      </c>
      <c r="C15" s="5" t="s">
        <v>2</v>
      </c>
      <c r="D15" s="5">
        <v>2</v>
      </c>
      <c r="E15" s="5" t="s">
        <v>29</v>
      </c>
      <c r="F15" s="42" t="s">
        <v>435</v>
      </c>
      <c r="G15" s="8" t="s">
        <v>396</v>
      </c>
    </row>
    <row r="16" spans="2:7" ht="16.5" x14ac:dyDescent="0.25">
      <c r="B16" s="42"/>
      <c r="C16" s="4" t="s">
        <v>3</v>
      </c>
      <c r="D16" s="4">
        <v>2</v>
      </c>
      <c r="E16" s="5" t="s">
        <v>30</v>
      </c>
      <c r="F16" s="42"/>
      <c r="G16" s="8" t="s">
        <v>397</v>
      </c>
    </row>
    <row r="17" spans="2:7" ht="16.5" x14ac:dyDescent="0.25">
      <c r="B17" s="42"/>
      <c r="C17" s="4" t="s">
        <v>4</v>
      </c>
      <c r="D17" s="4">
        <v>2</v>
      </c>
      <c r="E17" s="5" t="s">
        <v>31</v>
      </c>
      <c r="F17" s="42"/>
      <c r="G17" s="8" t="s">
        <v>398</v>
      </c>
    </row>
    <row r="18" spans="2:7" ht="16.5" x14ac:dyDescent="0.25">
      <c r="B18" s="42"/>
      <c r="C18" s="28" t="s">
        <v>590</v>
      </c>
      <c r="D18" s="28">
        <v>2</v>
      </c>
      <c r="E18" s="29" t="s">
        <v>444</v>
      </c>
      <c r="F18" s="42"/>
      <c r="G18" s="27" t="s">
        <v>592</v>
      </c>
    </row>
    <row r="19" spans="2:7" ht="16.5" x14ac:dyDescent="0.25">
      <c r="B19" s="42"/>
      <c r="C19" s="4" t="s">
        <v>364</v>
      </c>
      <c r="D19" s="4">
        <v>2</v>
      </c>
      <c r="E19" s="5" t="s">
        <v>370</v>
      </c>
      <c r="F19" s="42"/>
      <c r="G19" s="8" t="s">
        <v>399</v>
      </c>
    </row>
    <row r="20" spans="2:7" ht="16.5" x14ac:dyDescent="0.25">
      <c r="B20" s="42"/>
      <c r="C20" s="4" t="s">
        <v>366</v>
      </c>
      <c r="D20" s="4">
        <v>2</v>
      </c>
      <c r="E20" s="5" t="s">
        <v>372</v>
      </c>
      <c r="F20" s="42"/>
      <c r="G20" s="8" t="s">
        <v>400</v>
      </c>
    </row>
    <row r="21" spans="2:7" ht="16.5" x14ac:dyDescent="0.25">
      <c r="B21" s="42"/>
      <c r="C21" s="4" t="s">
        <v>368</v>
      </c>
      <c r="D21" s="4">
        <v>2</v>
      </c>
      <c r="E21" s="5" t="s">
        <v>374</v>
      </c>
      <c r="F21" s="42"/>
      <c r="G21" s="8" t="s">
        <v>401</v>
      </c>
    </row>
    <row r="22" spans="2:7" ht="16.5" x14ac:dyDescent="0.25">
      <c r="B22" s="42"/>
      <c r="C22" s="28" t="s">
        <v>591</v>
      </c>
      <c r="D22" s="28">
        <v>2</v>
      </c>
      <c r="E22" s="29" t="s">
        <v>363</v>
      </c>
      <c r="F22" s="42"/>
      <c r="G22" s="27" t="s">
        <v>593</v>
      </c>
    </row>
    <row r="23" spans="2:7" x14ac:dyDescent="0.25">
      <c r="B23" s="34" t="s">
        <v>378</v>
      </c>
      <c r="C23" s="4" t="s">
        <v>5</v>
      </c>
      <c r="D23" s="4">
        <v>2</v>
      </c>
      <c r="E23" s="4" t="s">
        <v>32</v>
      </c>
      <c r="F23" s="42"/>
      <c r="G23" s="8" t="s">
        <v>402</v>
      </c>
    </row>
    <row r="24" spans="2:7" x14ac:dyDescent="0.25">
      <c r="B24" s="34"/>
      <c r="C24" s="4" t="s">
        <v>6</v>
      </c>
      <c r="D24" s="4">
        <v>2</v>
      </c>
      <c r="E24" s="4" t="s">
        <v>33</v>
      </c>
      <c r="F24" s="42"/>
      <c r="G24" s="8" t="s">
        <v>403</v>
      </c>
    </row>
    <row r="25" spans="2:7" x14ac:dyDescent="0.25">
      <c r="B25" s="34"/>
      <c r="C25" s="4" t="s">
        <v>7</v>
      </c>
      <c r="D25" s="4">
        <v>2</v>
      </c>
      <c r="E25" s="4" t="s">
        <v>34</v>
      </c>
      <c r="F25" s="42"/>
      <c r="G25" s="8" t="s">
        <v>404</v>
      </c>
    </row>
    <row r="26" spans="2:7" x14ac:dyDescent="0.25">
      <c r="B26" s="34"/>
      <c r="C26" s="28" t="s">
        <v>595</v>
      </c>
      <c r="D26" s="28">
        <v>2</v>
      </c>
      <c r="E26" s="28" t="s">
        <v>596</v>
      </c>
      <c r="F26" s="42"/>
      <c r="G26" s="27" t="s">
        <v>597</v>
      </c>
    </row>
    <row r="27" spans="2:7" x14ac:dyDescent="0.25">
      <c r="B27" s="34"/>
      <c r="C27" s="28" t="s">
        <v>333</v>
      </c>
      <c r="D27" s="28">
        <v>2</v>
      </c>
      <c r="E27" s="28" t="s">
        <v>35</v>
      </c>
      <c r="F27" s="42"/>
      <c r="G27" s="27" t="s">
        <v>594</v>
      </c>
    </row>
    <row r="28" spans="2:7" x14ac:dyDescent="0.25">
      <c r="B28" s="34" t="s">
        <v>8</v>
      </c>
      <c r="C28" s="34"/>
      <c r="D28" s="4">
        <v>2</v>
      </c>
      <c r="E28" s="4" t="s">
        <v>36</v>
      </c>
      <c r="F28" s="42"/>
      <c r="G28" s="8" t="s">
        <v>405</v>
      </c>
    </row>
    <row r="29" spans="2:7" x14ac:dyDescent="0.25">
      <c r="B29" s="34" t="s">
        <v>9</v>
      </c>
      <c r="C29" s="34"/>
      <c r="D29" s="4">
        <v>2</v>
      </c>
      <c r="E29" s="4" t="s">
        <v>37</v>
      </c>
      <c r="F29" s="42"/>
      <c r="G29" s="8" t="s">
        <v>406</v>
      </c>
    </row>
    <row r="30" spans="2:7" x14ac:dyDescent="0.25">
      <c r="B30" s="34" t="s">
        <v>10</v>
      </c>
      <c r="C30" s="34"/>
      <c r="D30" s="4">
        <v>2</v>
      </c>
      <c r="E30" s="4" t="s">
        <v>38</v>
      </c>
      <c r="F30" s="42"/>
      <c r="G30" s="8" t="s">
        <v>407</v>
      </c>
    </row>
    <row r="31" spans="2:7" x14ac:dyDescent="0.25">
      <c r="B31" s="34" t="s">
        <v>11</v>
      </c>
      <c r="C31" s="34"/>
      <c r="D31" s="4">
        <v>4</v>
      </c>
      <c r="E31" s="4" t="s">
        <v>39</v>
      </c>
      <c r="F31" s="42"/>
      <c r="G31" s="8" t="s">
        <v>408</v>
      </c>
    </row>
    <row r="32" spans="2:7" x14ac:dyDescent="0.25">
      <c r="B32" s="34" t="s">
        <v>12</v>
      </c>
      <c r="C32" s="34"/>
      <c r="D32" s="4">
        <v>2</v>
      </c>
      <c r="E32" s="4" t="s">
        <v>40</v>
      </c>
      <c r="F32" s="42"/>
      <c r="G32" s="8" t="s">
        <v>410</v>
      </c>
    </row>
    <row r="33" spans="2:7" x14ac:dyDescent="0.25">
      <c r="B33" s="34" t="s">
        <v>13</v>
      </c>
      <c r="C33" s="34"/>
      <c r="D33" s="4">
        <v>4</v>
      </c>
      <c r="E33" s="4" t="s">
        <v>41</v>
      </c>
      <c r="F33" s="42"/>
      <c r="G33" s="8" t="s">
        <v>409</v>
      </c>
    </row>
    <row r="34" spans="2:7" x14ac:dyDescent="0.25">
      <c r="B34" s="34" t="s">
        <v>14</v>
      </c>
      <c r="C34" s="34"/>
      <c r="D34" s="4">
        <v>2</v>
      </c>
      <c r="E34" s="4" t="s">
        <v>42</v>
      </c>
      <c r="F34" s="42"/>
      <c r="G34" s="8" t="s">
        <v>412</v>
      </c>
    </row>
    <row r="35" spans="2:7" x14ac:dyDescent="0.25">
      <c r="B35" s="34" t="s">
        <v>361</v>
      </c>
      <c r="C35" s="4" t="s">
        <v>337</v>
      </c>
      <c r="D35" s="4">
        <v>2</v>
      </c>
      <c r="E35" s="4" t="s">
        <v>355</v>
      </c>
      <c r="F35" s="42"/>
      <c r="G35" s="8" t="s">
        <v>425</v>
      </c>
    </row>
    <row r="36" spans="2:7" x14ac:dyDescent="0.25">
      <c r="B36" s="34"/>
      <c r="C36" s="4" t="s">
        <v>341</v>
      </c>
      <c r="D36" s="4">
        <v>2</v>
      </c>
      <c r="E36" s="4" t="s">
        <v>357</v>
      </c>
      <c r="F36" s="42"/>
      <c r="G36" s="8" t="s">
        <v>426</v>
      </c>
    </row>
    <row r="37" spans="2:7" x14ac:dyDescent="0.25">
      <c r="B37" s="34"/>
      <c r="C37" s="4" t="s">
        <v>339</v>
      </c>
      <c r="D37" s="4">
        <v>2</v>
      </c>
      <c r="E37" s="4" t="s">
        <v>359</v>
      </c>
      <c r="F37" s="42"/>
      <c r="G37" s="8" t="s">
        <v>427</v>
      </c>
    </row>
    <row r="38" spans="2:7" x14ac:dyDescent="0.25">
      <c r="B38" s="34" t="s">
        <v>336</v>
      </c>
      <c r="C38" s="4" t="s">
        <v>343</v>
      </c>
      <c r="D38" s="4">
        <v>2</v>
      </c>
      <c r="E38" s="4" t="s">
        <v>353</v>
      </c>
      <c r="F38" s="42"/>
      <c r="G38" s="8" t="s">
        <v>428</v>
      </c>
    </row>
    <row r="39" spans="2:7" x14ac:dyDescent="0.25">
      <c r="B39" s="34"/>
      <c r="C39" s="4" t="s">
        <v>345</v>
      </c>
      <c r="D39" s="4">
        <v>2</v>
      </c>
      <c r="E39" s="4" t="s">
        <v>351</v>
      </c>
      <c r="F39" s="42"/>
      <c r="G39" s="8" t="s">
        <v>429</v>
      </c>
    </row>
    <row r="40" spans="2:7" x14ac:dyDescent="0.25">
      <c r="B40" s="34"/>
      <c r="C40" s="4" t="s">
        <v>347</v>
      </c>
      <c r="D40" s="4">
        <v>2</v>
      </c>
      <c r="E40" s="4" t="s">
        <v>349</v>
      </c>
      <c r="F40" s="42"/>
      <c r="G40" s="8" t="s">
        <v>430</v>
      </c>
    </row>
    <row r="41" spans="2:7" x14ac:dyDescent="0.25">
      <c r="B41" s="43" t="s">
        <v>598</v>
      </c>
      <c r="C41" s="28" t="s">
        <v>482</v>
      </c>
      <c r="D41" s="28">
        <v>1</v>
      </c>
      <c r="E41" s="28" t="s">
        <v>500</v>
      </c>
      <c r="F41" s="43" t="s">
        <v>431</v>
      </c>
      <c r="G41" s="30" t="s">
        <v>607</v>
      </c>
    </row>
    <row r="42" spans="2:7" x14ac:dyDescent="0.25">
      <c r="B42" s="43"/>
      <c r="C42" s="28" t="s">
        <v>483</v>
      </c>
      <c r="D42" s="28">
        <v>1</v>
      </c>
      <c r="E42" s="28" t="s">
        <v>501</v>
      </c>
      <c r="F42" s="43"/>
      <c r="G42" s="27" t="s">
        <v>608</v>
      </c>
    </row>
    <row r="43" spans="2:7" x14ac:dyDescent="0.25">
      <c r="B43" s="43"/>
      <c r="C43" s="28" t="s">
        <v>484</v>
      </c>
      <c r="D43" s="28">
        <v>1</v>
      </c>
      <c r="E43" s="28" t="s">
        <v>502</v>
      </c>
      <c r="F43" s="43"/>
      <c r="G43" s="27" t="s">
        <v>609</v>
      </c>
    </row>
    <row r="44" spans="2:7" x14ac:dyDescent="0.25">
      <c r="B44" s="43"/>
      <c r="C44" s="28" t="s">
        <v>485</v>
      </c>
      <c r="D44" s="28">
        <v>1</v>
      </c>
      <c r="E44" s="28" t="s">
        <v>503</v>
      </c>
      <c r="F44" s="43"/>
      <c r="G44" s="27" t="s">
        <v>610</v>
      </c>
    </row>
    <row r="45" spans="2:7" x14ac:dyDescent="0.25">
      <c r="B45" s="43"/>
      <c r="C45" s="28" t="s">
        <v>601</v>
      </c>
      <c r="D45" s="28">
        <v>1</v>
      </c>
      <c r="E45" s="28" t="s">
        <v>504</v>
      </c>
      <c r="F45" s="43"/>
      <c r="G45" s="27" t="s">
        <v>611</v>
      </c>
    </row>
    <row r="46" spans="2:7" x14ac:dyDescent="0.25">
      <c r="B46" s="43"/>
      <c r="C46" s="28" t="s">
        <v>602</v>
      </c>
      <c r="D46" s="28">
        <v>1</v>
      </c>
      <c r="E46" s="28" t="s">
        <v>505</v>
      </c>
      <c r="F46" s="43"/>
      <c r="G46" s="27" t="s">
        <v>612</v>
      </c>
    </row>
    <row r="47" spans="2:7" x14ac:dyDescent="0.25">
      <c r="B47" s="43" t="s">
        <v>599</v>
      </c>
      <c r="C47" s="28" t="s">
        <v>488</v>
      </c>
      <c r="D47" s="28">
        <v>1</v>
      </c>
      <c r="E47" s="28" t="s">
        <v>506</v>
      </c>
      <c r="F47" s="43"/>
      <c r="G47" s="30" t="s">
        <v>613</v>
      </c>
    </row>
    <row r="48" spans="2:7" x14ac:dyDescent="0.25">
      <c r="B48" s="43"/>
      <c r="C48" s="28" t="s">
        <v>489</v>
      </c>
      <c r="D48" s="28">
        <v>1</v>
      </c>
      <c r="E48" s="28" t="s">
        <v>507</v>
      </c>
      <c r="F48" s="43"/>
      <c r="G48" s="27" t="s">
        <v>614</v>
      </c>
    </row>
    <row r="49" spans="2:7" x14ac:dyDescent="0.25">
      <c r="B49" s="43"/>
      <c r="C49" s="28" t="s">
        <v>490</v>
      </c>
      <c r="D49" s="28">
        <v>1</v>
      </c>
      <c r="E49" s="28" t="s">
        <v>508</v>
      </c>
      <c r="F49" s="43"/>
      <c r="G49" s="27" t="s">
        <v>615</v>
      </c>
    </row>
    <row r="50" spans="2:7" x14ac:dyDescent="0.25">
      <c r="B50" s="43"/>
      <c r="C50" s="28" t="s">
        <v>491</v>
      </c>
      <c r="D50" s="28">
        <v>1</v>
      </c>
      <c r="E50" s="28" t="s">
        <v>509</v>
      </c>
      <c r="F50" s="43"/>
      <c r="G50" s="27" t="s">
        <v>616</v>
      </c>
    </row>
    <row r="51" spans="2:7" x14ac:dyDescent="0.25">
      <c r="B51" s="43"/>
      <c r="C51" s="28" t="s">
        <v>603</v>
      </c>
      <c r="D51" s="28">
        <v>1</v>
      </c>
      <c r="E51" s="28" t="s">
        <v>625</v>
      </c>
      <c r="F51" s="43"/>
      <c r="G51" s="27" t="s">
        <v>617</v>
      </c>
    </row>
    <row r="52" spans="2:7" x14ac:dyDescent="0.25">
      <c r="B52" s="43"/>
      <c r="C52" s="28" t="s">
        <v>604</v>
      </c>
      <c r="D52" s="28">
        <v>1</v>
      </c>
      <c r="E52" s="28" t="s">
        <v>510</v>
      </c>
      <c r="F52" s="43"/>
      <c r="G52" s="27" t="s">
        <v>618</v>
      </c>
    </row>
    <row r="53" spans="2:7" x14ac:dyDescent="0.25">
      <c r="B53" s="43" t="s">
        <v>600</v>
      </c>
      <c r="C53" s="28" t="s">
        <v>494</v>
      </c>
      <c r="D53" s="28">
        <v>1</v>
      </c>
      <c r="E53" s="28" t="s">
        <v>512</v>
      </c>
      <c r="F53" s="43"/>
      <c r="G53" s="30" t="s">
        <v>619</v>
      </c>
    </row>
    <row r="54" spans="2:7" x14ac:dyDescent="0.25">
      <c r="B54" s="43"/>
      <c r="C54" s="28" t="s">
        <v>495</v>
      </c>
      <c r="D54" s="28">
        <v>1</v>
      </c>
      <c r="E54" s="28" t="s">
        <v>513</v>
      </c>
      <c r="F54" s="43"/>
      <c r="G54" s="27" t="s">
        <v>620</v>
      </c>
    </row>
    <row r="55" spans="2:7" x14ac:dyDescent="0.25">
      <c r="B55" s="43"/>
      <c r="C55" s="28" t="s">
        <v>496</v>
      </c>
      <c r="D55" s="28">
        <v>1</v>
      </c>
      <c r="E55" s="28" t="s">
        <v>514</v>
      </c>
      <c r="F55" s="43"/>
      <c r="G55" s="27" t="s">
        <v>621</v>
      </c>
    </row>
    <row r="56" spans="2:7" x14ac:dyDescent="0.25">
      <c r="B56" s="43"/>
      <c r="C56" s="28" t="s">
        <v>497</v>
      </c>
      <c r="D56" s="28">
        <v>1</v>
      </c>
      <c r="E56" s="28" t="s">
        <v>515</v>
      </c>
      <c r="F56" s="43"/>
      <c r="G56" s="27" t="s">
        <v>622</v>
      </c>
    </row>
    <row r="57" spans="2:7" x14ac:dyDescent="0.25">
      <c r="B57" s="43"/>
      <c r="C57" s="28" t="s">
        <v>605</v>
      </c>
      <c r="D57" s="28">
        <v>1</v>
      </c>
      <c r="E57" s="28" t="s">
        <v>516</v>
      </c>
      <c r="F57" s="43"/>
      <c r="G57" s="27" t="s">
        <v>623</v>
      </c>
    </row>
    <row r="58" spans="2:7" x14ac:dyDescent="0.25">
      <c r="B58" s="43"/>
      <c r="C58" s="28" t="s">
        <v>606</v>
      </c>
      <c r="D58" s="28">
        <v>1</v>
      </c>
      <c r="E58" s="28" t="s">
        <v>517</v>
      </c>
      <c r="F58" s="43"/>
      <c r="G58" s="27" t="s">
        <v>624</v>
      </c>
    </row>
    <row r="59" spans="2:7" x14ac:dyDescent="0.25">
      <c r="B59" s="43" t="s">
        <v>379</v>
      </c>
      <c r="C59" s="28" t="s">
        <v>380</v>
      </c>
      <c r="D59" s="28">
        <v>1</v>
      </c>
      <c r="E59" s="28" t="s">
        <v>518</v>
      </c>
      <c r="F59" s="43" t="s">
        <v>431</v>
      </c>
      <c r="G59" s="30" t="s">
        <v>413</v>
      </c>
    </row>
    <row r="60" spans="2:7" x14ac:dyDescent="0.25">
      <c r="B60" s="43"/>
      <c r="C60" s="28" t="s">
        <v>381</v>
      </c>
      <c r="D60" s="28">
        <v>1</v>
      </c>
      <c r="E60" s="28" t="s">
        <v>519</v>
      </c>
      <c r="F60" s="43"/>
      <c r="G60" s="27" t="s">
        <v>416</v>
      </c>
    </row>
    <row r="61" spans="2:7" x14ac:dyDescent="0.25">
      <c r="B61" s="43"/>
      <c r="C61" s="28" t="s">
        <v>382</v>
      </c>
      <c r="D61" s="28">
        <v>1</v>
      </c>
      <c r="E61" s="28" t="s">
        <v>520</v>
      </c>
      <c r="F61" s="43"/>
      <c r="G61" s="27" t="s">
        <v>419</v>
      </c>
    </row>
    <row r="62" spans="2:7" x14ac:dyDescent="0.25">
      <c r="B62" s="43"/>
      <c r="C62" s="28" t="s">
        <v>383</v>
      </c>
      <c r="D62" s="28">
        <v>1</v>
      </c>
      <c r="E62" s="28" t="s">
        <v>521</v>
      </c>
      <c r="F62" s="43"/>
      <c r="G62" s="27" t="s">
        <v>422</v>
      </c>
    </row>
    <row r="63" spans="2:7" x14ac:dyDescent="0.25">
      <c r="B63" s="43"/>
      <c r="C63" s="28" t="s">
        <v>465</v>
      </c>
      <c r="D63" s="28">
        <v>1</v>
      </c>
      <c r="E63" s="28" t="s">
        <v>522</v>
      </c>
      <c r="F63" s="43"/>
      <c r="G63" s="27" t="s">
        <v>467</v>
      </c>
    </row>
    <row r="64" spans="2:7" x14ac:dyDescent="0.25">
      <c r="B64" s="43"/>
      <c r="C64" s="28" t="s">
        <v>466</v>
      </c>
      <c r="D64" s="28">
        <v>1</v>
      </c>
      <c r="E64" s="28" t="s">
        <v>523</v>
      </c>
      <c r="F64" s="43"/>
      <c r="G64" s="27" t="s">
        <v>468</v>
      </c>
    </row>
    <row r="65" spans="2:7" x14ac:dyDescent="0.25">
      <c r="B65" s="43" t="s">
        <v>384</v>
      </c>
      <c r="C65" s="28" t="s">
        <v>386</v>
      </c>
      <c r="D65" s="28">
        <v>1</v>
      </c>
      <c r="E65" s="28" t="s">
        <v>524</v>
      </c>
      <c r="F65" s="43"/>
      <c r="G65" s="30" t="s">
        <v>414</v>
      </c>
    </row>
    <row r="66" spans="2:7" x14ac:dyDescent="0.25">
      <c r="B66" s="43"/>
      <c r="C66" s="28" t="s">
        <v>387</v>
      </c>
      <c r="D66" s="28">
        <v>1</v>
      </c>
      <c r="E66" s="28" t="s">
        <v>525</v>
      </c>
      <c r="F66" s="43"/>
      <c r="G66" s="27" t="s">
        <v>417</v>
      </c>
    </row>
    <row r="67" spans="2:7" x14ac:dyDescent="0.25">
      <c r="B67" s="43"/>
      <c r="C67" s="28" t="s">
        <v>388</v>
      </c>
      <c r="D67" s="28">
        <v>1</v>
      </c>
      <c r="E67" s="28" t="s">
        <v>526</v>
      </c>
      <c r="F67" s="43"/>
      <c r="G67" s="27" t="s">
        <v>420</v>
      </c>
    </row>
    <row r="68" spans="2:7" x14ac:dyDescent="0.25">
      <c r="B68" s="43"/>
      <c r="C68" s="28" t="s">
        <v>389</v>
      </c>
      <c r="D68" s="28">
        <v>1</v>
      </c>
      <c r="E68" s="28" t="s">
        <v>527</v>
      </c>
      <c r="F68" s="43"/>
      <c r="G68" s="27" t="s">
        <v>423</v>
      </c>
    </row>
    <row r="69" spans="2:7" x14ac:dyDescent="0.25">
      <c r="B69" s="43"/>
      <c r="C69" s="28" t="s">
        <v>469</v>
      </c>
      <c r="D69" s="28">
        <v>1</v>
      </c>
      <c r="E69" s="28" t="s">
        <v>626</v>
      </c>
      <c r="F69" s="43"/>
      <c r="G69" s="27" t="s">
        <v>473</v>
      </c>
    </row>
    <row r="70" spans="2:7" x14ac:dyDescent="0.25">
      <c r="B70" s="43"/>
      <c r="C70" s="28" t="s">
        <v>470</v>
      </c>
      <c r="D70" s="28">
        <v>1</v>
      </c>
      <c r="E70" s="28" t="s">
        <v>528</v>
      </c>
      <c r="F70" s="43"/>
      <c r="G70" s="27" t="s">
        <v>474</v>
      </c>
    </row>
    <row r="71" spans="2:7" x14ac:dyDescent="0.25">
      <c r="B71" s="43" t="s">
        <v>385</v>
      </c>
      <c r="C71" s="28" t="s">
        <v>390</v>
      </c>
      <c r="D71" s="28">
        <v>1</v>
      </c>
      <c r="E71" s="28" t="s">
        <v>530</v>
      </c>
      <c r="F71" s="43"/>
      <c r="G71" s="30" t="s">
        <v>415</v>
      </c>
    </row>
    <row r="72" spans="2:7" x14ac:dyDescent="0.25">
      <c r="B72" s="43"/>
      <c r="C72" s="28" t="s">
        <v>391</v>
      </c>
      <c r="D72" s="28">
        <v>1</v>
      </c>
      <c r="E72" s="28" t="s">
        <v>531</v>
      </c>
      <c r="F72" s="43"/>
      <c r="G72" s="27" t="s">
        <v>418</v>
      </c>
    </row>
    <row r="73" spans="2:7" x14ac:dyDescent="0.25">
      <c r="B73" s="43"/>
      <c r="C73" s="28" t="s">
        <v>392</v>
      </c>
      <c r="D73" s="28">
        <v>1</v>
      </c>
      <c r="E73" s="28" t="s">
        <v>532</v>
      </c>
      <c r="F73" s="43"/>
      <c r="G73" s="27" t="s">
        <v>421</v>
      </c>
    </row>
    <row r="74" spans="2:7" x14ac:dyDescent="0.25">
      <c r="B74" s="43"/>
      <c r="C74" s="28" t="s">
        <v>393</v>
      </c>
      <c r="D74" s="28">
        <v>1</v>
      </c>
      <c r="E74" s="28" t="s">
        <v>533</v>
      </c>
      <c r="F74" s="43"/>
      <c r="G74" s="27" t="s">
        <v>424</v>
      </c>
    </row>
    <row r="75" spans="2:7" x14ac:dyDescent="0.25">
      <c r="B75" s="43"/>
      <c r="C75" s="28" t="s">
        <v>471</v>
      </c>
      <c r="D75" s="28">
        <v>1</v>
      </c>
      <c r="E75" s="28" t="s">
        <v>534</v>
      </c>
      <c r="F75" s="43"/>
      <c r="G75" s="27" t="s">
        <v>475</v>
      </c>
    </row>
    <row r="76" spans="2:7" x14ac:dyDescent="0.25">
      <c r="B76" s="43"/>
      <c r="C76" s="28" t="s">
        <v>472</v>
      </c>
      <c r="D76" s="28">
        <v>1</v>
      </c>
      <c r="E76" s="28" t="s">
        <v>535</v>
      </c>
      <c r="F76" s="43"/>
      <c r="G76" s="27" t="s">
        <v>476</v>
      </c>
    </row>
  </sheetData>
  <mergeCells count="36">
    <mergeCell ref="B53:B58"/>
    <mergeCell ref="C12:D12"/>
    <mergeCell ref="F15:F40"/>
    <mergeCell ref="F3:F14"/>
    <mergeCell ref="G3:G14"/>
    <mergeCell ref="B65:B70"/>
    <mergeCell ref="B71:B76"/>
    <mergeCell ref="F59:F76"/>
    <mergeCell ref="B33:C33"/>
    <mergeCell ref="C11:D11"/>
    <mergeCell ref="C13:D13"/>
    <mergeCell ref="C14:D14"/>
    <mergeCell ref="B15:B22"/>
    <mergeCell ref="B23:B27"/>
    <mergeCell ref="B3:B14"/>
    <mergeCell ref="C3:D3"/>
    <mergeCell ref="C4:D4"/>
    <mergeCell ref="C5:D5"/>
    <mergeCell ref="F41:F58"/>
    <mergeCell ref="B47:B52"/>
    <mergeCell ref="B2:D2"/>
    <mergeCell ref="B35:B37"/>
    <mergeCell ref="B38:B40"/>
    <mergeCell ref="B34:C34"/>
    <mergeCell ref="B59:B64"/>
    <mergeCell ref="B28:C28"/>
    <mergeCell ref="B29:C29"/>
    <mergeCell ref="B30:C30"/>
    <mergeCell ref="B31:C31"/>
    <mergeCell ref="B32:C32"/>
    <mergeCell ref="C9:D9"/>
    <mergeCell ref="C10:D10"/>
    <mergeCell ref="C6:D6"/>
    <mergeCell ref="C7:D7"/>
    <mergeCell ref="C8:D8"/>
    <mergeCell ref="B41:B4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3D96-C9CD-473F-8615-535C291C59C3}">
  <dimension ref="A1:AU6"/>
  <sheetViews>
    <sheetView workbookViewId="0">
      <selection activeCell="I39" sqref="I39"/>
    </sheetView>
  </sheetViews>
  <sheetFormatPr defaultRowHeight="13.5" x14ac:dyDescent="0.25"/>
  <sheetData>
    <row r="1" spans="1:47" ht="17.25" x14ac:dyDescent="0.25">
      <c r="A1" s="9" t="s">
        <v>456</v>
      </c>
    </row>
    <row r="3" spans="1:47" ht="16.5" x14ac:dyDescent="0.25">
      <c r="A3" s="35" t="s">
        <v>21</v>
      </c>
      <c r="B3" s="35" t="s">
        <v>454</v>
      </c>
      <c r="C3" s="35" t="s">
        <v>455</v>
      </c>
      <c r="D3" s="42" t="s">
        <v>376</v>
      </c>
      <c r="E3" s="42"/>
      <c r="F3" s="42"/>
      <c r="G3" s="42"/>
      <c r="H3" s="42"/>
      <c r="I3" s="42"/>
      <c r="J3" s="42"/>
      <c r="K3" s="42"/>
      <c r="L3" s="34" t="s">
        <v>378</v>
      </c>
      <c r="M3" s="34"/>
      <c r="N3" s="34"/>
      <c r="O3" s="34"/>
      <c r="P3" s="34"/>
      <c r="Q3" s="34" t="s">
        <v>8</v>
      </c>
      <c r="R3" s="34" t="s">
        <v>9</v>
      </c>
      <c r="S3" s="34" t="s">
        <v>10</v>
      </c>
      <c r="T3" s="34" t="s">
        <v>11</v>
      </c>
      <c r="U3" s="34" t="s">
        <v>12</v>
      </c>
      <c r="V3" s="34" t="s">
        <v>13</v>
      </c>
      <c r="W3" s="34" t="s">
        <v>14</v>
      </c>
      <c r="X3" s="34" t="s">
        <v>432</v>
      </c>
      <c r="Y3" s="34"/>
      <c r="Z3" s="34"/>
      <c r="AA3" s="34"/>
      <c r="AB3" s="34"/>
      <c r="AC3" s="34"/>
      <c r="AD3" s="34" t="s">
        <v>433</v>
      </c>
      <c r="AE3" s="34"/>
      <c r="AF3" s="34"/>
      <c r="AG3" s="34"/>
      <c r="AH3" s="34"/>
      <c r="AI3" s="34"/>
      <c r="AJ3" s="34" t="s">
        <v>434</v>
      </c>
      <c r="AK3" s="34"/>
      <c r="AL3" s="34"/>
      <c r="AM3" s="34"/>
      <c r="AN3" s="34"/>
      <c r="AO3" s="34"/>
      <c r="AP3" s="34" t="s">
        <v>335</v>
      </c>
      <c r="AQ3" s="34"/>
      <c r="AR3" s="34"/>
      <c r="AS3" s="34" t="s">
        <v>336</v>
      </c>
      <c r="AT3" s="34"/>
      <c r="AU3" s="34"/>
    </row>
    <row r="4" spans="1:47" ht="16.5" x14ac:dyDescent="0.25">
      <c r="A4" s="35"/>
      <c r="B4" s="35"/>
      <c r="C4" s="35"/>
      <c r="D4" s="5" t="s">
        <v>2</v>
      </c>
      <c r="E4" s="4" t="s">
        <v>3</v>
      </c>
      <c r="F4" s="4" t="s">
        <v>4</v>
      </c>
      <c r="G4" s="4" t="s">
        <v>443</v>
      </c>
      <c r="H4" s="4" t="s">
        <v>365</v>
      </c>
      <c r="I4" s="4" t="s">
        <v>367</v>
      </c>
      <c r="J4" s="4" t="s">
        <v>369</v>
      </c>
      <c r="K4" s="4" t="s">
        <v>445</v>
      </c>
      <c r="L4" s="4" t="s">
        <v>5</v>
      </c>
      <c r="M4" s="4" t="s">
        <v>6</v>
      </c>
      <c r="N4" s="4" t="s">
        <v>7</v>
      </c>
      <c r="O4" s="4" t="s">
        <v>446</v>
      </c>
      <c r="P4" s="4" t="s">
        <v>333</v>
      </c>
      <c r="Q4" s="34"/>
      <c r="R4" s="34"/>
      <c r="S4" s="34"/>
      <c r="T4" s="34"/>
      <c r="U4" s="34"/>
      <c r="V4" s="34"/>
      <c r="W4" s="34"/>
      <c r="X4" s="4" t="s">
        <v>380</v>
      </c>
      <c r="Y4" s="4" t="s">
        <v>381</v>
      </c>
      <c r="Z4" s="4" t="s">
        <v>382</v>
      </c>
      <c r="AA4" s="4" t="s">
        <v>383</v>
      </c>
      <c r="AB4" s="4" t="s">
        <v>459</v>
      </c>
      <c r="AC4" s="4" t="s">
        <v>460</v>
      </c>
      <c r="AD4" s="4" t="s">
        <v>386</v>
      </c>
      <c r="AE4" s="4" t="s">
        <v>387</v>
      </c>
      <c r="AF4" s="4" t="s">
        <v>388</v>
      </c>
      <c r="AG4" s="4" t="s">
        <v>389</v>
      </c>
      <c r="AH4" s="4" t="s">
        <v>461</v>
      </c>
      <c r="AI4" s="4" t="s">
        <v>462</v>
      </c>
      <c r="AJ4" s="4" t="s">
        <v>390</v>
      </c>
      <c r="AK4" s="4" t="s">
        <v>391</v>
      </c>
      <c r="AL4" s="4" t="s">
        <v>392</v>
      </c>
      <c r="AM4" s="4" t="s">
        <v>393</v>
      </c>
      <c r="AN4" s="4" t="s">
        <v>477</v>
      </c>
      <c r="AO4" s="4" t="s">
        <v>478</v>
      </c>
      <c r="AP4" s="4" t="s">
        <v>338</v>
      </c>
      <c r="AQ4" s="4" t="s">
        <v>342</v>
      </c>
      <c r="AR4" s="4" t="s">
        <v>340</v>
      </c>
      <c r="AS4" s="4" t="s">
        <v>344</v>
      </c>
      <c r="AT4" s="4" t="s">
        <v>346</v>
      </c>
      <c r="AU4" s="4" t="s">
        <v>348</v>
      </c>
    </row>
    <row r="5" spans="1:47" x14ac:dyDescent="0.25">
      <c r="A5" s="3">
        <v>1</v>
      </c>
      <c r="B5" s="2" t="s">
        <v>450</v>
      </c>
      <c r="C5" s="2" t="s">
        <v>452</v>
      </c>
      <c r="D5" s="3">
        <v>25</v>
      </c>
      <c r="E5" s="3">
        <v>27</v>
      </c>
      <c r="F5" s="3">
        <v>29</v>
      </c>
      <c r="G5" s="3" t="s">
        <v>457</v>
      </c>
      <c r="H5" s="3">
        <v>17</v>
      </c>
      <c r="I5" s="3">
        <v>19</v>
      </c>
      <c r="J5" s="3">
        <v>21</v>
      </c>
      <c r="K5" s="3" t="s">
        <v>457</v>
      </c>
      <c r="L5" s="3">
        <v>39</v>
      </c>
      <c r="M5" s="3">
        <v>41</v>
      </c>
      <c r="N5" s="3">
        <v>43</v>
      </c>
      <c r="O5" s="3">
        <v>45</v>
      </c>
      <c r="P5" s="3" t="s">
        <v>457</v>
      </c>
      <c r="Q5" s="3">
        <v>91</v>
      </c>
      <c r="R5" s="3">
        <v>89</v>
      </c>
      <c r="S5" s="3">
        <v>73</v>
      </c>
      <c r="T5" s="3">
        <v>81</v>
      </c>
      <c r="U5" s="3" t="s">
        <v>458</v>
      </c>
      <c r="V5" s="3" t="s">
        <v>458</v>
      </c>
      <c r="W5" s="3" t="s">
        <v>457</v>
      </c>
      <c r="X5" s="3">
        <v>117</v>
      </c>
      <c r="Y5" s="3">
        <v>123</v>
      </c>
      <c r="Z5" s="3">
        <v>127</v>
      </c>
      <c r="AA5" s="3">
        <v>131</v>
      </c>
      <c r="AB5" s="3">
        <v>135</v>
      </c>
      <c r="AC5" s="3">
        <v>139</v>
      </c>
      <c r="AD5" s="3">
        <v>141</v>
      </c>
      <c r="AE5" s="3">
        <v>147</v>
      </c>
      <c r="AF5" s="3">
        <v>151</v>
      </c>
      <c r="AG5" s="3">
        <v>155</v>
      </c>
      <c r="AH5" s="3">
        <v>159</v>
      </c>
      <c r="AI5" s="3">
        <v>163</v>
      </c>
      <c r="AJ5" s="3">
        <v>165</v>
      </c>
      <c r="AK5" s="3">
        <v>171</v>
      </c>
      <c r="AL5" s="3">
        <v>175</v>
      </c>
      <c r="AM5" s="3">
        <v>179</v>
      </c>
      <c r="AN5" s="3">
        <v>183</v>
      </c>
      <c r="AO5" s="3">
        <v>187</v>
      </c>
      <c r="AP5" s="3">
        <v>53</v>
      </c>
      <c r="AQ5" s="3">
        <v>55</v>
      </c>
      <c r="AR5" s="3">
        <v>57</v>
      </c>
      <c r="AS5" s="3">
        <v>59</v>
      </c>
      <c r="AT5" s="3">
        <v>61</v>
      </c>
      <c r="AU5" s="3">
        <v>63</v>
      </c>
    </row>
    <row r="6" spans="1:47" x14ac:dyDescent="0.25">
      <c r="A6" s="6">
        <v>2</v>
      </c>
      <c r="B6" s="10" t="s">
        <v>451</v>
      </c>
      <c r="C6" s="10" t="s">
        <v>453</v>
      </c>
      <c r="D6" s="3">
        <v>19</v>
      </c>
      <c r="E6" s="3">
        <v>21</v>
      </c>
      <c r="F6" s="3">
        <v>23</v>
      </c>
      <c r="G6" s="3" t="s">
        <v>457</v>
      </c>
      <c r="H6" s="3">
        <v>11</v>
      </c>
      <c r="I6" s="3">
        <v>13</v>
      </c>
      <c r="J6" s="3">
        <v>15</v>
      </c>
      <c r="K6" s="3" t="s">
        <v>457</v>
      </c>
      <c r="L6" s="3">
        <v>33</v>
      </c>
      <c r="M6" s="3">
        <v>35</v>
      </c>
      <c r="N6" s="3">
        <v>37</v>
      </c>
      <c r="O6" s="3">
        <v>39</v>
      </c>
      <c r="P6" s="3" t="s">
        <v>457</v>
      </c>
      <c r="Q6" s="3">
        <v>85</v>
      </c>
      <c r="R6" s="3">
        <v>83</v>
      </c>
      <c r="S6" s="3">
        <v>67</v>
      </c>
      <c r="T6" s="3">
        <v>75</v>
      </c>
      <c r="U6" s="3" t="s">
        <v>458</v>
      </c>
      <c r="V6" s="3" t="s">
        <v>458</v>
      </c>
      <c r="W6" s="3">
        <v>215</v>
      </c>
      <c r="X6" s="3">
        <v>311</v>
      </c>
      <c r="Y6" s="3">
        <v>315</v>
      </c>
      <c r="Z6" s="3">
        <v>319</v>
      </c>
      <c r="AA6" s="3">
        <v>323</v>
      </c>
      <c r="AB6" s="3">
        <v>319</v>
      </c>
      <c r="AC6" s="3">
        <v>323</v>
      </c>
      <c r="AD6" s="3">
        <v>341</v>
      </c>
      <c r="AE6" s="3">
        <v>345</v>
      </c>
      <c r="AF6" s="3">
        <v>349</v>
      </c>
      <c r="AG6" s="3">
        <v>351</v>
      </c>
      <c r="AH6" s="3">
        <v>349</v>
      </c>
      <c r="AI6" s="3">
        <v>351</v>
      </c>
      <c r="AJ6" s="3">
        <v>371</v>
      </c>
      <c r="AK6" s="3">
        <v>375</v>
      </c>
      <c r="AL6" s="3">
        <v>379</v>
      </c>
      <c r="AM6" s="3">
        <v>383</v>
      </c>
      <c r="AN6" s="3">
        <v>379</v>
      </c>
      <c r="AO6" s="3">
        <v>383</v>
      </c>
      <c r="AP6" s="3">
        <v>47</v>
      </c>
      <c r="AQ6" s="3">
        <v>49</v>
      </c>
      <c r="AR6" s="3">
        <v>51</v>
      </c>
      <c r="AS6" s="3">
        <v>53</v>
      </c>
      <c r="AT6" s="3">
        <v>55</v>
      </c>
      <c r="AU6" s="3">
        <v>57</v>
      </c>
    </row>
  </sheetData>
  <mergeCells count="17">
    <mergeCell ref="AP3:AR3"/>
    <mergeCell ref="AS3:AU3"/>
    <mergeCell ref="B3:B4"/>
    <mergeCell ref="C3:C4"/>
    <mergeCell ref="AD3:AI3"/>
    <mergeCell ref="AJ3:AO3"/>
    <mergeCell ref="A3:A4"/>
    <mergeCell ref="U3:U4"/>
    <mergeCell ref="V3:V4"/>
    <mergeCell ref="W3:W4"/>
    <mergeCell ref="X3:AC3"/>
    <mergeCell ref="D3:K3"/>
    <mergeCell ref="L3:P3"/>
    <mergeCell ref="Q3:Q4"/>
    <mergeCell ref="R3:R4"/>
    <mergeCell ref="S3:S4"/>
    <mergeCell ref="T3:T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PLC_IO_Address_DI</vt:lpstr>
      <vt:lpstr>PLC_IO_Address_AI</vt:lpstr>
      <vt:lpstr>DB_컬럼</vt:lpstr>
      <vt:lpstr>Register_Number</vt:lpstr>
      <vt:lpstr>PLC_IO_Address_AI!Print_Titles</vt:lpstr>
      <vt:lpstr>PLC_IO_Address_DI!Print_Titles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SNUT CNT8</dc:creator>
  <cp:lastModifiedBy>SNUT CNT3</cp:lastModifiedBy>
  <cp:lastPrinted>2026-02-27T06:53:09Z</cp:lastPrinted>
  <dcterms:created xsi:type="dcterms:W3CDTF">2025-11-26T06:49:52Z</dcterms:created>
  <dcterms:modified xsi:type="dcterms:W3CDTF">2026-03-11T08:48:52Z</dcterms:modified>
</cp:coreProperties>
</file>
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이홍규\프로젝트\20250708-아산병원동관\04.설계\IO_Address\"/>
    </mc:Choice>
  </mc:AlternateContent>
  <xr:revisionPtr revIDLastSave="0" documentId="13_ncr:1_{2AE33B6B-38EE-4E49-BE86-5C321248CB7F}" xr6:coauthVersionLast="47" xr6:coauthVersionMax="47" xr10:uidLastSave="{00000000-0000-0000-0000-000000000000}"/>
  <bookViews>
    <workbookView xWindow="28680" yWindow="-120" windowWidth="29040" windowHeight="15720" activeTab="1" xr2:uid="{729025E9-0105-4A14-8D3A-417F1219B137}"/>
  </bookViews>
  <sheets>
    <sheet name="PLC_IO_Address_DI" sheetId="5" r:id="rId1"/>
    <sheet name="PLC_IO_Address_AI" sheetId="1" r:id="rId2"/>
    <sheet name="Register_Number" sheetId="6" r:id="rId3"/>
    <sheet name="Tag_List" sheetId="3" r:id="rId4"/>
    <sheet name="DB_컬럼" sheetId="4" r:id="rId5"/>
  </sheets>
  <definedNames>
    <definedName name="_xlnm._FilterDatabase" localSheetId="1" hidden="1">PLC_IO_Address_AI!$A$7:$BP$233</definedName>
    <definedName name="_xlnm._FilterDatabase" localSheetId="0" hidden="1">PLC_IO_Address_DI!$A$7:$AH$233</definedName>
    <definedName name="_xlnm._FilterDatabase" localSheetId="3" hidden="1">Tag_List!$A$7:$BA$232</definedName>
    <definedName name="_xlnm.Print_Titles" localSheetId="1">PLC_IO_Address_AI!$4:$7</definedName>
    <definedName name="_xlnm.Print_Titles" localSheetId="0">PLC_IO_Address_DI!$4:$7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13" i="1" s="1"/>
  <c r="E14" i="1" s="1"/>
  <c r="E15" i="1" s="1"/>
  <c r="E16" i="1" s="1"/>
  <c r="E17" i="1" s="1"/>
  <c r="E18" i="1" s="1"/>
  <c r="E19" i="1" s="1"/>
  <c r="E22" i="1" s="1"/>
  <c r="E23" i="1" s="1"/>
  <c r="E24" i="1" s="1"/>
  <c r="E25" i="1" s="1"/>
  <c r="E26" i="1" s="1"/>
  <c r="E27" i="1" s="1"/>
  <c r="E31" i="1" s="1"/>
  <c r="E32" i="1" s="1"/>
  <c r="E33" i="1" s="1"/>
  <c r="E34" i="1" s="1"/>
  <c r="E35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8" i="1" s="1"/>
  <c r="E49" i="1" s="1"/>
  <c r="E50" i="1" s="1"/>
  <c r="E51" i="1" s="1"/>
  <c r="E52" i="1" s="1"/>
  <c r="E53" i="1" s="1"/>
  <c r="E54" i="1" s="1"/>
  <c r="E55" i="1" s="1"/>
  <c r="E56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2" i="1" s="1"/>
  <c r="E73" i="1" s="1"/>
  <c r="E74" i="1" s="1"/>
  <c r="E75" i="1" s="1"/>
  <c r="E76" i="1" s="1"/>
  <c r="E77" i="1" s="1"/>
  <c r="E83" i="1" s="1"/>
  <c r="E89" i="1" s="1"/>
  <c r="E8" i="5"/>
  <c r="AU98" i="3"/>
  <c r="AT98" i="3"/>
  <c r="AS98" i="3"/>
  <c r="AR98" i="3"/>
  <c r="AQ98" i="3"/>
  <c r="AP98" i="3"/>
  <c r="AO98" i="3"/>
  <c r="AN98" i="3"/>
  <c r="AM98" i="3"/>
  <c r="AL98" i="3"/>
  <c r="AK98" i="3"/>
  <c r="AJ98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U9" i="3"/>
  <c r="AT9" i="3"/>
  <c r="AS9" i="3"/>
  <c r="AR9" i="3"/>
  <c r="AQ9" i="3"/>
  <c r="AP9" i="3"/>
  <c r="AO9" i="3"/>
  <c r="AN9" i="3"/>
  <c r="AM9" i="3"/>
  <c r="AL9" i="3"/>
  <c r="AK9" i="3"/>
  <c r="AJ9" i="3"/>
  <c r="AU8" i="3"/>
  <c r="AT8" i="3"/>
  <c r="AS8" i="3"/>
  <c r="AR8" i="3"/>
  <c r="AQ8" i="3"/>
  <c r="AP8" i="3"/>
  <c r="AO8" i="3"/>
  <c r="AN8" i="3"/>
  <c r="AM8" i="3"/>
  <c r="AL8" i="3"/>
  <c r="AK8" i="3"/>
  <c r="AJ8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U113" i="3"/>
  <c r="AT113" i="3"/>
  <c r="AS113" i="3"/>
  <c r="AR113" i="3"/>
  <c r="AQ113" i="3"/>
  <c r="AP113" i="3"/>
  <c r="AO113" i="3"/>
  <c r="AN113" i="3"/>
  <c r="AM113" i="3"/>
  <c r="AL113" i="3"/>
  <c r="AK113" i="3"/>
  <c r="AJ113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U109" i="3"/>
  <c r="AT109" i="3"/>
  <c r="AS109" i="3"/>
  <c r="AR109" i="3"/>
  <c r="AQ109" i="3"/>
  <c r="AP109" i="3"/>
  <c r="AO109" i="3"/>
  <c r="AN109" i="3"/>
  <c r="AM109" i="3"/>
  <c r="AL109" i="3"/>
  <c r="AK109" i="3"/>
  <c r="AJ109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U125" i="3"/>
  <c r="AT125" i="3"/>
  <c r="AS125" i="3"/>
  <c r="AR125" i="3"/>
  <c r="AQ125" i="3"/>
  <c r="AP125" i="3"/>
  <c r="AO125" i="3"/>
  <c r="AN125" i="3"/>
  <c r="AM125" i="3"/>
  <c r="AL125" i="3"/>
  <c r="AK125" i="3"/>
  <c r="AJ125" i="3"/>
  <c r="AU124" i="3"/>
  <c r="AT124" i="3"/>
  <c r="AS124" i="3"/>
  <c r="AR124" i="3"/>
  <c r="AQ124" i="3"/>
  <c r="AP124" i="3"/>
  <c r="AO124" i="3"/>
  <c r="AN124" i="3"/>
  <c r="AM124" i="3"/>
  <c r="AL124" i="3"/>
  <c r="AK124" i="3"/>
  <c r="AJ124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U119" i="3"/>
  <c r="AT119" i="3"/>
  <c r="AS119" i="3"/>
  <c r="AR119" i="3"/>
  <c r="AQ119" i="3"/>
  <c r="AP119" i="3"/>
  <c r="AO119" i="3"/>
  <c r="AN119" i="3"/>
  <c r="AM119" i="3"/>
  <c r="AL119" i="3"/>
  <c r="AK119" i="3"/>
  <c r="AJ119" i="3"/>
  <c r="AU118" i="3"/>
  <c r="AT118" i="3"/>
  <c r="AS118" i="3"/>
  <c r="AR118" i="3"/>
  <c r="AQ118" i="3"/>
  <c r="AP118" i="3"/>
  <c r="AO118" i="3"/>
  <c r="AN118" i="3"/>
  <c r="AM118" i="3"/>
  <c r="AL118" i="3"/>
  <c r="AK118" i="3"/>
  <c r="AJ118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U129" i="3"/>
  <c r="AT129" i="3"/>
  <c r="AS129" i="3"/>
  <c r="AR129" i="3"/>
  <c r="AQ129" i="3"/>
  <c r="AP129" i="3"/>
  <c r="AO129" i="3"/>
  <c r="AN129" i="3"/>
  <c r="AM129" i="3"/>
  <c r="AL129" i="3"/>
  <c r="AK129" i="3"/>
  <c r="AJ129" i="3"/>
  <c r="AU136" i="3"/>
  <c r="AT136" i="3"/>
  <c r="AS136" i="3"/>
  <c r="AR136" i="3"/>
  <c r="AQ136" i="3"/>
  <c r="AP136" i="3"/>
  <c r="AO136" i="3"/>
  <c r="AN136" i="3"/>
  <c r="AM136" i="3"/>
  <c r="AL136" i="3"/>
  <c r="AK136" i="3"/>
  <c r="AJ136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U232" i="3"/>
  <c r="AT232" i="3"/>
  <c r="AS232" i="3"/>
  <c r="AR232" i="3"/>
  <c r="AQ232" i="3"/>
  <c r="AP232" i="3"/>
  <c r="AO232" i="3"/>
  <c r="AN232" i="3"/>
  <c r="AM232" i="3"/>
  <c r="AL232" i="3"/>
  <c r="AK232" i="3"/>
  <c r="AJ232" i="3"/>
  <c r="AU231" i="3"/>
  <c r="AT231" i="3"/>
  <c r="AS231" i="3"/>
  <c r="AR231" i="3"/>
  <c r="AQ231" i="3"/>
  <c r="AP231" i="3"/>
  <c r="AO231" i="3"/>
  <c r="AN231" i="3"/>
  <c r="AM231" i="3"/>
  <c r="AL231" i="3"/>
  <c r="AK231" i="3"/>
  <c r="AJ231" i="3"/>
  <c r="AU230" i="3"/>
  <c r="AT230" i="3"/>
  <c r="AS230" i="3"/>
  <c r="AR230" i="3"/>
  <c r="AQ230" i="3"/>
  <c r="AP230" i="3"/>
  <c r="AO230" i="3"/>
  <c r="AN230" i="3"/>
  <c r="AM230" i="3"/>
  <c r="AL230" i="3"/>
  <c r="AK230" i="3"/>
  <c r="AJ230" i="3"/>
  <c r="AU229" i="3"/>
  <c r="AT229" i="3"/>
  <c r="AS229" i="3"/>
  <c r="AR229" i="3"/>
  <c r="AQ229" i="3"/>
  <c r="AP229" i="3"/>
  <c r="AO229" i="3"/>
  <c r="AN229" i="3"/>
  <c r="AM229" i="3"/>
  <c r="AL229" i="3"/>
  <c r="AK229" i="3"/>
  <c r="AJ229" i="3"/>
  <c r="AU228" i="3"/>
  <c r="AT228" i="3"/>
  <c r="AS228" i="3"/>
  <c r="AR228" i="3"/>
  <c r="AQ228" i="3"/>
  <c r="AP228" i="3"/>
  <c r="AO228" i="3"/>
  <c r="AN228" i="3"/>
  <c r="AM228" i="3"/>
  <c r="AL228" i="3"/>
  <c r="AK228" i="3"/>
  <c r="AJ228" i="3"/>
  <c r="AU227" i="3"/>
  <c r="AT227" i="3"/>
  <c r="AS227" i="3"/>
  <c r="AR227" i="3"/>
  <c r="AQ227" i="3"/>
  <c r="AP227" i="3"/>
  <c r="AO227" i="3"/>
  <c r="AN227" i="3"/>
  <c r="AM227" i="3"/>
  <c r="AL227" i="3"/>
  <c r="AK227" i="3"/>
  <c r="AJ227" i="3"/>
  <c r="AU226" i="3"/>
  <c r="AT226" i="3"/>
  <c r="AS226" i="3"/>
  <c r="AR226" i="3"/>
  <c r="AQ226" i="3"/>
  <c r="AP226" i="3"/>
  <c r="AO226" i="3"/>
  <c r="AN226" i="3"/>
  <c r="AM226" i="3"/>
  <c r="AL226" i="3"/>
  <c r="AK226" i="3"/>
  <c r="AJ226" i="3"/>
  <c r="AU224" i="3"/>
  <c r="AT224" i="3"/>
  <c r="AS224" i="3"/>
  <c r="AR224" i="3"/>
  <c r="AQ224" i="3"/>
  <c r="AP224" i="3"/>
  <c r="AO224" i="3"/>
  <c r="AN224" i="3"/>
  <c r="AM224" i="3"/>
  <c r="AL224" i="3"/>
  <c r="AK224" i="3"/>
  <c r="AJ224" i="3"/>
  <c r="AU223" i="3"/>
  <c r="AT223" i="3"/>
  <c r="AS223" i="3"/>
  <c r="AR223" i="3"/>
  <c r="AQ223" i="3"/>
  <c r="AP223" i="3"/>
  <c r="AO223" i="3"/>
  <c r="AN223" i="3"/>
  <c r="AM223" i="3"/>
  <c r="AL223" i="3"/>
  <c r="AK223" i="3"/>
  <c r="AJ223" i="3"/>
  <c r="AU222" i="3"/>
  <c r="AT222" i="3"/>
  <c r="AS222" i="3"/>
  <c r="AR222" i="3"/>
  <c r="AQ222" i="3"/>
  <c r="AP222" i="3"/>
  <c r="AO222" i="3"/>
  <c r="AN222" i="3"/>
  <c r="AM222" i="3"/>
  <c r="AL222" i="3"/>
  <c r="AK222" i="3"/>
  <c r="AJ222" i="3"/>
  <c r="AU221" i="3"/>
  <c r="AT221" i="3"/>
  <c r="AS221" i="3"/>
  <c r="AR221" i="3"/>
  <c r="AQ221" i="3"/>
  <c r="AP221" i="3"/>
  <c r="AO221" i="3"/>
  <c r="AN221" i="3"/>
  <c r="AM221" i="3"/>
  <c r="AL221" i="3"/>
  <c r="AK221" i="3"/>
  <c r="AJ221" i="3"/>
  <c r="AU220" i="3"/>
  <c r="AT220" i="3"/>
  <c r="AS220" i="3"/>
  <c r="AR220" i="3"/>
  <c r="AQ220" i="3"/>
  <c r="AP220" i="3"/>
  <c r="AO220" i="3"/>
  <c r="AN220" i="3"/>
  <c r="AM220" i="3"/>
  <c r="AL220" i="3"/>
  <c r="AK220" i="3"/>
  <c r="AJ220" i="3"/>
  <c r="AU217" i="3"/>
  <c r="AT217" i="3"/>
  <c r="AS217" i="3"/>
  <c r="AR217" i="3"/>
  <c r="AQ217" i="3"/>
  <c r="AP217" i="3"/>
  <c r="AO217" i="3"/>
  <c r="AN217" i="3"/>
  <c r="AM217" i="3"/>
  <c r="AL217" i="3"/>
  <c r="AK217" i="3"/>
  <c r="AJ217" i="3"/>
  <c r="AU216" i="3"/>
  <c r="AT216" i="3"/>
  <c r="AS216" i="3"/>
  <c r="AR216" i="3"/>
  <c r="AQ216" i="3"/>
  <c r="AP216" i="3"/>
  <c r="AO216" i="3"/>
  <c r="AN216" i="3"/>
  <c r="AM216" i="3"/>
  <c r="AL216" i="3"/>
  <c r="AK216" i="3"/>
  <c r="AJ216" i="3"/>
  <c r="AU215" i="3"/>
  <c r="AT215" i="3"/>
  <c r="AS215" i="3"/>
  <c r="AR215" i="3"/>
  <c r="AQ215" i="3"/>
  <c r="AP215" i="3"/>
  <c r="AO215" i="3"/>
  <c r="AN215" i="3"/>
  <c r="AM215" i="3"/>
  <c r="AL215" i="3"/>
  <c r="AK215" i="3"/>
  <c r="AJ215" i="3"/>
  <c r="AU214" i="3"/>
  <c r="AT214" i="3"/>
  <c r="AS214" i="3"/>
  <c r="AR214" i="3"/>
  <c r="AQ214" i="3"/>
  <c r="AP214" i="3"/>
  <c r="AO214" i="3"/>
  <c r="AN214" i="3"/>
  <c r="AM214" i="3"/>
  <c r="AL214" i="3"/>
  <c r="AK214" i="3"/>
  <c r="AJ214" i="3"/>
  <c r="AU213" i="3"/>
  <c r="AT213" i="3"/>
  <c r="AS213" i="3"/>
  <c r="AR213" i="3"/>
  <c r="AQ213" i="3"/>
  <c r="AP213" i="3"/>
  <c r="AO213" i="3"/>
  <c r="AN213" i="3"/>
  <c r="AM213" i="3"/>
  <c r="AL213" i="3"/>
  <c r="AK213" i="3"/>
  <c r="AJ213" i="3"/>
  <c r="AU212" i="3"/>
  <c r="AT212" i="3"/>
  <c r="AS212" i="3"/>
  <c r="AR212" i="3"/>
  <c r="AQ212" i="3"/>
  <c r="AP212" i="3"/>
  <c r="AO212" i="3"/>
  <c r="AN212" i="3"/>
  <c r="AM212" i="3"/>
  <c r="AL212" i="3"/>
  <c r="AK212" i="3"/>
  <c r="AJ212" i="3"/>
  <c r="AU211" i="3"/>
  <c r="AT211" i="3"/>
  <c r="AS211" i="3"/>
  <c r="AR211" i="3"/>
  <c r="AQ211" i="3"/>
  <c r="AP211" i="3"/>
  <c r="AO211" i="3"/>
  <c r="AN211" i="3"/>
  <c r="AM211" i="3"/>
  <c r="AL211" i="3"/>
  <c r="AK211" i="3"/>
  <c r="AJ211" i="3"/>
  <c r="AU210" i="3"/>
  <c r="AT210" i="3"/>
  <c r="AS210" i="3"/>
  <c r="AR210" i="3"/>
  <c r="AQ210" i="3"/>
  <c r="AP210" i="3"/>
  <c r="AO210" i="3"/>
  <c r="AN210" i="3"/>
  <c r="AM210" i="3"/>
  <c r="AL210" i="3"/>
  <c r="AK210" i="3"/>
  <c r="AJ210" i="3"/>
  <c r="AU208" i="3"/>
  <c r="AT208" i="3"/>
  <c r="AS208" i="3"/>
  <c r="AR208" i="3"/>
  <c r="AQ208" i="3"/>
  <c r="AP208" i="3"/>
  <c r="AO208" i="3"/>
  <c r="AN208" i="3"/>
  <c r="AM208" i="3"/>
  <c r="AL208" i="3"/>
  <c r="AK208" i="3"/>
  <c r="AJ208" i="3"/>
  <c r="AU207" i="3"/>
  <c r="AT207" i="3"/>
  <c r="AS207" i="3"/>
  <c r="AR207" i="3"/>
  <c r="AQ207" i="3"/>
  <c r="AP207" i="3"/>
  <c r="AO207" i="3"/>
  <c r="AN207" i="3"/>
  <c r="AM207" i="3"/>
  <c r="AL207" i="3"/>
  <c r="AK207" i="3"/>
  <c r="AJ207" i="3"/>
  <c r="AU206" i="3"/>
  <c r="AT206" i="3"/>
  <c r="AS206" i="3"/>
  <c r="AR206" i="3"/>
  <c r="AQ206" i="3"/>
  <c r="AP206" i="3"/>
  <c r="AO206" i="3"/>
  <c r="AN206" i="3"/>
  <c r="AM206" i="3"/>
  <c r="AL206" i="3"/>
  <c r="AK206" i="3"/>
  <c r="AJ206" i="3"/>
  <c r="AU205" i="3"/>
  <c r="AT205" i="3"/>
  <c r="AS205" i="3"/>
  <c r="AR205" i="3"/>
  <c r="AQ205" i="3"/>
  <c r="AP205" i="3"/>
  <c r="AO205" i="3"/>
  <c r="AN205" i="3"/>
  <c r="AM205" i="3"/>
  <c r="AL205" i="3"/>
  <c r="AK205" i="3"/>
  <c r="AJ205" i="3"/>
  <c r="AU204" i="3"/>
  <c r="AT204" i="3"/>
  <c r="AS204" i="3"/>
  <c r="AR204" i="3"/>
  <c r="AQ204" i="3"/>
  <c r="AP204" i="3"/>
  <c r="AO204" i="3"/>
  <c r="AN204" i="3"/>
  <c r="AM204" i="3"/>
  <c r="AL204" i="3"/>
  <c r="AK204" i="3"/>
  <c r="AJ204" i="3"/>
  <c r="AU203" i="3"/>
  <c r="AT203" i="3"/>
  <c r="AS203" i="3"/>
  <c r="AR203" i="3"/>
  <c r="AQ203" i="3"/>
  <c r="AP203" i="3"/>
  <c r="AO203" i="3"/>
  <c r="AN203" i="3"/>
  <c r="AM203" i="3"/>
  <c r="AL203" i="3"/>
  <c r="AK203" i="3"/>
  <c r="AJ203" i="3"/>
  <c r="AU202" i="3"/>
  <c r="AT202" i="3"/>
  <c r="AS202" i="3"/>
  <c r="AR202" i="3"/>
  <c r="AQ202" i="3"/>
  <c r="AP202" i="3"/>
  <c r="AO202" i="3"/>
  <c r="AN202" i="3"/>
  <c r="AM202" i="3"/>
  <c r="AL202" i="3"/>
  <c r="AK202" i="3"/>
  <c r="AJ202" i="3"/>
  <c r="AU201" i="3"/>
  <c r="AT201" i="3"/>
  <c r="AS201" i="3"/>
  <c r="AR201" i="3"/>
  <c r="AQ201" i="3"/>
  <c r="AP201" i="3"/>
  <c r="AO201" i="3"/>
  <c r="AN201" i="3"/>
  <c r="AM201" i="3"/>
  <c r="AL201" i="3"/>
  <c r="AK201" i="3"/>
  <c r="AJ201" i="3"/>
  <c r="AU200" i="3"/>
  <c r="AT200" i="3"/>
  <c r="AS200" i="3"/>
  <c r="AR200" i="3"/>
  <c r="AQ200" i="3"/>
  <c r="AP200" i="3"/>
  <c r="AO200" i="3"/>
  <c r="AN200" i="3"/>
  <c r="AM200" i="3"/>
  <c r="AL200" i="3"/>
  <c r="AK200" i="3"/>
  <c r="AJ200" i="3"/>
  <c r="AU199" i="3"/>
  <c r="AT199" i="3"/>
  <c r="AS199" i="3"/>
  <c r="AR199" i="3"/>
  <c r="AQ199" i="3"/>
  <c r="AP199" i="3"/>
  <c r="AO199" i="3"/>
  <c r="AN199" i="3"/>
  <c r="AM199" i="3"/>
  <c r="AL199" i="3"/>
  <c r="AK199" i="3"/>
  <c r="AJ199" i="3"/>
  <c r="AU197" i="3"/>
  <c r="AT197" i="3"/>
  <c r="AS197" i="3"/>
  <c r="AR197" i="3"/>
  <c r="AQ197" i="3"/>
  <c r="AP197" i="3"/>
  <c r="AO197" i="3"/>
  <c r="AN197" i="3"/>
  <c r="AM197" i="3"/>
  <c r="AL197" i="3"/>
  <c r="AK197" i="3"/>
  <c r="AJ197" i="3"/>
  <c r="AU196" i="3"/>
  <c r="AT196" i="3"/>
  <c r="AS196" i="3"/>
  <c r="AR196" i="3"/>
  <c r="AQ196" i="3"/>
  <c r="AP196" i="3"/>
  <c r="AO196" i="3"/>
  <c r="AN196" i="3"/>
  <c r="AM196" i="3"/>
  <c r="AL196" i="3"/>
  <c r="AK196" i="3"/>
  <c r="AJ196" i="3"/>
  <c r="AU195" i="3"/>
  <c r="AT195" i="3"/>
  <c r="AS195" i="3"/>
  <c r="AR195" i="3"/>
  <c r="AQ195" i="3"/>
  <c r="AP195" i="3"/>
  <c r="AO195" i="3"/>
  <c r="AN195" i="3"/>
  <c r="AM195" i="3"/>
  <c r="AL195" i="3"/>
  <c r="AK195" i="3"/>
  <c r="AJ195" i="3"/>
  <c r="AU194" i="3"/>
  <c r="AT194" i="3"/>
  <c r="AS194" i="3"/>
  <c r="AR194" i="3"/>
  <c r="AQ194" i="3"/>
  <c r="AP194" i="3"/>
  <c r="AO194" i="3"/>
  <c r="AN194" i="3"/>
  <c r="AM194" i="3"/>
  <c r="AL194" i="3"/>
  <c r="AK194" i="3"/>
  <c r="AJ194" i="3"/>
  <c r="AU192" i="3"/>
  <c r="AT192" i="3"/>
  <c r="AS192" i="3"/>
  <c r="AR192" i="3"/>
  <c r="AQ192" i="3"/>
  <c r="AP192" i="3"/>
  <c r="AO192" i="3"/>
  <c r="AN192" i="3"/>
  <c r="AM192" i="3"/>
  <c r="AL192" i="3"/>
  <c r="AK192" i="3"/>
  <c r="AJ192" i="3"/>
  <c r="AU191" i="3"/>
  <c r="AT191" i="3"/>
  <c r="AS191" i="3"/>
  <c r="AR191" i="3"/>
  <c r="AQ191" i="3"/>
  <c r="AP191" i="3"/>
  <c r="AO191" i="3"/>
  <c r="AN191" i="3"/>
  <c r="AM191" i="3"/>
  <c r="AL191" i="3"/>
  <c r="AK191" i="3"/>
  <c r="AJ191" i="3"/>
  <c r="AU190" i="3"/>
  <c r="AT190" i="3"/>
  <c r="AS190" i="3"/>
  <c r="AR190" i="3"/>
  <c r="AQ190" i="3"/>
  <c r="AP190" i="3"/>
  <c r="AO190" i="3"/>
  <c r="AN190" i="3"/>
  <c r="AM190" i="3"/>
  <c r="AL190" i="3"/>
  <c r="AK190" i="3"/>
  <c r="AJ190" i="3"/>
  <c r="AU189" i="3"/>
  <c r="AT189" i="3"/>
  <c r="AS189" i="3"/>
  <c r="AR189" i="3"/>
  <c r="AQ189" i="3"/>
  <c r="AP189" i="3"/>
  <c r="AO189" i="3"/>
  <c r="AN189" i="3"/>
  <c r="AM189" i="3"/>
  <c r="AL189" i="3"/>
  <c r="AK189" i="3"/>
  <c r="AJ189" i="3"/>
  <c r="AU188" i="3"/>
  <c r="AT188" i="3"/>
  <c r="AS188" i="3"/>
  <c r="AR188" i="3"/>
  <c r="AQ188" i="3"/>
  <c r="AP188" i="3"/>
  <c r="AO188" i="3"/>
  <c r="AN188" i="3"/>
  <c r="AM188" i="3"/>
  <c r="AL188" i="3"/>
  <c r="AK188" i="3"/>
  <c r="AJ188" i="3"/>
  <c r="AU187" i="3"/>
  <c r="AT187" i="3"/>
  <c r="AS187" i="3"/>
  <c r="AR187" i="3"/>
  <c r="AQ187" i="3"/>
  <c r="AP187" i="3"/>
  <c r="AO187" i="3"/>
  <c r="AN187" i="3"/>
  <c r="AM187" i="3"/>
  <c r="AL187" i="3"/>
  <c r="AK187" i="3"/>
  <c r="AJ187" i="3"/>
  <c r="AU186" i="3"/>
  <c r="AT186" i="3"/>
  <c r="AS186" i="3"/>
  <c r="AR186" i="3"/>
  <c r="AQ186" i="3"/>
  <c r="AP186" i="3"/>
  <c r="AO186" i="3"/>
  <c r="AN186" i="3"/>
  <c r="AM186" i="3"/>
  <c r="AL186" i="3"/>
  <c r="AK186" i="3"/>
  <c r="AJ186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U184" i="3"/>
  <c r="AT184" i="3"/>
  <c r="AS184" i="3"/>
  <c r="AR184" i="3"/>
  <c r="AQ184" i="3"/>
  <c r="AP184" i="3"/>
  <c r="AO184" i="3"/>
  <c r="AN184" i="3"/>
  <c r="AM184" i="3"/>
  <c r="AL184" i="3"/>
  <c r="AK184" i="3"/>
  <c r="AJ184" i="3"/>
  <c r="AU183" i="3"/>
  <c r="AT183" i="3"/>
  <c r="AS183" i="3"/>
  <c r="AR183" i="3"/>
  <c r="AQ183" i="3"/>
  <c r="AP183" i="3"/>
  <c r="AO183" i="3"/>
  <c r="AN183" i="3"/>
  <c r="AM183" i="3"/>
  <c r="AL183" i="3"/>
  <c r="AK183" i="3"/>
  <c r="AJ183" i="3"/>
  <c r="AU181" i="3"/>
  <c r="AT181" i="3"/>
  <c r="AS181" i="3"/>
  <c r="AR181" i="3"/>
  <c r="AQ181" i="3"/>
  <c r="AP181" i="3"/>
  <c r="AO181" i="3"/>
  <c r="AN181" i="3"/>
  <c r="AM181" i="3"/>
  <c r="AL181" i="3"/>
  <c r="AK181" i="3"/>
  <c r="AJ181" i="3"/>
  <c r="AU180" i="3"/>
  <c r="AT180" i="3"/>
  <c r="AS180" i="3"/>
  <c r="AR180" i="3"/>
  <c r="AQ180" i="3"/>
  <c r="AP180" i="3"/>
  <c r="AO180" i="3"/>
  <c r="AN180" i="3"/>
  <c r="AM180" i="3"/>
  <c r="AL180" i="3"/>
  <c r="AK180" i="3"/>
  <c r="AJ180" i="3"/>
  <c r="AU179" i="3"/>
  <c r="AT179" i="3"/>
  <c r="AS179" i="3"/>
  <c r="AR179" i="3"/>
  <c r="AQ179" i="3"/>
  <c r="AP179" i="3"/>
  <c r="AO179" i="3"/>
  <c r="AN179" i="3"/>
  <c r="AM179" i="3"/>
  <c r="AL179" i="3"/>
  <c r="AK179" i="3"/>
  <c r="AJ179" i="3"/>
  <c r="AU178" i="3"/>
  <c r="AT178" i="3"/>
  <c r="AS178" i="3"/>
  <c r="AR178" i="3"/>
  <c r="AQ178" i="3"/>
  <c r="AP178" i="3"/>
  <c r="AO178" i="3"/>
  <c r="AN178" i="3"/>
  <c r="AM178" i="3"/>
  <c r="AL178" i="3"/>
  <c r="AK178" i="3"/>
  <c r="AJ178" i="3"/>
  <c r="AU177" i="3"/>
  <c r="AT177" i="3"/>
  <c r="AS177" i="3"/>
  <c r="AR177" i="3"/>
  <c r="AQ177" i="3"/>
  <c r="AP177" i="3"/>
  <c r="AO177" i="3"/>
  <c r="AN177" i="3"/>
  <c r="AM177" i="3"/>
  <c r="AL177" i="3"/>
  <c r="AK177" i="3"/>
  <c r="AJ177" i="3"/>
  <c r="AU176" i="3"/>
  <c r="AT176" i="3"/>
  <c r="AS176" i="3"/>
  <c r="AR176" i="3"/>
  <c r="AQ176" i="3"/>
  <c r="AP176" i="3"/>
  <c r="AO176" i="3"/>
  <c r="AN176" i="3"/>
  <c r="AM176" i="3"/>
  <c r="AL176" i="3"/>
  <c r="AK176" i="3"/>
  <c r="AJ176" i="3"/>
  <c r="AU173" i="3"/>
  <c r="AT173" i="3"/>
  <c r="AS173" i="3"/>
  <c r="AR173" i="3"/>
  <c r="AQ173" i="3"/>
  <c r="AP173" i="3"/>
  <c r="AO173" i="3"/>
  <c r="AN173" i="3"/>
  <c r="AM173" i="3"/>
  <c r="AL173" i="3"/>
  <c r="AK173" i="3"/>
  <c r="AJ173" i="3"/>
  <c r="AU172" i="3"/>
  <c r="AT172" i="3"/>
  <c r="AS172" i="3"/>
  <c r="AR172" i="3"/>
  <c r="AQ172" i="3"/>
  <c r="AP172" i="3"/>
  <c r="AO172" i="3"/>
  <c r="AN172" i="3"/>
  <c r="AM172" i="3"/>
  <c r="AL172" i="3"/>
  <c r="AK172" i="3"/>
  <c r="AJ172" i="3"/>
  <c r="AU171" i="3"/>
  <c r="AT171" i="3"/>
  <c r="AS171" i="3"/>
  <c r="AR171" i="3"/>
  <c r="AQ171" i="3"/>
  <c r="AP171" i="3"/>
  <c r="AO171" i="3"/>
  <c r="AN171" i="3"/>
  <c r="AM171" i="3"/>
  <c r="AL171" i="3"/>
  <c r="AK171" i="3"/>
  <c r="AJ171" i="3"/>
  <c r="AU170" i="3"/>
  <c r="AT170" i="3"/>
  <c r="AS170" i="3"/>
  <c r="AR170" i="3"/>
  <c r="AQ170" i="3"/>
  <c r="AP170" i="3"/>
  <c r="AO170" i="3"/>
  <c r="AN170" i="3"/>
  <c r="AM170" i="3"/>
  <c r="AL170" i="3"/>
  <c r="AK170" i="3"/>
  <c r="AJ170" i="3"/>
  <c r="AU169" i="3"/>
  <c r="AT169" i="3"/>
  <c r="AS169" i="3"/>
  <c r="AR169" i="3"/>
  <c r="AQ169" i="3"/>
  <c r="AP169" i="3"/>
  <c r="AO169" i="3"/>
  <c r="AN169" i="3"/>
  <c r="AM169" i="3"/>
  <c r="AL169" i="3"/>
  <c r="AK169" i="3"/>
  <c r="AJ169" i="3"/>
  <c r="AU168" i="3"/>
  <c r="AT168" i="3"/>
  <c r="AS168" i="3"/>
  <c r="AR168" i="3"/>
  <c r="AQ168" i="3"/>
  <c r="AP168" i="3"/>
  <c r="AO168" i="3"/>
  <c r="AN168" i="3"/>
  <c r="AM168" i="3"/>
  <c r="AL168" i="3"/>
  <c r="AK168" i="3"/>
  <c r="AJ168" i="3"/>
  <c r="AU167" i="3"/>
  <c r="AT167" i="3"/>
  <c r="AS167" i="3"/>
  <c r="AR167" i="3"/>
  <c r="AQ167" i="3"/>
  <c r="AP167" i="3"/>
  <c r="AO167" i="3"/>
  <c r="AN167" i="3"/>
  <c r="AM167" i="3"/>
  <c r="AL167" i="3"/>
  <c r="AK167" i="3"/>
  <c r="AJ167" i="3"/>
  <c r="AU166" i="3"/>
  <c r="AT166" i="3"/>
  <c r="AS166" i="3"/>
  <c r="AR166" i="3"/>
  <c r="AQ166" i="3"/>
  <c r="AP166" i="3"/>
  <c r="AO166" i="3"/>
  <c r="AN166" i="3"/>
  <c r="AM166" i="3"/>
  <c r="AL166" i="3"/>
  <c r="AK166" i="3"/>
  <c r="AJ166" i="3"/>
  <c r="AU165" i="3"/>
  <c r="AT165" i="3"/>
  <c r="AS165" i="3"/>
  <c r="AR165" i="3"/>
  <c r="AQ165" i="3"/>
  <c r="AP165" i="3"/>
  <c r="AO165" i="3"/>
  <c r="AN165" i="3"/>
  <c r="AM165" i="3"/>
  <c r="AL165" i="3"/>
  <c r="AK165" i="3"/>
  <c r="AJ165" i="3"/>
  <c r="AU164" i="3"/>
  <c r="AT164" i="3"/>
  <c r="AS164" i="3"/>
  <c r="AR164" i="3"/>
  <c r="AQ164" i="3"/>
  <c r="AP164" i="3"/>
  <c r="AO164" i="3"/>
  <c r="AN164" i="3"/>
  <c r="AM164" i="3"/>
  <c r="AL164" i="3"/>
  <c r="AK164" i="3"/>
  <c r="AJ164" i="3"/>
  <c r="AU163" i="3"/>
  <c r="AT163" i="3"/>
  <c r="AS163" i="3"/>
  <c r="AR163" i="3"/>
  <c r="AQ163" i="3"/>
  <c r="AP163" i="3"/>
  <c r="AO163" i="3"/>
  <c r="AN163" i="3"/>
  <c r="AM163" i="3"/>
  <c r="AL163" i="3"/>
  <c r="AK163" i="3"/>
  <c r="AJ163" i="3"/>
  <c r="AU161" i="3"/>
  <c r="AT161" i="3"/>
  <c r="AS161" i="3"/>
  <c r="AR161" i="3"/>
  <c r="AQ161" i="3"/>
  <c r="AP161" i="3"/>
  <c r="AO161" i="3"/>
  <c r="AN161" i="3"/>
  <c r="AM161" i="3"/>
  <c r="AL161" i="3"/>
  <c r="AK161" i="3"/>
  <c r="AJ161" i="3"/>
  <c r="AU160" i="3"/>
  <c r="AT160" i="3"/>
  <c r="AS160" i="3"/>
  <c r="AR160" i="3"/>
  <c r="AQ160" i="3"/>
  <c r="AP160" i="3"/>
  <c r="AO160" i="3"/>
  <c r="AN160" i="3"/>
  <c r="AM160" i="3"/>
  <c r="AL160" i="3"/>
  <c r="AK160" i="3"/>
  <c r="AJ160" i="3"/>
  <c r="AU159" i="3"/>
  <c r="AT159" i="3"/>
  <c r="AS159" i="3"/>
  <c r="AR159" i="3"/>
  <c r="AQ159" i="3"/>
  <c r="AP159" i="3"/>
  <c r="AO159" i="3"/>
  <c r="AN159" i="3"/>
  <c r="AM159" i="3"/>
  <c r="AL159" i="3"/>
  <c r="AK159" i="3"/>
  <c r="AJ159" i="3"/>
  <c r="AU158" i="3"/>
  <c r="AT158" i="3"/>
  <c r="AS158" i="3"/>
  <c r="AR158" i="3"/>
  <c r="AQ158" i="3"/>
  <c r="AP158" i="3"/>
  <c r="AO158" i="3"/>
  <c r="AN158" i="3"/>
  <c r="AM158" i="3"/>
  <c r="AL158" i="3"/>
  <c r="AK158" i="3"/>
  <c r="AJ158" i="3"/>
  <c r="AU156" i="3"/>
  <c r="AT156" i="3"/>
  <c r="AS156" i="3"/>
  <c r="AR156" i="3"/>
  <c r="AQ156" i="3"/>
  <c r="AP156" i="3"/>
  <c r="AO156" i="3"/>
  <c r="AN156" i="3"/>
  <c r="AM156" i="3"/>
  <c r="AL156" i="3"/>
  <c r="AK156" i="3"/>
  <c r="AJ156" i="3"/>
  <c r="AU155" i="3"/>
  <c r="AT155" i="3"/>
  <c r="AS155" i="3"/>
  <c r="AR155" i="3"/>
  <c r="AQ155" i="3"/>
  <c r="AP155" i="3"/>
  <c r="AO155" i="3"/>
  <c r="AN155" i="3"/>
  <c r="AM155" i="3"/>
  <c r="AL155" i="3"/>
  <c r="AK155" i="3"/>
  <c r="AJ155" i="3"/>
  <c r="AU154" i="3"/>
  <c r="AT154" i="3"/>
  <c r="AS154" i="3"/>
  <c r="AR154" i="3"/>
  <c r="AQ154" i="3"/>
  <c r="AP154" i="3"/>
  <c r="AO154" i="3"/>
  <c r="AN154" i="3"/>
  <c r="AM154" i="3"/>
  <c r="AL154" i="3"/>
  <c r="AK154" i="3"/>
  <c r="AJ154" i="3"/>
  <c r="AU153" i="3"/>
  <c r="AT153" i="3"/>
  <c r="AS153" i="3"/>
  <c r="AR153" i="3"/>
  <c r="AQ153" i="3"/>
  <c r="AP153" i="3"/>
  <c r="AO153" i="3"/>
  <c r="AN153" i="3"/>
  <c r="AM153" i="3"/>
  <c r="AL153" i="3"/>
  <c r="AK153" i="3"/>
  <c r="AJ153" i="3"/>
  <c r="AU152" i="3"/>
  <c r="AT152" i="3"/>
  <c r="AS152" i="3"/>
  <c r="AR152" i="3"/>
  <c r="AQ152" i="3"/>
  <c r="AP152" i="3"/>
  <c r="AO152" i="3"/>
  <c r="AN152" i="3"/>
  <c r="AM152" i="3"/>
  <c r="AL152" i="3"/>
  <c r="AK152" i="3"/>
  <c r="AJ152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U150" i="3"/>
  <c r="AT150" i="3"/>
  <c r="AS150" i="3"/>
  <c r="AR150" i="3"/>
  <c r="AQ150" i="3"/>
  <c r="AP150" i="3"/>
  <c r="AO150" i="3"/>
  <c r="AN150" i="3"/>
  <c r="AM150" i="3"/>
  <c r="AL150" i="3"/>
  <c r="AK150" i="3"/>
  <c r="AJ150" i="3"/>
  <c r="AU149" i="3"/>
  <c r="AT149" i="3"/>
  <c r="AS149" i="3"/>
  <c r="AR149" i="3"/>
  <c r="AQ149" i="3"/>
  <c r="AP149" i="3"/>
  <c r="AO149" i="3"/>
  <c r="AN149" i="3"/>
  <c r="AM149" i="3"/>
  <c r="AL149" i="3"/>
  <c r="AK149" i="3"/>
  <c r="AJ149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U147" i="3"/>
  <c r="AT147" i="3"/>
  <c r="AS147" i="3"/>
  <c r="AR147" i="3"/>
  <c r="AQ147" i="3"/>
  <c r="AP147" i="3"/>
  <c r="AO147" i="3"/>
  <c r="AN147" i="3"/>
  <c r="AM147" i="3"/>
  <c r="AL147" i="3"/>
  <c r="AK147" i="3"/>
  <c r="AJ147" i="3"/>
  <c r="AU145" i="3"/>
  <c r="AT145" i="3"/>
  <c r="AS145" i="3"/>
  <c r="AR145" i="3"/>
  <c r="AQ145" i="3"/>
  <c r="AP145" i="3"/>
  <c r="AO145" i="3"/>
  <c r="AN145" i="3"/>
  <c r="AM145" i="3"/>
  <c r="AL145" i="3"/>
  <c r="AK145" i="3"/>
  <c r="AJ145" i="3"/>
  <c r="AU144" i="3"/>
  <c r="AT144" i="3"/>
  <c r="AS144" i="3"/>
  <c r="AR144" i="3"/>
  <c r="AQ144" i="3"/>
  <c r="AP144" i="3"/>
  <c r="AO144" i="3"/>
  <c r="AN144" i="3"/>
  <c r="AM144" i="3"/>
  <c r="AL144" i="3"/>
  <c r="AK144" i="3"/>
  <c r="AJ144" i="3"/>
  <c r="AU143" i="3"/>
  <c r="AT143" i="3"/>
  <c r="AS143" i="3"/>
  <c r="AR143" i="3"/>
  <c r="AQ143" i="3"/>
  <c r="AP143" i="3"/>
  <c r="AO143" i="3"/>
  <c r="AN143" i="3"/>
  <c r="AM143" i="3"/>
  <c r="AL143" i="3"/>
  <c r="AK143" i="3"/>
  <c r="AJ143" i="3"/>
  <c r="AU142" i="3"/>
  <c r="AT142" i="3"/>
  <c r="AS142" i="3"/>
  <c r="AR142" i="3"/>
  <c r="AQ142" i="3"/>
  <c r="AP142" i="3"/>
  <c r="AO142" i="3"/>
  <c r="AN142" i="3"/>
  <c r="AM142" i="3"/>
  <c r="AL142" i="3"/>
  <c r="AK142" i="3"/>
  <c r="AJ142" i="3"/>
  <c r="AU141" i="3"/>
  <c r="AT141" i="3"/>
  <c r="AS141" i="3"/>
  <c r="AR141" i="3"/>
  <c r="AQ141" i="3"/>
  <c r="AP141" i="3"/>
  <c r="AO141" i="3"/>
  <c r="AN141" i="3"/>
  <c r="AM141" i="3"/>
  <c r="AL141" i="3"/>
  <c r="AK141" i="3"/>
  <c r="AJ141" i="3"/>
  <c r="AU140" i="3"/>
  <c r="AT140" i="3"/>
  <c r="AS140" i="3"/>
  <c r="AR140" i="3"/>
  <c r="AQ140" i="3"/>
  <c r="AP140" i="3"/>
  <c r="AO140" i="3"/>
  <c r="AN140" i="3"/>
  <c r="AM140" i="3"/>
  <c r="AL140" i="3"/>
  <c r="AK140" i="3"/>
  <c r="AJ140" i="3"/>
  <c r="AU139" i="3"/>
  <c r="AT139" i="3"/>
  <c r="AS139" i="3"/>
  <c r="AR139" i="3"/>
  <c r="AQ139" i="3"/>
  <c r="AP139" i="3"/>
  <c r="AO139" i="3"/>
  <c r="AN139" i="3"/>
  <c r="AM139" i="3"/>
  <c r="AL139" i="3"/>
  <c r="AK139" i="3"/>
  <c r="AJ139" i="3"/>
  <c r="AU138" i="3"/>
  <c r="AT138" i="3"/>
  <c r="AS138" i="3"/>
  <c r="AR138" i="3"/>
  <c r="AQ138" i="3"/>
  <c r="AP138" i="3"/>
  <c r="AO138" i="3"/>
  <c r="AN138" i="3"/>
  <c r="AM138" i="3"/>
  <c r="AL138" i="3"/>
  <c r="AK138" i="3"/>
  <c r="AJ138" i="3"/>
  <c r="AU137" i="3"/>
  <c r="AT137" i="3"/>
  <c r="AS137" i="3"/>
  <c r="AR137" i="3"/>
  <c r="AQ137" i="3"/>
  <c r="AP137" i="3"/>
  <c r="AO137" i="3"/>
  <c r="AN137" i="3"/>
  <c r="AM137" i="3"/>
  <c r="AL137" i="3"/>
  <c r="AK137" i="3"/>
  <c r="AJ137" i="3"/>
  <c r="U232" i="3"/>
  <c r="U231" i="3"/>
  <c r="U230" i="3"/>
  <c r="U229" i="3"/>
  <c r="U228" i="3"/>
  <c r="U227" i="3"/>
  <c r="U226" i="3"/>
  <c r="U224" i="3"/>
  <c r="U223" i="3"/>
  <c r="U222" i="3"/>
  <c r="U221" i="3"/>
  <c r="U220" i="3"/>
  <c r="U217" i="3"/>
  <c r="U216" i="3"/>
  <c r="U215" i="3"/>
  <c r="U214" i="3"/>
  <c r="U213" i="3"/>
  <c r="U212" i="3"/>
  <c r="U211" i="3"/>
  <c r="U210" i="3"/>
  <c r="U208" i="3"/>
  <c r="U207" i="3"/>
  <c r="U206" i="3"/>
  <c r="U205" i="3"/>
  <c r="U204" i="3"/>
  <c r="U203" i="3"/>
  <c r="U202" i="3"/>
  <c r="U201" i="3"/>
  <c r="U200" i="3"/>
  <c r="U199" i="3"/>
  <c r="U197" i="3"/>
  <c r="U196" i="3"/>
  <c r="U195" i="3"/>
  <c r="U194" i="3"/>
  <c r="U192" i="3"/>
  <c r="U191" i="3"/>
  <c r="U190" i="3"/>
  <c r="U189" i="3"/>
  <c r="U188" i="3"/>
  <c r="U187" i="3"/>
  <c r="U186" i="3"/>
  <c r="U185" i="3"/>
  <c r="U184" i="3"/>
  <c r="U183" i="3"/>
  <c r="U181" i="3"/>
  <c r="U180" i="3"/>
  <c r="U179" i="3"/>
  <c r="U178" i="3"/>
  <c r="U177" i="3"/>
  <c r="U176" i="3"/>
  <c r="U173" i="3"/>
  <c r="U172" i="3"/>
  <c r="U171" i="3"/>
  <c r="U170" i="3"/>
  <c r="U169" i="3"/>
  <c r="U168" i="3"/>
  <c r="U167" i="3"/>
  <c r="U166" i="3"/>
  <c r="U165" i="3"/>
  <c r="U164" i="3"/>
  <c r="U163" i="3"/>
  <c r="U161" i="3"/>
  <c r="U160" i="3"/>
  <c r="U159" i="3"/>
  <c r="U158" i="3"/>
  <c r="U156" i="3"/>
  <c r="U155" i="3"/>
  <c r="U154" i="3"/>
  <c r="U153" i="3"/>
  <c r="U152" i="3"/>
  <c r="U151" i="3"/>
  <c r="U150" i="3"/>
  <c r="U149" i="3"/>
  <c r="U148" i="3"/>
  <c r="U147" i="3"/>
  <c r="U145" i="3"/>
  <c r="U144" i="3"/>
  <c r="U143" i="3"/>
  <c r="U142" i="3"/>
  <c r="U141" i="3"/>
  <c r="U140" i="3"/>
  <c r="U139" i="3"/>
  <c r="U138" i="3"/>
  <c r="U137" i="3"/>
  <c r="U136" i="3"/>
  <c r="U135" i="3"/>
  <c r="U134" i="3"/>
  <c r="U132" i="3"/>
  <c r="U131" i="3"/>
  <c r="U130" i="3"/>
  <c r="U129" i="3"/>
  <c r="U127" i="3"/>
  <c r="U126" i="3"/>
  <c r="U125" i="3"/>
  <c r="U124" i="3"/>
  <c r="U123" i="3"/>
  <c r="U122" i="3"/>
  <c r="U121" i="3"/>
  <c r="U120" i="3"/>
  <c r="U119" i="3"/>
  <c r="U118" i="3"/>
  <c r="U116" i="3"/>
  <c r="U115" i="3"/>
  <c r="U114" i="3"/>
  <c r="U113" i="3"/>
  <c r="U112" i="3"/>
  <c r="U111" i="3"/>
  <c r="U110" i="3"/>
  <c r="U109" i="3"/>
  <c r="U107" i="3"/>
  <c r="U106" i="3"/>
  <c r="U105" i="3"/>
  <c r="U103" i="3"/>
  <c r="U101" i="3"/>
  <c r="U99" i="3"/>
  <c r="U98" i="3"/>
  <c r="U96" i="3"/>
  <c r="U92" i="3"/>
  <c r="U91" i="3"/>
  <c r="U90" i="3"/>
  <c r="U87" i="3"/>
  <c r="U84" i="3"/>
  <c r="U81" i="3"/>
  <c r="U77" i="3"/>
  <c r="U76" i="3"/>
  <c r="U75" i="3"/>
  <c r="U74" i="3"/>
  <c r="U73" i="3"/>
  <c r="U72" i="3"/>
  <c r="U69" i="3"/>
  <c r="U68" i="3"/>
  <c r="U67" i="3"/>
  <c r="U66" i="3"/>
  <c r="U65" i="3"/>
  <c r="U64" i="3"/>
  <c r="U63" i="3"/>
  <c r="U62" i="3"/>
  <c r="U61" i="3"/>
  <c r="U60" i="3"/>
  <c r="U56" i="3"/>
  <c r="U55" i="3"/>
  <c r="U54" i="3"/>
  <c r="U53" i="3"/>
  <c r="U52" i="3"/>
  <c r="U51" i="3"/>
  <c r="U50" i="3"/>
  <c r="U49" i="3"/>
  <c r="U48" i="3"/>
  <c r="U46" i="3"/>
  <c r="U45" i="3"/>
  <c r="U44" i="3"/>
  <c r="U43" i="3"/>
  <c r="U42" i="3"/>
  <c r="U41" i="3"/>
  <c r="U40" i="3"/>
  <c r="U39" i="3"/>
  <c r="U38" i="3"/>
  <c r="U37" i="3"/>
  <c r="U35" i="3"/>
  <c r="U34" i="3"/>
  <c r="U33" i="3"/>
  <c r="U32" i="3"/>
  <c r="U31" i="3"/>
  <c r="U27" i="3"/>
  <c r="U26" i="3"/>
  <c r="U25" i="3"/>
  <c r="U24" i="3"/>
  <c r="U23" i="3"/>
  <c r="U22" i="3"/>
  <c r="U19" i="3"/>
  <c r="U18" i="3"/>
  <c r="U17" i="3"/>
  <c r="U16" i="3"/>
  <c r="U15" i="3"/>
  <c r="U14" i="3"/>
  <c r="U13" i="3"/>
  <c r="U9" i="3"/>
  <c r="U8" i="3"/>
  <c r="V232" i="3"/>
  <c r="V231" i="3"/>
  <c r="V230" i="3"/>
  <c r="V229" i="3"/>
  <c r="V228" i="3"/>
  <c r="V227" i="3"/>
  <c r="V226" i="3"/>
  <c r="V224" i="3"/>
  <c r="V223" i="3"/>
  <c r="V222" i="3"/>
  <c r="V221" i="3"/>
  <c r="V220" i="3"/>
  <c r="V217" i="3"/>
  <c r="V216" i="3"/>
  <c r="V215" i="3"/>
  <c r="V214" i="3"/>
  <c r="V213" i="3"/>
  <c r="V212" i="3"/>
  <c r="V211" i="3"/>
  <c r="V210" i="3"/>
  <c r="V208" i="3"/>
  <c r="V207" i="3"/>
  <c r="V206" i="3"/>
  <c r="V205" i="3"/>
  <c r="V204" i="3"/>
  <c r="V203" i="3"/>
  <c r="V202" i="3"/>
  <c r="V201" i="3"/>
  <c r="V200" i="3"/>
  <c r="V199" i="3"/>
  <c r="V197" i="3"/>
  <c r="V196" i="3"/>
  <c r="V195" i="3"/>
  <c r="V194" i="3"/>
  <c r="V192" i="3"/>
  <c r="V191" i="3"/>
  <c r="V190" i="3"/>
  <c r="V189" i="3"/>
  <c r="V188" i="3"/>
  <c r="V187" i="3"/>
  <c r="V186" i="3"/>
  <c r="V185" i="3"/>
  <c r="V184" i="3"/>
  <c r="V183" i="3"/>
  <c r="V181" i="3"/>
  <c r="V180" i="3"/>
  <c r="V179" i="3"/>
  <c r="V178" i="3"/>
  <c r="V177" i="3"/>
  <c r="V176" i="3"/>
  <c r="V173" i="3"/>
  <c r="V172" i="3"/>
  <c r="V171" i="3"/>
  <c r="V170" i="3"/>
  <c r="V169" i="3"/>
  <c r="V168" i="3"/>
  <c r="V167" i="3"/>
  <c r="V166" i="3"/>
  <c r="V165" i="3"/>
  <c r="V164" i="3"/>
  <c r="V163" i="3"/>
  <c r="V161" i="3"/>
  <c r="V160" i="3"/>
  <c r="V159" i="3"/>
  <c r="V158" i="3"/>
  <c r="V156" i="3"/>
  <c r="V155" i="3"/>
  <c r="V154" i="3"/>
  <c r="V153" i="3"/>
  <c r="V152" i="3"/>
  <c r="V151" i="3"/>
  <c r="V150" i="3"/>
  <c r="V149" i="3"/>
  <c r="V148" i="3"/>
  <c r="V147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2" i="3"/>
  <c r="V131" i="3"/>
  <c r="V130" i="3"/>
  <c r="V129" i="3"/>
  <c r="V127" i="3"/>
  <c r="V126" i="3"/>
  <c r="V125" i="3"/>
  <c r="V124" i="3"/>
  <c r="V123" i="3"/>
  <c r="V122" i="3"/>
  <c r="V121" i="3"/>
  <c r="V120" i="3"/>
  <c r="V119" i="3"/>
  <c r="V118" i="3"/>
  <c r="V116" i="3"/>
  <c r="V115" i="3"/>
  <c r="V114" i="3"/>
  <c r="V113" i="3"/>
  <c r="V112" i="3"/>
  <c r="V111" i="3"/>
  <c r="V110" i="3"/>
  <c r="V109" i="3"/>
  <c r="V107" i="3"/>
  <c r="V106" i="3"/>
  <c r="V105" i="3"/>
  <c r="V103" i="3"/>
  <c r="V101" i="3"/>
  <c r="V99" i="3"/>
  <c r="V98" i="3"/>
  <c r="V96" i="3"/>
  <c r="V92" i="3"/>
  <c r="V91" i="3"/>
  <c r="V90" i="3"/>
  <c r="V87" i="3"/>
  <c r="V84" i="3"/>
  <c r="V81" i="3"/>
  <c r="V77" i="3"/>
  <c r="V76" i="3"/>
  <c r="V75" i="3"/>
  <c r="V74" i="3"/>
  <c r="V73" i="3"/>
  <c r="V72" i="3"/>
  <c r="V69" i="3"/>
  <c r="V68" i="3"/>
  <c r="V67" i="3"/>
  <c r="V66" i="3"/>
  <c r="V65" i="3"/>
  <c r="V64" i="3"/>
  <c r="V63" i="3"/>
  <c r="V62" i="3"/>
  <c r="V61" i="3"/>
  <c r="V60" i="3"/>
  <c r="V56" i="3"/>
  <c r="V55" i="3"/>
  <c r="V54" i="3"/>
  <c r="V53" i="3"/>
  <c r="V52" i="3"/>
  <c r="V51" i="3"/>
  <c r="V50" i="3"/>
  <c r="V49" i="3"/>
  <c r="V48" i="3"/>
  <c r="V46" i="3"/>
  <c r="V45" i="3"/>
  <c r="V44" i="3"/>
  <c r="V43" i="3"/>
  <c r="V42" i="3"/>
  <c r="V41" i="3"/>
  <c r="V40" i="3"/>
  <c r="V39" i="3"/>
  <c r="V38" i="3"/>
  <c r="V37" i="3"/>
  <c r="V35" i="3"/>
  <c r="V34" i="3"/>
  <c r="V33" i="3"/>
  <c r="V32" i="3"/>
  <c r="V31" i="3"/>
  <c r="V27" i="3"/>
  <c r="V26" i="3"/>
  <c r="V25" i="3"/>
  <c r="V24" i="3"/>
  <c r="V23" i="3"/>
  <c r="V22" i="3"/>
  <c r="V19" i="3"/>
  <c r="V18" i="3"/>
  <c r="V17" i="3"/>
  <c r="V16" i="3"/>
  <c r="V15" i="3"/>
  <c r="V14" i="3"/>
  <c r="V13" i="3"/>
  <c r="V9" i="3"/>
  <c r="V8" i="3"/>
  <c r="W232" i="3"/>
  <c r="W231" i="3"/>
  <c r="W230" i="3"/>
  <c r="W229" i="3"/>
  <c r="W228" i="3"/>
  <c r="W227" i="3"/>
  <c r="W226" i="3"/>
  <c r="W224" i="3"/>
  <c r="W223" i="3"/>
  <c r="W222" i="3"/>
  <c r="W221" i="3"/>
  <c r="W220" i="3"/>
  <c r="W217" i="3"/>
  <c r="W216" i="3"/>
  <c r="W215" i="3"/>
  <c r="W214" i="3"/>
  <c r="W213" i="3"/>
  <c r="W212" i="3"/>
  <c r="W211" i="3"/>
  <c r="W210" i="3"/>
  <c r="W208" i="3"/>
  <c r="W207" i="3"/>
  <c r="W206" i="3"/>
  <c r="W205" i="3"/>
  <c r="W204" i="3"/>
  <c r="W203" i="3"/>
  <c r="W202" i="3"/>
  <c r="W201" i="3"/>
  <c r="W200" i="3"/>
  <c r="W199" i="3"/>
  <c r="W197" i="3"/>
  <c r="W196" i="3"/>
  <c r="W195" i="3"/>
  <c r="W194" i="3"/>
  <c r="W192" i="3"/>
  <c r="W191" i="3"/>
  <c r="W190" i="3"/>
  <c r="W189" i="3"/>
  <c r="W188" i="3"/>
  <c r="W187" i="3"/>
  <c r="W186" i="3"/>
  <c r="W185" i="3"/>
  <c r="W184" i="3"/>
  <c r="W183" i="3"/>
  <c r="W181" i="3"/>
  <c r="W180" i="3"/>
  <c r="W179" i="3"/>
  <c r="W178" i="3"/>
  <c r="W177" i="3"/>
  <c r="W176" i="3"/>
  <c r="W173" i="3"/>
  <c r="W172" i="3"/>
  <c r="W171" i="3"/>
  <c r="W170" i="3"/>
  <c r="W169" i="3"/>
  <c r="W168" i="3"/>
  <c r="W167" i="3"/>
  <c r="W166" i="3"/>
  <c r="W165" i="3"/>
  <c r="W164" i="3"/>
  <c r="W163" i="3"/>
  <c r="W161" i="3"/>
  <c r="W160" i="3"/>
  <c r="W159" i="3"/>
  <c r="W158" i="3"/>
  <c r="W156" i="3"/>
  <c r="W155" i="3"/>
  <c r="W154" i="3"/>
  <c r="W153" i="3"/>
  <c r="W152" i="3"/>
  <c r="W151" i="3"/>
  <c r="W150" i="3"/>
  <c r="W149" i="3"/>
  <c r="W148" i="3"/>
  <c r="W147" i="3"/>
  <c r="W145" i="3"/>
  <c r="W144" i="3"/>
  <c r="W143" i="3"/>
  <c r="W142" i="3"/>
  <c r="W141" i="3"/>
  <c r="W140" i="3"/>
  <c r="W139" i="3"/>
  <c r="W138" i="3"/>
  <c r="W137" i="3"/>
  <c r="W136" i="3"/>
  <c r="W135" i="3"/>
  <c r="W134" i="3"/>
  <c r="W132" i="3"/>
  <c r="W131" i="3"/>
  <c r="W130" i="3"/>
  <c r="W129" i="3"/>
  <c r="W127" i="3"/>
  <c r="W126" i="3"/>
  <c r="W125" i="3"/>
  <c r="W124" i="3"/>
  <c r="W123" i="3"/>
  <c r="W122" i="3"/>
  <c r="W121" i="3"/>
  <c r="W120" i="3"/>
  <c r="W119" i="3"/>
  <c r="W118" i="3"/>
  <c r="W116" i="3"/>
  <c r="W115" i="3"/>
  <c r="W114" i="3"/>
  <c r="W113" i="3"/>
  <c r="W112" i="3"/>
  <c r="W111" i="3"/>
  <c r="W110" i="3"/>
  <c r="W109" i="3"/>
  <c r="W107" i="3"/>
  <c r="W106" i="3"/>
  <c r="W105" i="3"/>
  <c r="W103" i="3"/>
  <c r="W101" i="3"/>
  <c r="W99" i="3"/>
  <c r="W98" i="3"/>
  <c r="W96" i="3"/>
  <c r="W92" i="3"/>
  <c r="W91" i="3"/>
  <c r="W90" i="3"/>
  <c r="W87" i="3"/>
  <c r="W84" i="3"/>
  <c r="W81" i="3"/>
  <c r="W77" i="3"/>
  <c r="W76" i="3"/>
  <c r="W75" i="3"/>
  <c r="W74" i="3"/>
  <c r="W73" i="3"/>
  <c r="W72" i="3"/>
  <c r="W69" i="3"/>
  <c r="W68" i="3"/>
  <c r="W67" i="3"/>
  <c r="W66" i="3"/>
  <c r="W65" i="3"/>
  <c r="W64" i="3"/>
  <c r="W63" i="3"/>
  <c r="W62" i="3"/>
  <c r="W61" i="3"/>
  <c r="W60" i="3"/>
  <c r="W56" i="3"/>
  <c r="W55" i="3"/>
  <c r="W54" i="3"/>
  <c r="W53" i="3"/>
  <c r="W52" i="3"/>
  <c r="W51" i="3"/>
  <c r="W50" i="3"/>
  <c r="W49" i="3"/>
  <c r="W48" i="3"/>
  <c r="W46" i="3"/>
  <c r="W45" i="3"/>
  <c r="W44" i="3"/>
  <c r="W43" i="3"/>
  <c r="W42" i="3"/>
  <c r="W41" i="3"/>
  <c r="W40" i="3"/>
  <c r="W39" i="3"/>
  <c r="W38" i="3"/>
  <c r="W37" i="3"/>
  <c r="W35" i="3"/>
  <c r="W34" i="3"/>
  <c r="W33" i="3"/>
  <c r="W32" i="3"/>
  <c r="W31" i="3"/>
  <c r="W27" i="3"/>
  <c r="W26" i="3"/>
  <c r="W25" i="3"/>
  <c r="W24" i="3"/>
  <c r="W23" i="3"/>
  <c r="W22" i="3"/>
  <c r="W19" i="3"/>
  <c r="W18" i="3"/>
  <c r="W17" i="3"/>
  <c r="W16" i="3"/>
  <c r="W15" i="3"/>
  <c r="W14" i="3"/>
  <c r="W13" i="3"/>
  <c r="W9" i="3"/>
  <c r="W8" i="3"/>
  <c r="T232" i="3"/>
  <c r="T231" i="3"/>
  <c r="T230" i="3"/>
  <c r="T229" i="3"/>
  <c r="T228" i="3"/>
  <c r="T227" i="3"/>
  <c r="T226" i="3"/>
  <c r="T224" i="3"/>
  <c r="T223" i="3"/>
  <c r="T222" i="3"/>
  <c r="T221" i="3"/>
  <c r="T220" i="3"/>
  <c r="T217" i="3"/>
  <c r="T216" i="3"/>
  <c r="T215" i="3"/>
  <c r="T214" i="3"/>
  <c r="T213" i="3"/>
  <c r="T212" i="3"/>
  <c r="T211" i="3"/>
  <c r="T210" i="3"/>
  <c r="T208" i="3"/>
  <c r="T207" i="3"/>
  <c r="T206" i="3"/>
  <c r="T205" i="3"/>
  <c r="T204" i="3"/>
  <c r="T203" i="3"/>
  <c r="T202" i="3"/>
  <c r="T201" i="3"/>
  <c r="T200" i="3"/>
  <c r="T199" i="3"/>
  <c r="T197" i="3"/>
  <c r="T196" i="3"/>
  <c r="T195" i="3"/>
  <c r="T194" i="3"/>
  <c r="T192" i="3"/>
  <c r="T191" i="3"/>
  <c r="T190" i="3"/>
  <c r="T189" i="3"/>
  <c r="T188" i="3"/>
  <c r="T187" i="3"/>
  <c r="T186" i="3"/>
  <c r="T185" i="3"/>
  <c r="T184" i="3"/>
  <c r="T183" i="3"/>
  <c r="T181" i="3"/>
  <c r="T180" i="3"/>
  <c r="T179" i="3"/>
  <c r="T178" i="3"/>
  <c r="T177" i="3"/>
  <c r="T176" i="3"/>
  <c r="T173" i="3"/>
  <c r="T172" i="3"/>
  <c r="T171" i="3"/>
  <c r="T170" i="3"/>
  <c r="T169" i="3"/>
  <c r="T168" i="3"/>
  <c r="T167" i="3"/>
  <c r="T166" i="3"/>
  <c r="T165" i="3"/>
  <c r="T164" i="3"/>
  <c r="T163" i="3"/>
  <c r="T161" i="3"/>
  <c r="T160" i="3"/>
  <c r="T159" i="3"/>
  <c r="T158" i="3"/>
  <c r="T156" i="3"/>
  <c r="T155" i="3"/>
  <c r="T154" i="3"/>
  <c r="T153" i="3"/>
  <c r="T152" i="3"/>
  <c r="T151" i="3"/>
  <c r="T150" i="3"/>
  <c r="T149" i="3"/>
  <c r="T148" i="3"/>
  <c r="T147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2" i="3"/>
  <c r="T131" i="3"/>
  <c r="T130" i="3"/>
  <c r="T129" i="3"/>
  <c r="T127" i="3"/>
  <c r="T126" i="3"/>
  <c r="T125" i="3"/>
  <c r="T124" i="3"/>
  <c r="T123" i="3"/>
  <c r="T122" i="3"/>
  <c r="T121" i="3"/>
  <c r="T120" i="3"/>
  <c r="T119" i="3"/>
  <c r="T118" i="3"/>
  <c r="T116" i="3"/>
  <c r="T115" i="3"/>
  <c r="T114" i="3"/>
  <c r="T113" i="3"/>
  <c r="T112" i="3"/>
  <c r="T111" i="3"/>
  <c r="T110" i="3"/>
  <c r="T109" i="3"/>
  <c r="T107" i="3"/>
  <c r="T106" i="3"/>
  <c r="T105" i="3"/>
  <c r="T103" i="3"/>
  <c r="T101" i="3"/>
  <c r="T99" i="3"/>
  <c r="T98" i="3"/>
  <c r="T96" i="3"/>
  <c r="T92" i="3"/>
  <c r="T91" i="3"/>
  <c r="T90" i="3"/>
  <c r="T87" i="3"/>
  <c r="T84" i="3"/>
  <c r="T81" i="3"/>
  <c r="T77" i="3"/>
  <c r="T76" i="3"/>
  <c r="T75" i="3"/>
  <c r="T74" i="3"/>
  <c r="T73" i="3"/>
  <c r="T72" i="3"/>
  <c r="T69" i="3"/>
  <c r="T68" i="3"/>
  <c r="T67" i="3"/>
  <c r="T66" i="3"/>
  <c r="T65" i="3"/>
  <c r="T64" i="3"/>
  <c r="T63" i="3"/>
  <c r="T62" i="3"/>
  <c r="T61" i="3"/>
  <c r="T60" i="3"/>
  <c r="T56" i="3"/>
  <c r="T55" i="3"/>
  <c r="T54" i="3"/>
  <c r="T53" i="3"/>
  <c r="T52" i="3"/>
  <c r="T51" i="3"/>
  <c r="T50" i="3"/>
  <c r="T49" i="3"/>
  <c r="T48" i="3"/>
  <c r="T46" i="3"/>
  <c r="T45" i="3"/>
  <c r="T44" i="3"/>
  <c r="T43" i="3"/>
  <c r="T42" i="3"/>
  <c r="T41" i="3"/>
  <c r="T40" i="3"/>
  <c r="T39" i="3"/>
  <c r="T38" i="3"/>
  <c r="T37" i="3"/>
  <c r="T35" i="3"/>
  <c r="T34" i="3"/>
  <c r="T33" i="3"/>
  <c r="T32" i="3"/>
  <c r="T31" i="3"/>
  <c r="T27" i="3"/>
  <c r="T26" i="3"/>
  <c r="T25" i="3"/>
  <c r="T24" i="3"/>
  <c r="T23" i="3"/>
  <c r="T22" i="3"/>
  <c r="T19" i="3"/>
  <c r="T18" i="3"/>
  <c r="T17" i="3"/>
  <c r="T16" i="3"/>
  <c r="T15" i="3"/>
  <c r="T14" i="3"/>
  <c r="T13" i="3"/>
  <c r="T9" i="3"/>
  <c r="T8" i="3"/>
  <c r="AW232" i="3"/>
  <c r="AV232" i="3"/>
  <c r="AW231" i="3"/>
  <c r="AV231" i="3"/>
  <c r="AW230" i="3"/>
  <c r="AV230" i="3"/>
  <c r="AW229" i="3"/>
  <c r="AV229" i="3"/>
  <c r="AW228" i="3"/>
  <c r="AV228" i="3"/>
  <c r="AW227" i="3"/>
  <c r="AV227" i="3"/>
  <c r="AW226" i="3"/>
  <c r="AV226" i="3"/>
  <c r="AW224" i="3"/>
  <c r="AV224" i="3"/>
  <c r="AW223" i="3"/>
  <c r="AV223" i="3"/>
  <c r="AW222" i="3"/>
  <c r="AV222" i="3"/>
  <c r="AW221" i="3"/>
  <c r="AV221" i="3"/>
  <c r="AW220" i="3"/>
  <c r="AV220" i="3"/>
  <c r="AW217" i="3"/>
  <c r="AV217" i="3"/>
  <c r="AW216" i="3"/>
  <c r="AV216" i="3"/>
  <c r="AW215" i="3"/>
  <c r="AV215" i="3"/>
  <c r="AW214" i="3"/>
  <c r="AV214" i="3"/>
  <c r="AW213" i="3"/>
  <c r="AV213" i="3"/>
  <c r="AW212" i="3"/>
  <c r="AV212" i="3"/>
  <c r="AW211" i="3"/>
  <c r="AV211" i="3"/>
  <c r="AW210" i="3"/>
  <c r="AV210" i="3"/>
  <c r="AW208" i="3"/>
  <c r="AV208" i="3"/>
  <c r="AW207" i="3"/>
  <c r="AV207" i="3"/>
  <c r="AW206" i="3"/>
  <c r="AV206" i="3"/>
  <c r="AW205" i="3"/>
  <c r="AV205" i="3"/>
  <c r="AW204" i="3"/>
  <c r="AV204" i="3"/>
  <c r="AW203" i="3"/>
  <c r="AV203" i="3"/>
  <c r="AW202" i="3"/>
  <c r="AV202" i="3"/>
  <c r="AW201" i="3"/>
  <c r="AV201" i="3"/>
  <c r="AW200" i="3"/>
  <c r="AV200" i="3"/>
  <c r="AW199" i="3"/>
  <c r="AV199" i="3"/>
  <c r="AW197" i="3"/>
  <c r="AV197" i="3"/>
  <c r="AW196" i="3"/>
  <c r="AV196" i="3"/>
  <c r="AW195" i="3"/>
  <c r="AV195" i="3"/>
  <c r="AW194" i="3"/>
  <c r="AV194" i="3"/>
  <c r="AW192" i="3"/>
  <c r="AV192" i="3"/>
  <c r="AW191" i="3"/>
  <c r="AV191" i="3"/>
  <c r="AW190" i="3"/>
  <c r="AV190" i="3"/>
  <c r="AW189" i="3"/>
  <c r="AV189" i="3"/>
  <c r="AW188" i="3"/>
  <c r="AV188" i="3"/>
  <c r="AW187" i="3"/>
  <c r="AV187" i="3"/>
  <c r="AW186" i="3"/>
  <c r="AV186" i="3"/>
  <c r="AW185" i="3"/>
  <c r="AV185" i="3"/>
  <c r="AW184" i="3"/>
  <c r="AV184" i="3"/>
  <c r="AW183" i="3"/>
  <c r="AV183" i="3"/>
  <c r="AW181" i="3"/>
  <c r="AV181" i="3"/>
  <c r="AW180" i="3"/>
  <c r="AV180" i="3"/>
  <c r="AW179" i="3"/>
  <c r="AV179" i="3"/>
  <c r="AW178" i="3"/>
  <c r="AV178" i="3"/>
  <c r="AW177" i="3"/>
  <c r="AV177" i="3"/>
  <c r="AW176" i="3"/>
  <c r="AV176" i="3"/>
  <c r="AW173" i="3"/>
  <c r="AV173" i="3"/>
  <c r="AW172" i="3"/>
  <c r="AV172" i="3"/>
  <c r="AW171" i="3"/>
  <c r="AV171" i="3"/>
  <c r="AW170" i="3"/>
  <c r="AV170" i="3"/>
  <c r="AW169" i="3"/>
  <c r="AV169" i="3"/>
  <c r="AW168" i="3"/>
  <c r="AV168" i="3"/>
  <c r="AW167" i="3"/>
  <c r="AV167" i="3"/>
  <c r="AW166" i="3"/>
  <c r="AV166" i="3"/>
  <c r="AW165" i="3"/>
  <c r="AV165" i="3"/>
  <c r="AW164" i="3"/>
  <c r="AV164" i="3"/>
  <c r="AW163" i="3"/>
  <c r="AV163" i="3"/>
  <c r="AW161" i="3"/>
  <c r="AV161" i="3"/>
  <c r="AW160" i="3"/>
  <c r="AV160" i="3"/>
  <c r="AW159" i="3"/>
  <c r="AV159" i="3"/>
  <c r="AW158" i="3"/>
  <c r="AV158" i="3"/>
  <c r="AW156" i="3"/>
  <c r="AV156" i="3"/>
  <c r="AW155" i="3"/>
  <c r="AV155" i="3"/>
  <c r="AW154" i="3"/>
  <c r="AV154" i="3"/>
  <c r="AW153" i="3"/>
  <c r="AV153" i="3"/>
  <c r="AW152" i="3"/>
  <c r="AV152" i="3"/>
  <c r="AW151" i="3"/>
  <c r="AV151" i="3"/>
  <c r="AW150" i="3"/>
  <c r="AV150" i="3"/>
  <c r="AW149" i="3"/>
  <c r="AV149" i="3"/>
  <c r="AW148" i="3"/>
  <c r="AV148" i="3"/>
  <c r="AW147" i="3"/>
  <c r="AV147" i="3"/>
  <c r="AW145" i="3"/>
  <c r="AV145" i="3"/>
  <c r="AW144" i="3"/>
  <c r="AV144" i="3"/>
  <c r="AW143" i="3"/>
  <c r="AV143" i="3"/>
  <c r="AW142" i="3"/>
  <c r="AV142" i="3"/>
  <c r="AW141" i="3"/>
  <c r="AV141" i="3"/>
  <c r="AW140" i="3"/>
  <c r="AV140" i="3"/>
  <c r="AW139" i="3"/>
  <c r="AV139" i="3"/>
  <c r="AW138" i="3"/>
  <c r="AV138" i="3"/>
  <c r="AW137" i="3"/>
  <c r="AV137" i="3"/>
  <c r="AW136" i="3"/>
  <c r="AV136" i="3"/>
  <c r="AW135" i="3"/>
  <c r="AV135" i="3"/>
  <c r="AW134" i="3"/>
  <c r="AV134" i="3"/>
  <c r="AW132" i="3"/>
  <c r="AV132" i="3"/>
  <c r="AW131" i="3"/>
  <c r="AV131" i="3"/>
  <c r="AW130" i="3"/>
  <c r="AV130" i="3"/>
  <c r="AW129" i="3"/>
  <c r="AV129" i="3"/>
  <c r="AW127" i="3"/>
  <c r="AV127" i="3"/>
  <c r="AW126" i="3"/>
  <c r="AV126" i="3"/>
  <c r="AW125" i="3"/>
  <c r="AV125" i="3"/>
  <c r="AW124" i="3"/>
  <c r="AV124" i="3"/>
  <c r="AW123" i="3"/>
  <c r="AV123" i="3"/>
  <c r="AW122" i="3"/>
  <c r="AV122" i="3"/>
  <c r="AW121" i="3"/>
  <c r="AV121" i="3"/>
  <c r="AW120" i="3"/>
  <c r="AV120" i="3"/>
  <c r="AW119" i="3"/>
  <c r="AV119" i="3"/>
  <c r="AW118" i="3"/>
  <c r="AV118" i="3"/>
  <c r="AW116" i="3"/>
  <c r="AV116" i="3"/>
  <c r="AW115" i="3"/>
  <c r="AV115" i="3"/>
  <c r="AW114" i="3"/>
  <c r="AV114" i="3"/>
  <c r="AW113" i="3"/>
  <c r="AV113" i="3"/>
  <c r="AW112" i="3"/>
  <c r="AV112" i="3"/>
  <c r="AW111" i="3"/>
  <c r="AV111" i="3"/>
  <c r="AW110" i="3"/>
  <c r="AV110" i="3"/>
  <c r="AW109" i="3"/>
  <c r="AV109" i="3"/>
  <c r="AW107" i="3"/>
  <c r="AV107" i="3"/>
  <c r="AW106" i="3"/>
  <c r="AV106" i="3"/>
  <c r="AW105" i="3"/>
  <c r="AV105" i="3"/>
  <c r="AW103" i="3"/>
  <c r="AV103" i="3"/>
  <c r="AW101" i="3"/>
  <c r="AV101" i="3"/>
  <c r="AW99" i="3"/>
  <c r="AV99" i="3"/>
  <c r="AW98" i="3"/>
  <c r="AV98" i="3"/>
  <c r="AW96" i="3"/>
  <c r="AV96" i="3"/>
  <c r="AW92" i="3"/>
  <c r="AV92" i="3"/>
  <c r="AW91" i="3"/>
  <c r="AV91" i="3"/>
  <c r="AW90" i="3"/>
  <c r="AV90" i="3"/>
  <c r="AW87" i="3"/>
  <c r="AV87" i="3"/>
  <c r="AW84" i="3"/>
  <c r="AV84" i="3"/>
  <c r="AW81" i="3"/>
  <c r="AV81" i="3"/>
  <c r="AW77" i="3"/>
  <c r="AV77" i="3"/>
  <c r="AW76" i="3"/>
  <c r="AV76" i="3"/>
  <c r="AW75" i="3"/>
  <c r="AV75" i="3"/>
  <c r="AW74" i="3"/>
  <c r="AV74" i="3"/>
  <c r="AW73" i="3"/>
  <c r="AV73" i="3"/>
  <c r="AW72" i="3"/>
  <c r="AV72" i="3"/>
  <c r="AW69" i="3"/>
  <c r="AV69" i="3"/>
  <c r="AW68" i="3"/>
  <c r="AV68" i="3"/>
  <c r="AW67" i="3"/>
  <c r="AV67" i="3"/>
  <c r="AW66" i="3"/>
  <c r="AV66" i="3"/>
  <c r="AW65" i="3"/>
  <c r="AV65" i="3"/>
  <c r="AW64" i="3"/>
  <c r="AV64" i="3"/>
  <c r="AW63" i="3"/>
  <c r="AV63" i="3"/>
  <c r="AW62" i="3"/>
  <c r="AV62" i="3"/>
  <c r="AW61" i="3"/>
  <c r="AV61" i="3"/>
  <c r="AW60" i="3"/>
  <c r="AV60" i="3"/>
  <c r="AW56" i="3"/>
  <c r="AV56" i="3"/>
  <c r="AW55" i="3"/>
  <c r="AV55" i="3"/>
  <c r="AW54" i="3"/>
  <c r="AV54" i="3"/>
  <c r="AW53" i="3"/>
  <c r="AV53" i="3"/>
  <c r="AW52" i="3"/>
  <c r="AV52" i="3"/>
  <c r="AW51" i="3"/>
  <c r="AV51" i="3"/>
  <c r="AW50" i="3"/>
  <c r="AV50" i="3"/>
  <c r="AW49" i="3"/>
  <c r="AV49" i="3"/>
  <c r="AW48" i="3"/>
  <c r="AV48" i="3"/>
  <c r="AW46" i="3"/>
  <c r="AV46" i="3"/>
  <c r="AW45" i="3"/>
  <c r="AV45" i="3"/>
  <c r="AW44" i="3"/>
  <c r="AV44" i="3"/>
  <c r="AW43" i="3"/>
  <c r="AV43" i="3"/>
  <c r="AW42" i="3"/>
  <c r="AV42" i="3"/>
  <c r="AW41" i="3"/>
  <c r="AV41" i="3"/>
  <c r="AW40" i="3"/>
  <c r="AV40" i="3"/>
  <c r="AW39" i="3"/>
  <c r="AV39" i="3"/>
  <c r="AW38" i="3"/>
  <c r="AV38" i="3"/>
  <c r="AW37" i="3"/>
  <c r="AV37" i="3"/>
  <c r="AW35" i="3"/>
  <c r="AV35" i="3"/>
  <c r="AW34" i="3"/>
  <c r="AV34" i="3"/>
  <c r="AW33" i="3"/>
  <c r="AV33" i="3"/>
  <c r="AW32" i="3"/>
  <c r="AV32" i="3"/>
  <c r="AW31" i="3"/>
  <c r="AV31" i="3"/>
  <c r="AW27" i="3"/>
  <c r="AV27" i="3"/>
  <c r="AW26" i="3"/>
  <c r="AV26" i="3"/>
  <c r="AW25" i="3"/>
  <c r="AV25" i="3"/>
  <c r="AW24" i="3"/>
  <c r="AV24" i="3"/>
  <c r="AW23" i="3"/>
  <c r="AV23" i="3"/>
  <c r="AW22" i="3"/>
  <c r="AV22" i="3"/>
  <c r="AW19" i="3"/>
  <c r="AV19" i="3"/>
  <c r="AW18" i="3"/>
  <c r="AV18" i="3"/>
  <c r="AW17" i="3"/>
  <c r="AV17" i="3"/>
  <c r="AW16" i="3"/>
  <c r="AV16" i="3"/>
  <c r="AW15" i="3"/>
  <c r="AV15" i="3"/>
  <c r="AW14" i="3"/>
  <c r="AV14" i="3"/>
  <c r="AW13" i="3"/>
  <c r="AV13" i="3"/>
  <c r="AW9" i="3"/>
  <c r="AV9" i="3"/>
  <c r="AW8" i="3"/>
  <c r="AV8" i="3"/>
  <c r="AY232" i="3"/>
  <c r="AX232" i="3"/>
  <c r="AY231" i="3"/>
  <c r="AX231" i="3"/>
  <c r="AY230" i="3"/>
  <c r="AX230" i="3"/>
  <c r="AY229" i="3"/>
  <c r="AX229" i="3"/>
  <c r="AY228" i="3"/>
  <c r="AX228" i="3"/>
  <c r="AY227" i="3"/>
  <c r="AX227" i="3"/>
  <c r="AY226" i="3"/>
  <c r="AX226" i="3"/>
  <c r="AY224" i="3"/>
  <c r="AX224" i="3"/>
  <c r="AY223" i="3"/>
  <c r="AX223" i="3"/>
  <c r="AY222" i="3"/>
  <c r="AX222" i="3"/>
  <c r="AY221" i="3"/>
  <c r="AX221" i="3"/>
  <c r="AY220" i="3"/>
  <c r="AX220" i="3"/>
  <c r="AY217" i="3"/>
  <c r="AX217" i="3"/>
  <c r="AY216" i="3"/>
  <c r="AX216" i="3"/>
  <c r="AY215" i="3"/>
  <c r="AX215" i="3"/>
  <c r="AY214" i="3"/>
  <c r="AX214" i="3"/>
  <c r="AY213" i="3"/>
  <c r="AX213" i="3"/>
  <c r="AY212" i="3"/>
  <c r="AX212" i="3"/>
  <c r="AY211" i="3"/>
  <c r="AX211" i="3"/>
  <c r="AY210" i="3"/>
  <c r="AX210" i="3"/>
  <c r="AY208" i="3"/>
  <c r="AX208" i="3"/>
  <c r="AY207" i="3"/>
  <c r="AX207" i="3"/>
  <c r="AY206" i="3"/>
  <c r="AX206" i="3"/>
  <c r="AY205" i="3"/>
  <c r="AX205" i="3"/>
  <c r="AY204" i="3"/>
  <c r="AX204" i="3"/>
  <c r="AY203" i="3"/>
  <c r="AX203" i="3"/>
  <c r="AY202" i="3"/>
  <c r="AX202" i="3"/>
  <c r="AY201" i="3"/>
  <c r="AX201" i="3"/>
  <c r="AY200" i="3"/>
  <c r="AX200" i="3"/>
  <c r="AY199" i="3"/>
  <c r="AX199" i="3"/>
  <c r="AY197" i="3"/>
  <c r="AX197" i="3"/>
  <c r="AY196" i="3"/>
  <c r="AX196" i="3"/>
  <c r="AY195" i="3"/>
  <c r="AX195" i="3"/>
  <c r="AY194" i="3"/>
  <c r="AX194" i="3"/>
  <c r="AY192" i="3"/>
  <c r="AX192" i="3"/>
  <c r="AY191" i="3"/>
  <c r="AX191" i="3"/>
  <c r="AY190" i="3"/>
  <c r="AX190" i="3"/>
  <c r="AY189" i="3"/>
  <c r="AX189" i="3"/>
  <c r="AY188" i="3"/>
  <c r="AX188" i="3"/>
  <c r="AY187" i="3"/>
  <c r="AX187" i="3"/>
  <c r="AY186" i="3"/>
  <c r="AX186" i="3"/>
  <c r="AY185" i="3"/>
  <c r="AX185" i="3"/>
  <c r="AY184" i="3"/>
  <c r="AX184" i="3"/>
  <c r="AY183" i="3"/>
  <c r="AX183" i="3"/>
  <c r="AY181" i="3"/>
  <c r="AX181" i="3"/>
  <c r="AY180" i="3"/>
  <c r="AX180" i="3"/>
  <c r="AY179" i="3"/>
  <c r="AX179" i="3"/>
  <c r="AY178" i="3"/>
  <c r="AX178" i="3"/>
  <c r="AY177" i="3"/>
  <c r="AX177" i="3"/>
  <c r="AY176" i="3"/>
  <c r="AX176" i="3"/>
  <c r="AY173" i="3"/>
  <c r="AX173" i="3"/>
  <c r="AY172" i="3"/>
  <c r="AX172" i="3"/>
  <c r="AY171" i="3"/>
  <c r="AX171" i="3"/>
  <c r="AY170" i="3"/>
  <c r="AX170" i="3"/>
  <c r="AY169" i="3"/>
  <c r="AX169" i="3"/>
  <c r="AY168" i="3"/>
  <c r="AX168" i="3"/>
  <c r="AY167" i="3"/>
  <c r="AX167" i="3"/>
  <c r="AY166" i="3"/>
  <c r="AX166" i="3"/>
  <c r="AY165" i="3"/>
  <c r="AX165" i="3"/>
  <c r="AY164" i="3"/>
  <c r="AX164" i="3"/>
  <c r="AY163" i="3"/>
  <c r="AX163" i="3"/>
  <c r="AY161" i="3"/>
  <c r="AX161" i="3"/>
  <c r="AY160" i="3"/>
  <c r="AX160" i="3"/>
  <c r="AY159" i="3"/>
  <c r="AX159" i="3"/>
  <c r="AY158" i="3"/>
  <c r="AX158" i="3"/>
  <c r="AY156" i="3"/>
  <c r="AX156" i="3"/>
  <c r="AY155" i="3"/>
  <c r="AX155" i="3"/>
  <c r="AY154" i="3"/>
  <c r="AX154" i="3"/>
  <c r="AY153" i="3"/>
  <c r="AX153" i="3"/>
  <c r="AY152" i="3"/>
  <c r="AX152" i="3"/>
  <c r="AY151" i="3"/>
  <c r="AX151" i="3"/>
  <c r="AY150" i="3"/>
  <c r="AX150" i="3"/>
  <c r="AY149" i="3"/>
  <c r="AX149" i="3"/>
  <c r="AY148" i="3"/>
  <c r="AX148" i="3"/>
  <c r="AY147" i="3"/>
  <c r="AX147" i="3"/>
  <c r="AY145" i="3"/>
  <c r="AX145" i="3"/>
  <c r="AY144" i="3"/>
  <c r="AX144" i="3"/>
  <c r="AY143" i="3"/>
  <c r="AX143" i="3"/>
  <c r="AY142" i="3"/>
  <c r="AX142" i="3"/>
  <c r="AY141" i="3"/>
  <c r="AX141" i="3"/>
  <c r="AY140" i="3"/>
  <c r="AX140" i="3"/>
  <c r="AY139" i="3"/>
  <c r="AX139" i="3"/>
  <c r="AY138" i="3"/>
  <c r="AX138" i="3"/>
  <c r="AY137" i="3"/>
  <c r="AX137" i="3"/>
  <c r="AY136" i="3"/>
  <c r="AX136" i="3"/>
  <c r="AY135" i="3"/>
  <c r="AX135" i="3"/>
  <c r="AY134" i="3"/>
  <c r="AX134" i="3"/>
  <c r="AY132" i="3"/>
  <c r="AX132" i="3"/>
  <c r="AY131" i="3"/>
  <c r="AX131" i="3"/>
  <c r="AY130" i="3"/>
  <c r="AX130" i="3"/>
  <c r="AY129" i="3"/>
  <c r="AX129" i="3"/>
  <c r="AY127" i="3"/>
  <c r="AX127" i="3"/>
  <c r="AY126" i="3"/>
  <c r="AX126" i="3"/>
  <c r="AY125" i="3"/>
  <c r="AX125" i="3"/>
  <c r="AY124" i="3"/>
  <c r="AX124" i="3"/>
  <c r="AY123" i="3"/>
  <c r="AX123" i="3"/>
  <c r="AY122" i="3"/>
  <c r="AX122" i="3"/>
  <c r="AY121" i="3"/>
  <c r="AX121" i="3"/>
  <c r="AY120" i="3"/>
  <c r="AX120" i="3"/>
  <c r="AY119" i="3"/>
  <c r="AX119" i="3"/>
  <c r="AY118" i="3"/>
  <c r="AX118" i="3"/>
  <c r="AY116" i="3"/>
  <c r="AX116" i="3"/>
  <c r="AY115" i="3"/>
  <c r="AX115" i="3"/>
  <c r="AY114" i="3"/>
  <c r="AX114" i="3"/>
  <c r="AY113" i="3"/>
  <c r="AX113" i="3"/>
  <c r="AY112" i="3"/>
  <c r="AX112" i="3"/>
  <c r="AY111" i="3"/>
  <c r="AX111" i="3"/>
  <c r="AY110" i="3"/>
  <c r="AX110" i="3"/>
  <c r="AY109" i="3"/>
  <c r="AX109" i="3"/>
  <c r="AY107" i="3"/>
  <c r="AX107" i="3"/>
  <c r="AY106" i="3"/>
  <c r="AX106" i="3"/>
  <c r="AY105" i="3"/>
  <c r="AX105" i="3"/>
  <c r="AY103" i="3"/>
  <c r="AX103" i="3"/>
  <c r="AY101" i="3"/>
  <c r="AX101" i="3"/>
  <c r="AY99" i="3"/>
  <c r="AX99" i="3"/>
  <c r="AY98" i="3"/>
  <c r="AX98" i="3"/>
  <c r="AY96" i="3"/>
  <c r="AX96" i="3"/>
  <c r="AY92" i="3"/>
  <c r="AX92" i="3"/>
  <c r="AY91" i="3"/>
  <c r="AX91" i="3"/>
  <c r="AY90" i="3"/>
  <c r="AX90" i="3"/>
  <c r="AY87" i="3"/>
  <c r="AX87" i="3"/>
  <c r="AY84" i="3"/>
  <c r="AX84" i="3"/>
  <c r="AY81" i="3"/>
  <c r="AX81" i="3"/>
  <c r="AY77" i="3"/>
  <c r="AX77" i="3"/>
  <c r="AY76" i="3"/>
  <c r="AX76" i="3"/>
  <c r="AY75" i="3"/>
  <c r="AX75" i="3"/>
  <c r="AY74" i="3"/>
  <c r="AX74" i="3"/>
  <c r="AY73" i="3"/>
  <c r="AX73" i="3"/>
  <c r="AY72" i="3"/>
  <c r="AX72" i="3"/>
  <c r="AY69" i="3"/>
  <c r="AX69" i="3"/>
  <c r="AY68" i="3"/>
  <c r="AX68" i="3"/>
  <c r="AY67" i="3"/>
  <c r="AX67" i="3"/>
  <c r="AY66" i="3"/>
  <c r="AX66" i="3"/>
  <c r="AY65" i="3"/>
  <c r="AX65" i="3"/>
  <c r="AY64" i="3"/>
  <c r="AX64" i="3"/>
  <c r="AY63" i="3"/>
  <c r="AX63" i="3"/>
  <c r="AY62" i="3"/>
  <c r="AX62" i="3"/>
  <c r="AY61" i="3"/>
  <c r="AX61" i="3"/>
  <c r="AY60" i="3"/>
  <c r="AX60" i="3"/>
  <c r="AY56" i="3"/>
  <c r="AX56" i="3"/>
  <c r="AY55" i="3"/>
  <c r="AX55" i="3"/>
  <c r="AY54" i="3"/>
  <c r="AX54" i="3"/>
  <c r="AY53" i="3"/>
  <c r="AX53" i="3"/>
  <c r="AY52" i="3"/>
  <c r="AX52" i="3"/>
  <c r="AY51" i="3"/>
  <c r="AX51" i="3"/>
  <c r="AY50" i="3"/>
  <c r="AX50" i="3"/>
  <c r="AY49" i="3"/>
  <c r="AX49" i="3"/>
  <c r="AY48" i="3"/>
  <c r="AX48" i="3"/>
  <c r="AY46" i="3"/>
  <c r="AX46" i="3"/>
  <c r="AY45" i="3"/>
  <c r="AX45" i="3"/>
  <c r="AY44" i="3"/>
  <c r="AX44" i="3"/>
  <c r="AY43" i="3"/>
  <c r="AX43" i="3"/>
  <c r="AY42" i="3"/>
  <c r="AX42" i="3"/>
  <c r="AY41" i="3"/>
  <c r="AX41" i="3"/>
  <c r="AY40" i="3"/>
  <c r="AX40" i="3"/>
  <c r="AY39" i="3"/>
  <c r="AX39" i="3"/>
  <c r="AY38" i="3"/>
  <c r="AX38" i="3"/>
  <c r="AY37" i="3"/>
  <c r="AX37" i="3"/>
  <c r="AY35" i="3"/>
  <c r="AX35" i="3"/>
  <c r="AY34" i="3"/>
  <c r="AX34" i="3"/>
  <c r="AY33" i="3"/>
  <c r="AX33" i="3"/>
  <c r="AY32" i="3"/>
  <c r="AX32" i="3"/>
  <c r="AY31" i="3"/>
  <c r="AX31" i="3"/>
  <c r="AY27" i="3"/>
  <c r="AX27" i="3"/>
  <c r="AY26" i="3"/>
  <c r="AX26" i="3"/>
  <c r="AY25" i="3"/>
  <c r="AX25" i="3"/>
  <c r="AY24" i="3"/>
  <c r="AX24" i="3"/>
  <c r="AY23" i="3"/>
  <c r="AX23" i="3"/>
  <c r="AY22" i="3"/>
  <c r="AX22" i="3"/>
  <c r="AY19" i="3"/>
  <c r="AX19" i="3"/>
  <c r="AY18" i="3"/>
  <c r="AX18" i="3"/>
  <c r="AY17" i="3"/>
  <c r="AX17" i="3"/>
  <c r="AY16" i="3"/>
  <c r="AX16" i="3"/>
  <c r="AY15" i="3"/>
  <c r="AX15" i="3"/>
  <c r="AY14" i="3"/>
  <c r="AX14" i="3"/>
  <c r="AY13" i="3"/>
  <c r="AX13" i="3"/>
  <c r="AY9" i="3"/>
  <c r="AX9" i="3"/>
  <c r="AY8" i="3"/>
  <c r="AX8" i="3"/>
  <c r="AZ232" i="3"/>
  <c r="AZ231" i="3"/>
  <c r="AZ230" i="3"/>
  <c r="AZ229" i="3"/>
  <c r="AZ228" i="3"/>
  <c r="AZ227" i="3"/>
  <c r="AZ226" i="3"/>
  <c r="AZ224" i="3"/>
  <c r="AZ223" i="3"/>
  <c r="AZ222" i="3"/>
  <c r="AZ221" i="3"/>
  <c r="AZ220" i="3"/>
  <c r="AZ217" i="3"/>
  <c r="AZ216" i="3"/>
  <c r="AZ215" i="3"/>
  <c r="AZ214" i="3"/>
  <c r="AZ213" i="3"/>
  <c r="AZ212" i="3"/>
  <c r="AZ211" i="3"/>
  <c r="AZ210" i="3"/>
  <c r="AZ208" i="3"/>
  <c r="AZ207" i="3"/>
  <c r="AZ206" i="3"/>
  <c r="AZ205" i="3"/>
  <c r="AZ204" i="3"/>
  <c r="AZ203" i="3"/>
  <c r="AZ202" i="3"/>
  <c r="AZ201" i="3"/>
  <c r="AZ200" i="3"/>
  <c r="AZ199" i="3"/>
  <c r="AZ197" i="3"/>
  <c r="AZ196" i="3"/>
  <c r="AZ195" i="3"/>
  <c r="AZ194" i="3"/>
  <c r="AZ192" i="3"/>
  <c r="AZ191" i="3"/>
  <c r="AZ190" i="3"/>
  <c r="AZ189" i="3"/>
  <c r="AZ188" i="3"/>
  <c r="AZ187" i="3"/>
  <c r="AZ186" i="3"/>
  <c r="AZ185" i="3"/>
  <c r="AZ184" i="3"/>
  <c r="AZ183" i="3"/>
  <c r="AZ181" i="3"/>
  <c r="AZ180" i="3"/>
  <c r="AZ179" i="3"/>
  <c r="AZ178" i="3"/>
  <c r="AZ177" i="3"/>
  <c r="AZ176" i="3"/>
  <c r="AZ173" i="3"/>
  <c r="AZ172" i="3"/>
  <c r="AZ171" i="3"/>
  <c r="AZ170" i="3"/>
  <c r="AZ169" i="3"/>
  <c r="AZ168" i="3"/>
  <c r="AZ167" i="3"/>
  <c r="AZ166" i="3"/>
  <c r="AZ165" i="3"/>
  <c r="AZ164" i="3"/>
  <c r="AZ163" i="3"/>
  <c r="AZ161" i="3"/>
  <c r="AZ160" i="3"/>
  <c r="AZ159" i="3"/>
  <c r="AZ158" i="3"/>
  <c r="AZ156" i="3"/>
  <c r="AZ155" i="3"/>
  <c r="AZ154" i="3"/>
  <c r="AZ153" i="3"/>
  <c r="AZ152" i="3"/>
  <c r="AZ151" i="3"/>
  <c r="AZ150" i="3"/>
  <c r="AZ149" i="3"/>
  <c r="AZ148" i="3"/>
  <c r="AZ147" i="3"/>
  <c r="AZ145" i="3"/>
  <c r="AZ144" i="3"/>
  <c r="AZ143" i="3"/>
  <c r="AZ142" i="3"/>
  <c r="AZ141" i="3"/>
  <c r="AZ140" i="3"/>
  <c r="AZ139" i="3"/>
  <c r="AZ138" i="3"/>
  <c r="AZ137" i="3"/>
  <c r="AZ136" i="3"/>
  <c r="AZ135" i="3"/>
  <c r="AZ134" i="3"/>
  <c r="AZ132" i="3"/>
  <c r="AZ131" i="3"/>
  <c r="AZ130" i="3"/>
  <c r="AZ129" i="3"/>
  <c r="AZ127" i="3"/>
  <c r="AZ126" i="3"/>
  <c r="AZ125" i="3"/>
  <c r="AZ124" i="3"/>
  <c r="AZ123" i="3"/>
  <c r="AZ122" i="3"/>
  <c r="AZ121" i="3"/>
  <c r="AZ120" i="3"/>
  <c r="AZ119" i="3"/>
  <c r="AZ118" i="3"/>
  <c r="AZ116" i="3"/>
  <c r="AZ115" i="3"/>
  <c r="AZ114" i="3"/>
  <c r="AZ113" i="3"/>
  <c r="AZ112" i="3"/>
  <c r="AZ111" i="3"/>
  <c r="AZ110" i="3"/>
  <c r="AZ109" i="3"/>
  <c r="AZ107" i="3"/>
  <c r="AZ106" i="3"/>
  <c r="AZ105" i="3"/>
  <c r="AZ103" i="3"/>
  <c r="AZ101" i="3"/>
  <c r="AZ99" i="3"/>
  <c r="AZ98" i="3"/>
  <c r="AZ96" i="3"/>
  <c r="AZ92" i="3"/>
  <c r="AZ91" i="3"/>
  <c r="AZ90" i="3"/>
  <c r="AZ87" i="3"/>
  <c r="AZ84" i="3"/>
  <c r="AZ81" i="3"/>
  <c r="AZ77" i="3"/>
  <c r="AZ76" i="3"/>
  <c r="AZ75" i="3"/>
  <c r="AZ74" i="3"/>
  <c r="AZ73" i="3"/>
  <c r="AZ72" i="3"/>
  <c r="AZ69" i="3"/>
  <c r="AZ68" i="3"/>
  <c r="AZ67" i="3"/>
  <c r="AZ66" i="3"/>
  <c r="AZ65" i="3"/>
  <c r="AZ64" i="3"/>
  <c r="AZ63" i="3"/>
  <c r="AZ62" i="3"/>
  <c r="AZ61" i="3"/>
  <c r="AZ60" i="3"/>
  <c r="AZ56" i="3"/>
  <c r="AZ55" i="3"/>
  <c r="AZ54" i="3"/>
  <c r="AZ53" i="3"/>
  <c r="AZ52" i="3"/>
  <c r="AZ51" i="3"/>
  <c r="AZ50" i="3"/>
  <c r="AZ49" i="3"/>
  <c r="AZ48" i="3"/>
  <c r="AZ46" i="3"/>
  <c r="AZ45" i="3"/>
  <c r="AZ44" i="3"/>
  <c r="AZ43" i="3"/>
  <c r="AZ42" i="3"/>
  <c r="AZ41" i="3"/>
  <c r="AZ40" i="3"/>
  <c r="AZ39" i="3"/>
  <c r="AZ38" i="3"/>
  <c r="AZ37" i="3"/>
  <c r="AZ35" i="3"/>
  <c r="AZ34" i="3"/>
  <c r="AZ33" i="3"/>
  <c r="AZ32" i="3"/>
  <c r="AZ31" i="3"/>
  <c r="AZ27" i="3"/>
  <c r="AZ26" i="3"/>
  <c r="AZ25" i="3"/>
  <c r="AZ24" i="3"/>
  <c r="AZ23" i="3"/>
  <c r="AZ22" i="3"/>
  <c r="AZ19" i="3"/>
  <c r="AZ18" i="3"/>
  <c r="AZ17" i="3"/>
  <c r="AZ16" i="3"/>
  <c r="AZ15" i="3"/>
  <c r="AZ14" i="3"/>
  <c r="AZ13" i="3"/>
  <c r="AZ9" i="3"/>
  <c r="AZ8" i="3"/>
  <c r="BQ6" i="1"/>
  <c r="E95" i="1"/>
  <c r="E98" i="1" s="1"/>
  <c r="E99" i="1" s="1"/>
  <c r="E100" i="1" s="1"/>
  <c r="E104" i="1" s="1"/>
  <c r="E106" i="1" s="1"/>
  <c r="E107" i="1" s="1"/>
  <c r="E109" i="1" s="1"/>
  <c r="E111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6" i="1" s="1"/>
  <c r="E177" i="1" s="1"/>
  <c r="E178" i="1" s="1"/>
  <c r="E179" i="1" s="1"/>
  <c r="E180" i="1" s="1"/>
  <c r="P92" i="3"/>
  <c r="O92" i="3"/>
  <c r="P91" i="3"/>
  <c r="O91" i="3"/>
  <c r="P27" i="3"/>
  <c r="O27" i="3"/>
  <c r="BA232" i="3"/>
  <c r="AI232" i="3"/>
  <c r="AH232" i="3"/>
  <c r="AG232" i="3"/>
  <c r="AF232" i="3"/>
  <c r="AE232" i="3"/>
  <c r="AD232" i="3"/>
  <c r="AC232" i="3"/>
  <c r="AB232" i="3"/>
  <c r="AA232" i="3"/>
  <c r="Z232" i="3"/>
  <c r="Y232" i="3"/>
  <c r="X232" i="3"/>
  <c r="S232" i="3"/>
  <c r="R232" i="3"/>
  <c r="BA231" i="3"/>
  <c r="AI231" i="3"/>
  <c r="AH231" i="3"/>
  <c r="AG231" i="3"/>
  <c r="AF231" i="3"/>
  <c r="AE231" i="3"/>
  <c r="AD231" i="3"/>
  <c r="AC231" i="3"/>
  <c r="AB231" i="3"/>
  <c r="AA231" i="3"/>
  <c r="Z231" i="3"/>
  <c r="Y231" i="3"/>
  <c r="X231" i="3"/>
  <c r="S231" i="3"/>
  <c r="R231" i="3"/>
  <c r="BA230" i="3"/>
  <c r="AI230" i="3"/>
  <c r="AH230" i="3"/>
  <c r="AG230" i="3"/>
  <c r="AF230" i="3"/>
  <c r="AE230" i="3"/>
  <c r="AD230" i="3"/>
  <c r="AC230" i="3"/>
  <c r="AB230" i="3"/>
  <c r="AA230" i="3"/>
  <c r="Z230" i="3"/>
  <c r="Y230" i="3"/>
  <c r="X230" i="3"/>
  <c r="S230" i="3"/>
  <c r="R230" i="3"/>
  <c r="BA229" i="3"/>
  <c r="AI229" i="3"/>
  <c r="AH229" i="3"/>
  <c r="AG229" i="3"/>
  <c r="AF229" i="3"/>
  <c r="AE229" i="3"/>
  <c r="AD229" i="3"/>
  <c r="AC229" i="3"/>
  <c r="AB229" i="3"/>
  <c r="AA229" i="3"/>
  <c r="Z229" i="3"/>
  <c r="Y229" i="3"/>
  <c r="X229" i="3"/>
  <c r="S229" i="3"/>
  <c r="R229" i="3"/>
  <c r="BA228" i="3"/>
  <c r="AI228" i="3"/>
  <c r="AH228" i="3"/>
  <c r="AG228" i="3"/>
  <c r="AF228" i="3"/>
  <c r="AE228" i="3"/>
  <c r="AD228" i="3"/>
  <c r="AC228" i="3"/>
  <c r="AB228" i="3"/>
  <c r="AA228" i="3"/>
  <c r="Z228" i="3"/>
  <c r="Y228" i="3"/>
  <c r="X228" i="3"/>
  <c r="S228" i="3"/>
  <c r="R228" i="3"/>
  <c r="BA227" i="3"/>
  <c r="AI227" i="3"/>
  <c r="AH227" i="3"/>
  <c r="AG227" i="3"/>
  <c r="AF227" i="3"/>
  <c r="AE227" i="3"/>
  <c r="AD227" i="3"/>
  <c r="AC227" i="3"/>
  <c r="AB227" i="3"/>
  <c r="AA227" i="3"/>
  <c r="Z227" i="3"/>
  <c r="Y227" i="3"/>
  <c r="X227" i="3"/>
  <c r="S227" i="3"/>
  <c r="R227" i="3"/>
  <c r="BA226" i="3"/>
  <c r="AI226" i="3"/>
  <c r="AH226" i="3"/>
  <c r="AG226" i="3"/>
  <c r="AF226" i="3"/>
  <c r="AE226" i="3"/>
  <c r="AD226" i="3"/>
  <c r="AC226" i="3"/>
  <c r="AB226" i="3"/>
  <c r="AA226" i="3"/>
  <c r="Z226" i="3"/>
  <c r="Y226" i="3"/>
  <c r="X226" i="3"/>
  <c r="S226" i="3"/>
  <c r="R226" i="3"/>
  <c r="BA224" i="3"/>
  <c r="AI224" i="3"/>
  <c r="AH224" i="3"/>
  <c r="AG224" i="3"/>
  <c r="AF224" i="3"/>
  <c r="AE224" i="3"/>
  <c r="AD224" i="3"/>
  <c r="AC224" i="3"/>
  <c r="AB224" i="3"/>
  <c r="AA224" i="3"/>
  <c r="Z224" i="3"/>
  <c r="Y224" i="3"/>
  <c r="X224" i="3"/>
  <c r="S224" i="3"/>
  <c r="R224" i="3"/>
  <c r="BA223" i="3"/>
  <c r="AI223" i="3"/>
  <c r="AH223" i="3"/>
  <c r="AG223" i="3"/>
  <c r="AF223" i="3"/>
  <c r="AE223" i="3"/>
  <c r="AD223" i="3"/>
  <c r="AC223" i="3"/>
  <c r="AB223" i="3"/>
  <c r="AA223" i="3"/>
  <c r="Z223" i="3"/>
  <c r="Y223" i="3"/>
  <c r="X223" i="3"/>
  <c r="S223" i="3"/>
  <c r="R223" i="3"/>
  <c r="BA222" i="3"/>
  <c r="AI222" i="3"/>
  <c r="AH222" i="3"/>
  <c r="AG222" i="3"/>
  <c r="AF222" i="3"/>
  <c r="AE222" i="3"/>
  <c r="AD222" i="3"/>
  <c r="AC222" i="3"/>
  <c r="AB222" i="3"/>
  <c r="AA222" i="3"/>
  <c r="Z222" i="3"/>
  <c r="Y222" i="3"/>
  <c r="X222" i="3"/>
  <c r="S222" i="3"/>
  <c r="R222" i="3"/>
  <c r="BA221" i="3"/>
  <c r="AI221" i="3"/>
  <c r="AH221" i="3"/>
  <c r="AG221" i="3"/>
  <c r="AF221" i="3"/>
  <c r="AE221" i="3"/>
  <c r="AD221" i="3"/>
  <c r="AC221" i="3"/>
  <c r="AB221" i="3"/>
  <c r="AA221" i="3"/>
  <c r="Z221" i="3"/>
  <c r="Y221" i="3"/>
  <c r="X221" i="3"/>
  <c r="S221" i="3"/>
  <c r="R221" i="3"/>
  <c r="BA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S220" i="3"/>
  <c r="R220" i="3"/>
  <c r="BA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S217" i="3"/>
  <c r="R217" i="3"/>
  <c r="BA216" i="3"/>
  <c r="AI216" i="3"/>
  <c r="AH216" i="3"/>
  <c r="AG216" i="3"/>
  <c r="AF216" i="3"/>
  <c r="AE216" i="3"/>
  <c r="AD216" i="3"/>
  <c r="AC216" i="3"/>
  <c r="AB216" i="3"/>
  <c r="AA216" i="3"/>
  <c r="Z216" i="3"/>
  <c r="Y216" i="3"/>
  <c r="X216" i="3"/>
  <c r="S216" i="3"/>
  <c r="R216" i="3"/>
  <c r="BA215" i="3"/>
  <c r="AI215" i="3"/>
  <c r="AH215" i="3"/>
  <c r="AG215" i="3"/>
  <c r="AF215" i="3"/>
  <c r="AE215" i="3"/>
  <c r="AD215" i="3"/>
  <c r="AC215" i="3"/>
  <c r="AB215" i="3"/>
  <c r="AA215" i="3"/>
  <c r="Z215" i="3"/>
  <c r="Y215" i="3"/>
  <c r="X215" i="3"/>
  <c r="S215" i="3"/>
  <c r="R215" i="3"/>
  <c r="BA214" i="3"/>
  <c r="AI214" i="3"/>
  <c r="AH214" i="3"/>
  <c r="AG214" i="3"/>
  <c r="AF214" i="3"/>
  <c r="AE214" i="3"/>
  <c r="AD214" i="3"/>
  <c r="AC214" i="3"/>
  <c r="AB214" i="3"/>
  <c r="AA214" i="3"/>
  <c r="Z214" i="3"/>
  <c r="Y214" i="3"/>
  <c r="X214" i="3"/>
  <c r="S214" i="3"/>
  <c r="R214" i="3"/>
  <c r="BA213" i="3"/>
  <c r="AI213" i="3"/>
  <c r="AH213" i="3"/>
  <c r="AG213" i="3"/>
  <c r="AF213" i="3"/>
  <c r="AE213" i="3"/>
  <c r="AD213" i="3"/>
  <c r="AC213" i="3"/>
  <c r="AB213" i="3"/>
  <c r="AA213" i="3"/>
  <c r="Z213" i="3"/>
  <c r="Y213" i="3"/>
  <c r="X213" i="3"/>
  <c r="S213" i="3"/>
  <c r="R213" i="3"/>
  <c r="BA212" i="3"/>
  <c r="AI212" i="3"/>
  <c r="AH212" i="3"/>
  <c r="AG212" i="3"/>
  <c r="AF212" i="3"/>
  <c r="AE212" i="3"/>
  <c r="AD212" i="3"/>
  <c r="AC212" i="3"/>
  <c r="AB212" i="3"/>
  <c r="AA212" i="3"/>
  <c r="Z212" i="3"/>
  <c r="Y212" i="3"/>
  <c r="X212" i="3"/>
  <c r="S212" i="3"/>
  <c r="R212" i="3"/>
  <c r="BA211" i="3"/>
  <c r="AI211" i="3"/>
  <c r="AH211" i="3"/>
  <c r="AG211" i="3"/>
  <c r="AF211" i="3"/>
  <c r="AE211" i="3"/>
  <c r="AD211" i="3"/>
  <c r="AC211" i="3"/>
  <c r="AB211" i="3"/>
  <c r="AA211" i="3"/>
  <c r="Z211" i="3"/>
  <c r="Y211" i="3"/>
  <c r="X211" i="3"/>
  <c r="S211" i="3"/>
  <c r="R211" i="3"/>
  <c r="BA210" i="3"/>
  <c r="AI210" i="3"/>
  <c r="AH210" i="3"/>
  <c r="AG210" i="3"/>
  <c r="AF210" i="3"/>
  <c r="AE210" i="3"/>
  <c r="AD210" i="3"/>
  <c r="AC210" i="3"/>
  <c r="AB210" i="3"/>
  <c r="AA210" i="3"/>
  <c r="Z210" i="3"/>
  <c r="Y210" i="3"/>
  <c r="X210" i="3"/>
  <c r="S210" i="3"/>
  <c r="R210" i="3"/>
  <c r="BA208" i="3"/>
  <c r="AI208" i="3"/>
  <c r="AH208" i="3"/>
  <c r="AG208" i="3"/>
  <c r="AF208" i="3"/>
  <c r="AE208" i="3"/>
  <c r="AD208" i="3"/>
  <c r="AC208" i="3"/>
  <c r="AB208" i="3"/>
  <c r="AA208" i="3"/>
  <c r="Z208" i="3"/>
  <c r="Y208" i="3"/>
  <c r="X208" i="3"/>
  <c r="S208" i="3"/>
  <c r="R208" i="3"/>
  <c r="BA207" i="3"/>
  <c r="AI207" i="3"/>
  <c r="AH207" i="3"/>
  <c r="AG207" i="3"/>
  <c r="AF207" i="3"/>
  <c r="AE207" i="3"/>
  <c r="AD207" i="3"/>
  <c r="AC207" i="3"/>
  <c r="AB207" i="3"/>
  <c r="AA207" i="3"/>
  <c r="Z207" i="3"/>
  <c r="Y207" i="3"/>
  <c r="X207" i="3"/>
  <c r="S207" i="3"/>
  <c r="R207" i="3"/>
  <c r="BA206" i="3"/>
  <c r="AI206" i="3"/>
  <c r="AH206" i="3"/>
  <c r="AG206" i="3"/>
  <c r="AF206" i="3"/>
  <c r="AE206" i="3"/>
  <c r="AD206" i="3"/>
  <c r="AC206" i="3"/>
  <c r="AB206" i="3"/>
  <c r="AA206" i="3"/>
  <c r="Z206" i="3"/>
  <c r="Y206" i="3"/>
  <c r="X206" i="3"/>
  <c r="S206" i="3"/>
  <c r="R206" i="3"/>
  <c r="BA205" i="3"/>
  <c r="AI205" i="3"/>
  <c r="AH205" i="3"/>
  <c r="AG205" i="3"/>
  <c r="AF205" i="3"/>
  <c r="AE205" i="3"/>
  <c r="AD205" i="3"/>
  <c r="AC205" i="3"/>
  <c r="AB205" i="3"/>
  <c r="AA205" i="3"/>
  <c r="Z205" i="3"/>
  <c r="Y205" i="3"/>
  <c r="X205" i="3"/>
  <c r="S205" i="3"/>
  <c r="R205" i="3"/>
  <c r="BA204" i="3"/>
  <c r="AI204" i="3"/>
  <c r="AH204" i="3"/>
  <c r="AG204" i="3"/>
  <c r="AF204" i="3"/>
  <c r="AE204" i="3"/>
  <c r="AD204" i="3"/>
  <c r="AC204" i="3"/>
  <c r="AB204" i="3"/>
  <c r="AA204" i="3"/>
  <c r="Z204" i="3"/>
  <c r="Y204" i="3"/>
  <c r="X204" i="3"/>
  <c r="S204" i="3"/>
  <c r="R204" i="3"/>
  <c r="BA203" i="3"/>
  <c r="AI203" i="3"/>
  <c r="AH203" i="3"/>
  <c r="AG203" i="3"/>
  <c r="AF203" i="3"/>
  <c r="AE203" i="3"/>
  <c r="AD203" i="3"/>
  <c r="AC203" i="3"/>
  <c r="AB203" i="3"/>
  <c r="AA203" i="3"/>
  <c r="Z203" i="3"/>
  <c r="Y203" i="3"/>
  <c r="X203" i="3"/>
  <c r="S203" i="3"/>
  <c r="R203" i="3"/>
  <c r="BA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S202" i="3"/>
  <c r="R202" i="3"/>
  <c r="BA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S201" i="3"/>
  <c r="R201" i="3"/>
  <c r="BA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S200" i="3"/>
  <c r="R200" i="3"/>
  <c r="BA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S199" i="3"/>
  <c r="R199" i="3"/>
  <c r="BA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S197" i="3"/>
  <c r="R197" i="3"/>
  <c r="BA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S196" i="3"/>
  <c r="R196" i="3"/>
  <c r="BA195" i="3"/>
  <c r="AI195" i="3"/>
  <c r="AH195" i="3"/>
  <c r="AG195" i="3"/>
  <c r="AF195" i="3"/>
  <c r="AE195" i="3"/>
  <c r="AD195" i="3"/>
  <c r="AC195" i="3"/>
  <c r="AB195" i="3"/>
  <c r="AA195" i="3"/>
  <c r="Z195" i="3"/>
  <c r="Y195" i="3"/>
  <c r="X195" i="3"/>
  <c r="S195" i="3"/>
  <c r="R195" i="3"/>
  <c r="BA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S194" i="3"/>
  <c r="R194" i="3"/>
  <c r="BA192" i="3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S192" i="3"/>
  <c r="R192" i="3"/>
  <c r="BA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S191" i="3"/>
  <c r="R191" i="3"/>
  <c r="BA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S190" i="3"/>
  <c r="R190" i="3"/>
  <c r="BA189" i="3"/>
  <c r="AI189" i="3"/>
  <c r="AH189" i="3"/>
  <c r="AG189" i="3"/>
  <c r="AF189" i="3"/>
  <c r="AE189" i="3"/>
  <c r="AD189" i="3"/>
  <c r="AC189" i="3"/>
  <c r="AB189" i="3"/>
  <c r="AA189" i="3"/>
  <c r="Z189" i="3"/>
  <c r="Y189" i="3"/>
  <c r="X189" i="3"/>
  <c r="S189" i="3"/>
  <c r="R189" i="3"/>
  <c r="BA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S188" i="3"/>
  <c r="R188" i="3"/>
  <c r="BA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S187" i="3"/>
  <c r="R187" i="3"/>
  <c r="BA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S186" i="3"/>
  <c r="R186" i="3"/>
  <c r="BA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S185" i="3"/>
  <c r="R185" i="3"/>
  <c r="BA184" i="3"/>
  <c r="AI184" i="3"/>
  <c r="AH184" i="3"/>
  <c r="AG184" i="3"/>
  <c r="AF184" i="3"/>
  <c r="AE184" i="3"/>
  <c r="AD184" i="3"/>
  <c r="AC184" i="3"/>
  <c r="AB184" i="3"/>
  <c r="AA184" i="3"/>
  <c r="Z184" i="3"/>
  <c r="Y184" i="3"/>
  <c r="X184" i="3"/>
  <c r="S184" i="3"/>
  <c r="R184" i="3"/>
  <c r="BA183" i="3"/>
  <c r="AI183" i="3"/>
  <c r="AH183" i="3"/>
  <c r="AG183" i="3"/>
  <c r="AF183" i="3"/>
  <c r="AE183" i="3"/>
  <c r="AD183" i="3"/>
  <c r="AC183" i="3"/>
  <c r="AB183" i="3"/>
  <c r="AA183" i="3"/>
  <c r="Z183" i="3"/>
  <c r="Y183" i="3"/>
  <c r="X183" i="3"/>
  <c r="S183" i="3"/>
  <c r="R183" i="3"/>
  <c r="BA181" i="3"/>
  <c r="AI181" i="3"/>
  <c r="AH181" i="3"/>
  <c r="AG181" i="3"/>
  <c r="AF181" i="3"/>
  <c r="AE181" i="3"/>
  <c r="AD181" i="3"/>
  <c r="AC181" i="3"/>
  <c r="AB181" i="3"/>
  <c r="AA181" i="3"/>
  <c r="Z181" i="3"/>
  <c r="Y181" i="3"/>
  <c r="X181" i="3"/>
  <c r="S181" i="3"/>
  <c r="R181" i="3"/>
  <c r="BA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S180" i="3"/>
  <c r="R180" i="3"/>
  <c r="BA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S179" i="3"/>
  <c r="R179" i="3"/>
  <c r="BA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S178" i="3"/>
  <c r="R178" i="3"/>
  <c r="BA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S177" i="3"/>
  <c r="R177" i="3"/>
  <c r="BA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S176" i="3"/>
  <c r="R176" i="3"/>
  <c r="BA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S173" i="3"/>
  <c r="R173" i="3"/>
  <c r="BA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S172" i="3"/>
  <c r="R172" i="3"/>
  <c r="BA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S171" i="3"/>
  <c r="R171" i="3"/>
  <c r="BA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S170" i="3"/>
  <c r="R170" i="3"/>
  <c r="BA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S169" i="3"/>
  <c r="R169" i="3"/>
  <c r="BA168" i="3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S168" i="3"/>
  <c r="R168" i="3"/>
  <c r="BA167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S167" i="3"/>
  <c r="R167" i="3"/>
  <c r="BA166" i="3"/>
  <c r="AI166" i="3"/>
  <c r="AH166" i="3"/>
  <c r="AG166" i="3"/>
  <c r="AF166" i="3"/>
  <c r="AE166" i="3"/>
  <c r="AD166" i="3"/>
  <c r="AC166" i="3"/>
  <c r="AB166" i="3"/>
  <c r="AA166" i="3"/>
  <c r="Z166" i="3"/>
  <c r="Y166" i="3"/>
  <c r="X166" i="3"/>
  <c r="S166" i="3"/>
  <c r="R166" i="3"/>
  <c r="BA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S165" i="3"/>
  <c r="R165" i="3"/>
  <c r="BA164" i="3"/>
  <c r="AI164" i="3"/>
  <c r="AH164" i="3"/>
  <c r="AG164" i="3"/>
  <c r="AF164" i="3"/>
  <c r="AE164" i="3"/>
  <c r="AD164" i="3"/>
  <c r="AC164" i="3"/>
  <c r="AB164" i="3"/>
  <c r="AA164" i="3"/>
  <c r="Z164" i="3"/>
  <c r="Y164" i="3"/>
  <c r="X164" i="3"/>
  <c r="S164" i="3"/>
  <c r="R164" i="3"/>
  <c r="BA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S163" i="3"/>
  <c r="R163" i="3"/>
  <c r="BA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S161" i="3"/>
  <c r="R161" i="3"/>
  <c r="BA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S160" i="3"/>
  <c r="R160" i="3"/>
  <c r="BA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S159" i="3"/>
  <c r="R159" i="3"/>
  <c r="BA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S158" i="3"/>
  <c r="R158" i="3"/>
  <c r="BA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S156" i="3"/>
  <c r="R156" i="3"/>
  <c r="BA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S155" i="3"/>
  <c r="R155" i="3"/>
  <c r="BA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S154" i="3"/>
  <c r="R154" i="3"/>
  <c r="BA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S153" i="3"/>
  <c r="R153" i="3"/>
  <c r="BA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S152" i="3"/>
  <c r="R152" i="3"/>
  <c r="BA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S151" i="3"/>
  <c r="R151" i="3"/>
  <c r="BA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S150" i="3"/>
  <c r="R150" i="3"/>
  <c r="BA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S149" i="3"/>
  <c r="R149" i="3"/>
  <c r="BA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S148" i="3"/>
  <c r="R148" i="3"/>
  <c r="BA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S147" i="3"/>
  <c r="R147" i="3"/>
  <c r="BA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S145" i="3"/>
  <c r="R145" i="3"/>
  <c r="BA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S144" i="3"/>
  <c r="R144" i="3"/>
  <c r="BA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S143" i="3"/>
  <c r="R143" i="3"/>
  <c r="BA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S142" i="3"/>
  <c r="R142" i="3"/>
  <c r="BA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S141" i="3"/>
  <c r="R141" i="3"/>
  <c r="BA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S140" i="3"/>
  <c r="R140" i="3"/>
  <c r="BA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S139" i="3"/>
  <c r="R139" i="3"/>
  <c r="BA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S138" i="3"/>
  <c r="R138" i="3"/>
  <c r="BA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S137" i="3"/>
  <c r="R137" i="3"/>
  <c r="BA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S136" i="3"/>
  <c r="R136" i="3"/>
  <c r="BA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S135" i="3"/>
  <c r="R135" i="3"/>
  <c r="BA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S134" i="3"/>
  <c r="R134" i="3"/>
  <c r="BA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S132" i="3"/>
  <c r="R132" i="3"/>
  <c r="BA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S131" i="3"/>
  <c r="R131" i="3"/>
  <c r="BA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S130" i="3"/>
  <c r="R130" i="3"/>
  <c r="BA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S129" i="3"/>
  <c r="R129" i="3"/>
  <c r="BA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S127" i="3"/>
  <c r="R127" i="3"/>
  <c r="BA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S126" i="3"/>
  <c r="R126" i="3"/>
  <c r="BA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S125" i="3"/>
  <c r="R125" i="3"/>
  <c r="BA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S124" i="3"/>
  <c r="R124" i="3"/>
  <c r="BA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S123" i="3"/>
  <c r="R123" i="3"/>
  <c r="BA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S122" i="3"/>
  <c r="R122" i="3"/>
  <c r="BA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S121" i="3"/>
  <c r="R121" i="3"/>
  <c r="BA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S120" i="3"/>
  <c r="R120" i="3"/>
  <c r="BA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S119" i="3"/>
  <c r="R119" i="3"/>
  <c r="BA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S118" i="3"/>
  <c r="R118" i="3"/>
  <c r="BA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S116" i="3"/>
  <c r="R116" i="3"/>
  <c r="BA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S115" i="3"/>
  <c r="R115" i="3"/>
  <c r="BA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S114" i="3"/>
  <c r="R114" i="3"/>
  <c r="BA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S113" i="3"/>
  <c r="R113" i="3"/>
  <c r="BA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S112" i="3"/>
  <c r="R112" i="3"/>
  <c r="BA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S111" i="3"/>
  <c r="R111" i="3"/>
  <c r="BA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S110" i="3"/>
  <c r="R110" i="3"/>
  <c r="BA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S109" i="3"/>
  <c r="R109" i="3"/>
  <c r="BA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S107" i="3"/>
  <c r="R107" i="3"/>
  <c r="BA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S106" i="3"/>
  <c r="R106" i="3"/>
  <c r="BA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S105" i="3"/>
  <c r="R105" i="3"/>
  <c r="BA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S103" i="3"/>
  <c r="R103" i="3"/>
  <c r="BA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S101" i="3"/>
  <c r="R101" i="3"/>
  <c r="BA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S99" i="3"/>
  <c r="R99" i="3"/>
  <c r="BA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S98" i="3"/>
  <c r="R98" i="3"/>
  <c r="BA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S96" i="3"/>
  <c r="R96" i="3"/>
  <c r="BA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S92" i="3"/>
  <c r="R92" i="3"/>
  <c r="BA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S91" i="3"/>
  <c r="R91" i="3"/>
  <c r="BA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S90" i="3"/>
  <c r="R90" i="3"/>
  <c r="BA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S87" i="3"/>
  <c r="R87" i="3"/>
  <c r="BA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S84" i="3"/>
  <c r="R84" i="3"/>
  <c r="BA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S81" i="3"/>
  <c r="R81" i="3"/>
  <c r="BA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S77" i="3"/>
  <c r="R77" i="3"/>
  <c r="BA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S76" i="3"/>
  <c r="R76" i="3"/>
  <c r="BA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S75" i="3"/>
  <c r="R75" i="3"/>
  <c r="BA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S74" i="3"/>
  <c r="R74" i="3"/>
  <c r="BA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S73" i="3"/>
  <c r="R73" i="3"/>
  <c r="BA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S72" i="3"/>
  <c r="R72" i="3"/>
  <c r="BA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S69" i="3"/>
  <c r="R69" i="3"/>
  <c r="BA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S68" i="3"/>
  <c r="R68" i="3"/>
  <c r="BA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S67" i="3"/>
  <c r="R67" i="3"/>
  <c r="BA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S66" i="3"/>
  <c r="R66" i="3"/>
  <c r="BA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S65" i="3"/>
  <c r="R65" i="3"/>
  <c r="BA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S64" i="3"/>
  <c r="R64" i="3"/>
  <c r="BA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S63" i="3"/>
  <c r="R63" i="3"/>
  <c r="BA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S62" i="3"/>
  <c r="R62" i="3"/>
  <c r="BA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S61" i="3"/>
  <c r="R61" i="3"/>
  <c r="BA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S60" i="3"/>
  <c r="R60" i="3"/>
  <c r="BA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S56" i="3"/>
  <c r="R56" i="3"/>
  <c r="BA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S55" i="3"/>
  <c r="R55" i="3"/>
  <c r="BA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S54" i="3"/>
  <c r="R54" i="3"/>
  <c r="BA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S53" i="3"/>
  <c r="R53" i="3"/>
  <c r="BA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S52" i="3"/>
  <c r="R52" i="3"/>
  <c r="BA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S51" i="3"/>
  <c r="R51" i="3"/>
  <c r="BA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S50" i="3"/>
  <c r="R50" i="3"/>
  <c r="BA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S49" i="3"/>
  <c r="R49" i="3"/>
  <c r="BA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S48" i="3"/>
  <c r="R48" i="3"/>
  <c r="BA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S46" i="3"/>
  <c r="R46" i="3"/>
  <c r="BA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S45" i="3"/>
  <c r="R45" i="3"/>
  <c r="BA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S44" i="3"/>
  <c r="R44" i="3"/>
  <c r="BA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S43" i="3"/>
  <c r="R43" i="3"/>
  <c r="BA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S42" i="3"/>
  <c r="R42" i="3"/>
  <c r="BA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S41" i="3"/>
  <c r="R41" i="3"/>
  <c r="BA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S40" i="3"/>
  <c r="R40" i="3"/>
  <c r="BA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S39" i="3"/>
  <c r="R39" i="3"/>
  <c r="BA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S38" i="3"/>
  <c r="R38" i="3"/>
  <c r="BA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S37" i="3"/>
  <c r="R37" i="3"/>
  <c r="BA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S35" i="3"/>
  <c r="R35" i="3"/>
  <c r="BA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S34" i="3"/>
  <c r="R34" i="3"/>
  <c r="BA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S33" i="3"/>
  <c r="R33" i="3"/>
  <c r="BA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S32" i="3"/>
  <c r="R32" i="3"/>
  <c r="BA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S31" i="3"/>
  <c r="R31" i="3"/>
  <c r="BA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S27" i="3"/>
  <c r="R27" i="3"/>
  <c r="BA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S26" i="3"/>
  <c r="R26" i="3"/>
  <c r="BA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S25" i="3"/>
  <c r="R25" i="3"/>
  <c r="BA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S24" i="3"/>
  <c r="R24" i="3"/>
  <c r="BA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S23" i="3"/>
  <c r="R23" i="3"/>
  <c r="BA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S22" i="3"/>
  <c r="R22" i="3"/>
  <c r="BA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S19" i="3"/>
  <c r="R19" i="3"/>
  <c r="BA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S18" i="3"/>
  <c r="R18" i="3"/>
  <c r="BA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S17" i="3"/>
  <c r="R17" i="3"/>
  <c r="BA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S16" i="3"/>
  <c r="R16" i="3"/>
  <c r="BA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S15" i="3"/>
  <c r="R15" i="3"/>
  <c r="BA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S14" i="3"/>
  <c r="R14" i="3"/>
  <c r="BA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S13" i="3"/>
  <c r="R13" i="3"/>
  <c r="BA9" i="3"/>
  <c r="AI9" i="3"/>
  <c r="AH9" i="3"/>
  <c r="AG9" i="3"/>
  <c r="AF9" i="3"/>
  <c r="AE9" i="3"/>
  <c r="AD9" i="3"/>
  <c r="AC9" i="3"/>
  <c r="AB9" i="3"/>
  <c r="AA9" i="3"/>
  <c r="Z9" i="3"/>
  <c r="Y9" i="3"/>
  <c r="X9" i="3"/>
  <c r="S9" i="3"/>
  <c r="R9" i="3"/>
  <c r="BA8" i="3"/>
  <c r="AI8" i="3"/>
  <c r="AH8" i="3"/>
  <c r="AG8" i="3"/>
  <c r="AF8" i="3"/>
  <c r="AE8" i="3"/>
  <c r="AD8" i="3"/>
  <c r="AC8" i="3"/>
  <c r="AB8" i="3"/>
  <c r="AA8" i="3"/>
  <c r="Z8" i="3"/>
  <c r="Y8" i="3"/>
  <c r="X8" i="3"/>
  <c r="S8" i="3"/>
  <c r="R8" i="3"/>
  <c r="G232" i="3"/>
  <c r="F232" i="3"/>
  <c r="G231" i="3"/>
  <c r="F231" i="3"/>
  <c r="G230" i="3"/>
  <c r="F230" i="3"/>
  <c r="G229" i="3"/>
  <c r="F229" i="3"/>
  <c r="G228" i="3"/>
  <c r="F228" i="3"/>
  <c r="G227" i="3"/>
  <c r="F227" i="3"/>
  <c r="G226" i="3"/>
  <c r="F226" i="3"/>
  <c r="H225" i="3"/>
  <c r="G224" i="3"/>
  <c r="G223" i="3"/>
  <c r="G222" i="3"/>
  <c r="G221" i="3"/>
  <c r="G220" i="3"/>
  <c r="F224" i="3"/>
  <c r="F223" i="3"/>
  <c r="F222" i="3"/>
  <c r="F221" i="3"/>
  <c r="F220" i="3"/>
  <c r="F219" i="3"/>
  <c r="H218" i="3"/>
  <c r="G217" i="3"/>
  <c r="F217" i="3"/>
  <c r="G216" i="3"/>
  <c r="F216" i="3"/>
  <c r="G215" i="3"/>
  <c r="F215" i="3"/>
  <c r="G214" i="3"/>
  <c r="F214" i="3"/>
  <c r="G213" i="3"/>
  <c r="F213" i="3"/>
  <c r="G212" i="3"/>
  <c r="F212" i="3"/>
  <c r="G211" i="3"/>
  <c r="F211" i="3"/>
  <c r="G210" i="3"/>
  <c r="F210" i="3"/>
  <c r="H209" i="3"/>
  <c r="G208" i="3"/>
  <c r="F208" i="3"/>
  <c r="G207" i="3"/>
  <c r="F207" i="3"/>
  <c r="G206" i="3"/>
  <c r="F206" i="3"/>
  <c r="G205" i="3"/>
  <c r="F205" i="3"/>
  <c r="G204" i="3"/>
  <c r="F204" i="3"/>
  <c r="G203" i="3"/>
  <c r="F203" i="3"/>
  <c r="G202" i="3"/>
  <c r="F202" i="3"/>
  <c r="G201" i="3"/>
  <c r="F201" i="3"/>
  <c r="G200" i="3"/>
  <c r="F200" i="3"/>
  <c r="G199" i="3"/>
  <c r="F199" i="3"/>
  <c r="H198" i="3"/>
  <c r="G197" i="3"/>
  <c r="F197" i="3"/>
  <c r="G196" i="3"/>
  <c r="F196" i="3"/>
  <c r="G195" i="3"/>
  <c r="F195" i="3"/>
  <c r="G194" i="3"/>
  <c r="F194" i="3"/>
  <c r="H193" i="3"/>
  <c r="N192" i="3"/>
  <c r="M192" i="3"/>
  <c r="L192" i="3"/>
  <c r="K192" i="3"/>
  <c r="J192" i="3"/>
  <c r="N191" i="3"/>
  <c r="M191" i="3"/>
  <c r="L191" i="3"/>
  <c r="K191" i="3"/>
  <c r="J191" i="3"/>
  <c r="N190" i="3"/>
  <c r="M190" i="3"/>
  <c r="L190" i="3"/>
  <c r="K190" i="3"/>
  <c r="J190" i="3"/>
  <c r="N189" i="3"/>
  <c r="M189" i="3"/>
  <c r="L189" i="3"/>
  <c r="K189" i="3"/>
  <c r="J189" i="3"/>
  <c r="N188" i="3"/>
  <c r="M188" i="3"/>
  <c r="L188" i="3"/>
  <c r="K188" i="3"/>
  <c r="J188" i="3"/>
  <c r="N187" i="3"/>
  <c r="M187" i="3"/>
  <c r="L187" i="3"/>
  <c r="K187" i="3"/>
  <c r="J187" i="3"/>
  <c r="N186" i="3"/>
  <c r="M186" i="3"/>
  <c r="L186" i="3"/>
  <c r="K186" i="3"/>
  <c r="J186" i="3"/>
  <c r="N185" i="3"/>
  <c r="M185" i="3"/>
  <c r="L185" i="3"/>
  <c r="K185" i="3"/>
  <c r="J185" i="3"/>
  <c r="N184" i="3"/>
  <c r="M184" i="3"/>
  <c r="L184" i="3"/>
  <c r="K184" i="3"/>
  <c r="J184" i="3"/>
  <c r="N183" i="3"/>
  <c r="M183" i="3"/>
  <c r="L183" i="3"/>
  <c r="K183" i="3"/>
  <c r="J183" i="3"/>
  <c r="N181" i="3"/>
  <c r="M181" i="3"/>
  <c r="L181" i="3"/>
  <c r="K181" i="3"/>
  <c r="J181" i="3"/>
  <c r="G192" i="3"/>
  <c r="F192" i="3"/>
  <c r="G191" i="3"/>
  <c r="F191" i="3"/>
  <c r="G190" i="3"/>
  <c r="F190" i="3"/>
  <c r="G189" i="3"/>
  <c r="F189" i="3"/>
  <c r="G188" i="3"/>
  <c r="F188" i="3"/>
  <c r="G187" i="3"/>
  <c r="F187" i="3"/>
  <c r="G186" i="3"/>
  <c r="F186" i="3"/>
  <c r="G185" i="3"/>
  <c r="F185" i="3"/>
  <c r="G184" i="3"/>
  <c r="F184" i="3"/>
  <c r="G183" i="3"/>
  <c r="F183" i="3"/>
  <c r="G181" i="3"/>
  <c r="F181" i="3"/>
  <c r="F182" i="3"/>
  <c r="G180" i="3"/>
  <c r="G179" i="3"/>
  <c r="G178" i="3"/>
  <c r="G177" i="3"/>
  <c r="G176" i="3"/>
  <c r="F180" i="3"/>
  <c r="F179" i="3"/>
  <c r="F178" i="3"/>
  <c r="F177" i="3"/>
  <c r="F176" i="3"/>
  <c r="F175" i="3"/>
  <c r="H174" i="3"/>
  <c r="G173" i="3"/>
  <c r="F173" i="3"/>
  <c r="G172" i="3"/>
  <c r="F172" i="3"/>
  <c r="G171" i="3"/>
  <c r="F171" i="3"/>
  <c r="G170" i="3"/>
  <c r="F170" i="3"/>
  <c r="G169" i="3"/>
  <c r="F169" i="3"/>
  <c r="G168" i="3"/>
  <c r="F168" i="3"/>
  <c r="G167" i="3"/>
  <c r="F167" i="3"/>
  <c r="G166" i="3"/>
  <c r="F166" i="3"/>
  <c r="G165" i="3"/>
  <c r="F165" i="3"/>
  <c r="G164" i="3"/>
  <c r="F164" i="3"/>
  <c r="G163" i="3"/>
  <c r="F163" i="3"/>
  <c r="H162" i="3"/>
  <c r="G161" i="3"/>
  <c r="F161" i="3"/>
  <c r="G160" i="3"/>
  <c r="F160" i="3"/>
  <c r="G159" i="3"/>
  <c r="F159" i="3"/>
  <c r="G158" i="3"/>
  <c r="F158" i="3"/>
  <c r="H157" i="3"/>
  <c r="G156" i="3"/>
  <c r="F156" i="3"/>
  <c r="G155" i="3"/>
  <c r="F155" i="3"/>
  <c r="G154" i="3"/>
  <c r="F154" i="3"/>
  <c r="G153" i="3"/>
  <c r="F153" i="3"/>
  <c r="G152" i="3"/>
  <c r="F152" i="3"/>
  <c r="G151" i="3"/>
  <c r="F151" i="3"/>
  <c r="G150" i="3"/>
  <c r="F150" i="3"/>
  <c r="G149" i="3"/>
  <c r="F149" i="3"/>
  <c r="G148" i="3"/>
  <c r="F148" i="3"/>
  <c r="G147" i="3"/>
  <c r="F147" i="3"/>
  <c r="H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H133" i="3"/>
  <c r="G132" i="3"/>
  <c r="F132" i="3"/>
  <c r="G131" i="3"/>
  <c r="F131" i="3"/>
  <c r="G130" i="3"/>
  <c r="F130" i="3"/>
  <c r="G129" i="3"/>
  <c r="F129" i="3"/>
  <c r="H128" i="3"/>
  <c r="G127" i="3"/>
  <c r="F127" i="3"/>
  <c r="G126" i="3"/>
  <c r="F126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H117" i="3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H108" i="3"/>
  <c r="G107" i="3"/>
  <c r="G106" i="3"/>
  <c r="G105" i="3"/>
  <c r="G104" i="3"/>
  <c r="G103" i="3"/>
  <c r="G102" i="3"/>
  <c r="G101" i="3"/>
  <c r="G99" i="3"/>
  <c r="G98" i="3"/>
  <c r="G96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N99" i="3"/>
  <c r="M99" i="3"/>
  <c r="L99" i="3"/>
  <c r="K99" i="3"/>
  <c r="J99" i="3"/>
  <c r="N98" i="3"/>
  <c r="M98" i="3"/>
  <c r="L98" i="3"/>
  <c r="K98" i="3"/>
  <c r="J98" i="3"/>
  <c r="N96" i="3"/>
  <c r="M96" i="3"/>
  <c r="L96" i="3"/>
  <c r="K96" i="3"/>
  <c r="J96" i="3"/>
  <c r="I93" i="3"/>
  <c r="G92" i="3"/>
  <c r="G91" i="3"/>
  <c r="G90" i="3"/>
  <c r="F92" i="3"/>
  <c r="F91" i="3"/>
  <c r="F90" i="3"/>
  <c r="F89" i="3"/>
  <c r="N90" i="3"/>
  <c r="M90" i="3"/>
  <c r="L90" i="3"/>
  <c r="K90" i="3"/>
  <c r="J90" i="3"/>
  <c r="I88" i="3"/>
  <c r="P87" i="3"/>
  <c r="O87" i="3"/>
  <c r="G87" i="3"/>
  <c r="F87" i="3"/>
  <c r="F86" i="3"/>
  <c r="F84" i="3"/>
  <c r="F83" i="3"/>
  <c r="G84" i="3"/>
  <c r="G81" i="3"/>
  <c r="F81" i="3"/>
  <c r="F80" i="3"/>
  <c r="I82" i="3"/>
  <c r="I85" i="3"/>
  <c r="P84" i="3"/>
  <c r="O84" i="3"/>
  <c r="O81" i="3"/>
  <c r="P81" i="3"/>
  <c r="P77" i="3"/>
  <c r="O77" i="3"/>
  <c r="I79" i="3"/>
  <c r="H78" i="3"/>
  <c r="G77" i="3"/>
  <c r="G76" i="3"/>
  <c r="G75" i="3"/>
  <c r="G74" i="3"/>
  <c r="G73" i="3"/>
  <c r="G72" i="3"/>
  <c r="F77" i="3"/>
  <c r="F76" i="3"/>
  <c r="F75" i="3"/>
  <c r="F74" i="3"/>
  <c r="F73" i="3"/>
  <c r="F72" i="3"/>
  <c r="F71" i="3"/>
  <c r="H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H59" i="3"/>
  <c r="F58" i="3"/>
  <c r="I57" i="3"/>
  <c r="O56" i="3"/>
  <c r="P56" i="3"/>
  <c r="P55" i="3"/>
  <c r="O55" i="3"/>
  <c r="H4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H36" i="3"/>
  <c r="G35" i="3"/>
  <c r="G34" i="3"/>
  <c r="G33" i="3"/>
  <c r="G32" i="3"/>
  <c r="G31" i="3"/>
  <c r="F35" i="3"/>
  <c r="F34" i="3"/>
  <c r="F33" i="3"/>
  <c r="F32" i="3"/>
  <c r="F31" i="3"/>
  <c r="F30" i="3"/>
  <c r="I29" i="3"/>
  <c r="H28" i="3"/>
  <c r="G27" i="3"/>
  <c r="G26" i="3"/>
  <c r="G25" i="3"/>
  <c r="G24" i="3"/>
  <c r="G23" i="3"/>
  <c r="G22" i="3"/>
  <c r="F27" i="3"/>
  <c r="F26" i="3"/>
  <c r="F25" i="3"/>
  <c r="F24" i="3"/>
  <c r="F23" i="3"/>
  <c r="F22" i="3"/>
  <c r="F21" i="3"/>
  <c r="H20" i="3"/>
  <c r="G19" i="3"/>
  <c r="G18" i="3"/>
  <c r="G17" i="3"/>
  <c r="G16" i="3"/>
  <c r="G15" i="3"/>
  <c r="G14" i="3"/>
  <c r="G13" i="3"/>
  <c r="F19" i="3"/>
  <c r="F18" i="3"/>
  <c r="F17" i="3"/>
  <c r="F16" i="3"/>
  <c r="F15" i="3"/>
  <c r="F14" i="3"/>
  <c r="F13" i="3"/>
  <c r="F11" i="3"/>
  <c r="P8" i="3"/>
  <c r="O8" i="3"/>
  <c r="P9" i="3"/>
  <c r="O9" i="3"/>
  <c r="H12" i="3"/>
  <c r="I10" i="3"/>
  <c r="G9" i="3"/>
  <c r="F9" i="3"/>
  <c r="G8" i="3"/>
  <c r="F8" i="3"/>
  <c r="E9" i="5" l="1"/>
  <c r="P9" i="5" s="1"/>
  <c r="O8" i="5"/>
  <c r="P8" i="5"/>
  <c r="Q8" i="5"/>
  <c r="H8" i="5"/>
  <c r="F8" i="5"/>
  <c r="E95" i="5"/>
  <c r="G3" i="3"/>
  <c r="E186" i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O9" i="5" l="1"/>
  <c r="F9" i="5"/>
  <c r="H9" i="5"/>
  <c r="Q9" i="5"/>
  <c r="E10" i="5"/>
  <c r="E11" i="5" s="1"/>
  <c r="G11" i="5" s="1"/>
  <c r="E186" i="5"/>
  <c r="N186" i="5" s="1"/>
  <c r="Q95" i="5"/>
  <c r="P95" i="5"/>
  <c r="O95" i="5"/>
  <c r="H95" i="5"/>
  <c r="E96" i="5"/>
  <c r="F95" i="5"/>
  <c r="F188" i="1"/>
  <c r="G188" i="1" s="1"/>
  <c r="F186" i="1"/>
  <c r="G186" i="1" s="1"/>
  <c r="K186" i="5" l="1"/>
  <c r="H186" i="5"/>
  <c r="E12" i="5"/>
  <c r="U12" i="5" s="1"/>
  <c r="F11" i="5"/>
  <c r="E187" i="5"/>
  <c r="G187" i="5" s="1"/>
  <c r="F186" i="5"/>
  <c r="I10" i="5"/>
  <c r="L186" i="5"/>
  <c r="I96" i="5"/>
  <c r="J186" i="5"/>
  <c r="M186" i="5"/>
  <c r="E97" i="5"/>
  <c r="G97" i="5" s="1"/>
  <c r="H188" i="1"/>
  <c r="I188" i="1" s="1"/>
  <c r="J188" i="1" s="1"/>
  <c r="K188" i="1" s="1"/>
  <c r="L188" i="1" s="1"/>
  <c r="M188" i="1" s="1"/>
  <c r="N188" i="1" s="1"/>
  <c r="O188" i="1" s="1"/>
  <c r="P188" i="1" s="1"/>
  <c r="H186" i="1"/>
  <c r="I186" i="1" s="1"/>
  <c r="J186" i="1" s="1"/>
  <c r="K186" i="1" s="1"/>
  <c r="L186" i="1" s="1"/>
  <c r="M186" i="1" s="1"/>
  <c r="N186" i="1" s="1"/>
  <c r="O186" i="1" s="1"/>
  <c r="P186" i="1" s="1"/>
  <c r="E188" i="5" l="1"/>
  <c r="L188" i="5" s="1"/>
  <c r="R12" i="5"/>
  <c r="F187" i="5"/>
  <c r="X12" i="5"/>
  <c r="W12" i="5"/>
  <c r="V12" i="5"/>
  <c r="Y12" i="5"/>
  <c r="E13" i="5"/>
  <c r="H13" i="5" s="1"/>
  <c r="Z12" i="5"/>
  <c r="AD12" i="5"/>
  <c r="AG12" i="5"/>
  <c r="AF12" i="5"/>
  <c r="AE12" i="5"/>
  <c r="AA12" i="5"/>
  <c r="S12" i="5"/>
  <c r="AB12" i="5"/>
  <c r="T12" i="5"/>
  <c r="AC12" i="5"/>
  <c r="F97" i="5"/>
  <c r="E98" i="5"/>
  <c r="E99" i="5" s="1"/>
  <c r="Q188" i="1"/>
  <c r="R188" i="1" s="1"/>
  <c r="S188" i="1" s="1"/>
  <c r="T188" i="1" s="1"/>
  <c r="U188" i="1" s="1"/>
  <c r="V188" i="1" s="1"/>
  <c r="W188" i="1" s="1"/>
  <c r="Q186" i="1"/>
  <c r="R186" i="1" s="1"/>
  <c r="S186" i="1" s="1"/>
  <c r="T186" i="1" s="1"/>
  <c r="U186" i="1" s="1"/>
  <c r="V186" i="1" s="1"/>
  <c r="W186" i="1" s="1"/>
  <c r="F189" i="1"/>
  <c r="G189" i="1" s="1"/>
  <c r="X186" i="1" l="1"/>
  <c r="Y186" i="1" s="1"/>
  <c r="X188" i="1"/>
  <c r="Y188" i="1" s="1"/>
  <c r="L98" i="5"/>
  <c r="M98" i="5"/>
  <c r="N98" i="5"/>
  <c r="E189" i="5"/>
  <c r="M189" i="5" s="1"/>
  <c r="F188" i="5"/>
  <c r="K188" i="5"/>
  <c r="H188" i="5"/>
  <c r="J188" i="5"/>
  <c r="N188" i="5"/>
  <c r="M188" i="5"/>
  <c r="E14" i="5"/>
  <c r="H14" i="5" s="1"/>
  <c r="J98" i="5"/>
  <c r="F13" i="5"/>
  <c r="K98" i="5"/>
  <c r="F98" i="5"/>
  <c r="H98" i="5"/>
  <c r="P99" i="5"/>
  <c r="Q99" i="5"/>
  <c r="O99" i="5"/>
  <c r="N189" i="5"/>
  <c r="L189" i="5"/>
  <c r="H99" i="5"/>
  <c r="F99" i="5"/>
  <c r="F189" i="5"/>
  <c r="H189" i="1"/>
  <c r="I189" i="1" s="1"/>
  <c r="J189" i="1" s="1"/>
  <c r="K189" i="1" s="1"/>
  <c r="L189" i="1" s="1"/>
  <c r="M189" i="1" s="1"/>
  <c r="N189" i="1" s="1"/>
  <c r="O189" i="1" s="1"/>
  <c r="P189" i="1" s="1"/>
  <c r="E100" i="5"/>
  <c r="F190" i="1"/>
  <c r="G190" i="1" s="1"/>
  <c r="AA186" i="1" l="1"/>
  <c r="AB186" i="1" s="1"/>
  <c r="AC186" i="1" s="1"/>
  <c r="AD186" i="1" s="1"/>
  <c r="AE186" i="1" s="1"/>
  <c r="AF186" i="1" s="1"/>
  <c r="AG186" i="1" s="1"/>
  <c r="AH186" i="1" s="1"/>
  <c r="AI186" i="1" s="1"/>
  <c r="AJ186" i="1" s="1"/>
  <c r="AK186" i="1" s="1"/>
  <c r="AL186" i="1" s="1"/>
  <c r="AM186" i="1" s="1"/>
  <c r="AN186" i="1" s="1"/>
  <c r="AO186" i="1" s="1"/>
  <c r="AP186" i="1" s="1"/>
  <c r="AQ186" i="1" s="1"/>
  <c r="AR186" i="1" s="1"/>
  <c r="AS186" i="1" s="1"/>
  <c r="AT186" i="1" s="1"/>
  <c r="AU186" i="1" s="1"/>
  <c r="AV186" i="1" s="1"/>
  <c r="AW186" i="1" s="1"/>
  <c r="AX186" i="1" s="1"/>
  <c r="AY186" i="1" s="1"/>
  <c r="AZ186" i="1" s="1"/>
  <c r="BA186" i="1" s="1"/>
  <c r="BB186" i="1" s="1"/>
  <c r="BC186" i="1" s="1"/>
  <c r="BD186" i="1" s="1"/>
  <c r="BE186" i="1" s="1"/>
  <c r="BF186" i="1" s="1"/>
  <c r="BG186" i="1" s="1"/>
  <c r="BH186" i="1" s="1"/>
  <c r="BI186" i="1" s="1"/>
  <c r="BJ186" i="1" s="1"/>
  <c r="BK186" i="1" s="1"/>
  <c r="BL186" i="1" s="1"/>
  <c r="BM186" i="1" s="1"/>
  <c r="BN186" i="1" s="1"/>
  <c r="BO186" i="1" s="1"/>
  <c r="BP186" i="1" s="1"/>
  <c r="AA188" i="1"/>
  <c r="AB188" i="1" s="1"/>
  <c r="AC188" i="1" s="1"/>
  <c r="AD188" i="1" s="1"/>
  <c r="AE188" i="1" s="1"/>
  <c r="AF188" i="1" s="1"/>
  <c r="AG188" i="1" s="1"/>
  <c r="AH188" i="1" s="1"/>
  <c r="AI188" i="1" s="1"/>
  <c r="AJ188" i="1" s="1"/>
  <c r="AK188" i="1" s="1"/>
  <c r="AL188" i="1" s="1"/>
  <c r="AM188" i="1" s="1"/>
  <c r="AN188" i="1" s="1"/>
  <c r="AO188" i="1" s="1"/>
  <c r="AP188" i="1" s="1"/>
  <c r="AQ188" i="1" s="1"/>
  <c r="AR188" i="1" s="1"/>
  <c r="AS188" i="1" s="1"/>
  <c r="AT188" i="1" s="1"/>
  <c r="AU188" i="1" s="1"/>
  <c r="AV188" i="1" s="1"/>
  <c r="AW188" i="1" s="1"/>
  <c r="AX188" i="1" s="1"/>
  <c r="AY188" i="1" s="1"/>
  <c r="AZ188" i="1" s="1"/>
  <c r="BA188" i="1" s="1"/>
  <c r="BB188" i="1" s="1"/>
  <c r="BC188" i="1" s="1"/>
  <c r="BD188" i="1" s="1"/>
  <c r="BE188" i="1" s="1"/>
  <c r="BF188" i="1" s="1"/>
  <c r="BG188" i="1" s="1"/>
  <c r="BH188" i="1" s="1"/>
  <c r="BI188" i="1" s="1"/>
  <c r="BJ188" i="1" s="1"/>
  <c r="BK188" i="1" s="1"/>
  <c r="H189" i="5"/>
  <c r="E190" i="5"/>
  <c r="F190" i="5" s="1"/>
  <c r="F14" i="5"/>
  <c r="J189" i="5"/>
  <c r="K189" i="5"/>
  <c r="E15" i="5"/>
  <c r="H15" i="5" s="1"/>
  <c r="Q100" i="5"/>
  <c r="P100" i="5"/>
  <c r="O100" i="5"/>
  <c r="H100" i="5"/>
  <c r="F100" i="5"/>
  <c r="H190" i="1"/>
  <c r="I190" i="1" s="1"/>
  <c r="J190" i="1" s="1"/>
  <c r="K190" i="1" s="1"/>
  <c r="L190" i="1" s="1"/>
  <c r="M190" i="1" s="1"/>
  <c r="N190" i="1" s="1"/>
  <c r="O190" i="1" s="1"/>
  <c r="P190" i="1" s="1"/>
  <c r="Q189" i="1"/>
  <c r="R189" i="1" s="1"/>
  <c r="S189" i="1" s="1"/>
  <c r="T189" i="1" s="1"/>
  <c r="U189" i="1" s="1"/>
  <c r="V189" i="1" s="1"/>
  <c r="W189" i="1" s="1"/>
  <c r="E101" i="5"/>
  <c r="F191" i="1"/>
  <c r="G191" i="1" s="1"/>
  <c r="X189" i="1" l="1"/>
  <c r="Y189" i="1" s="1"/>
  <c r="J190" i="5"/>
  <c r="K190" i="5"/>
  <c r="L190" i="5"/>
  <c r="M190" i="5"/>
  <c r="N190" i="5"/>
  <c r="H190" i="5"/>
  <c r="E191" i="5"/>
  <c r="J191" i="5" s="1"/>
  <c r="E16" i="5"/>
  <c r="F16" i="5" s="1"/>
  <c r="F15" i="5"/>
  <c r="H191" i="5"/>
  <c r="L191" i="5"/>
  <c r="K191" i="5"/>
  <c r="N191" i="5"/>
  <c r="M191" i="5"/>
  <c r="I101" i="5"/>
  <c r="H191" i="1"/>
  <c r="I191" i="1" s="1"/>
  <c r="J191" i="1" s="1"/>
  <c r="K191" i="1" s="1"/>
  <c r="L191" i="1" s="1"/>
  <c r="M191" i="1" s="1"/>
  <c r="N191" i="1" s="1"/>
  <c r="O191" i="1" s="1"/>
  <c r="P191" i="1" s="1"/>
  <c r="BL188" i="1"/>
  <c r="BM188" i="1" s="1"/>
  <c r="BN188" i="1" s="1"/>
  <c r="BO188" i="1" s="1"/>
  <c r="BP188" i="1" s="1"/>
  <c r="Q190" i="1"/>
  <c r="R190" i="1" s="1"/>
  <c r="S190" i="1" s="1"/>
  <c r="T190" i="1" s="1"/>
  <c r="U190" i="1" s="1"/>
  <c r="V190" i="1" s="1"/>
  <c r="W190" i="1" s="1"/>
  <c r="E102" i="5"/>
  <c r="G102" i="5" s="1"/>
  <c r="E192" i="5"/>
  <c r="F192" i="1"/>
  <c r="G192" i="1" s="1"/>
  <c r="AA189" i="1" l="1"/>
  <c r="AB189" i="1" s="1"/>
  <c r="AC189" i="1" s="1"/>
  <c r="AD189" i="1" s="1"/>
  <c r="AE189" i="1" s="1"/>
  <c r="AF189" i="1" s="1"/>
  <c r="AG189" i="1" s="1"/>
  <c r="AH189" i="1" s="1"/>
  <c r="AI189" i="1" s="1"/>
  <c r="AJ189" i="1" s="1"/>
  <c r="AK189" i="1" s="1"/>
  <c r="AL189" i="1" s="1"/>
  <c r="AM189" i="1" s="1"/>
  <c r="AN189" i="1" s="1"/>
  <c r="AO189" i="1" s="1"/>
  <c r="AP189" i="1" s="1"/>
  <c r="AQ189" i="1" s="1"/>
  <c r="AR189" i="1" s="1"/>
  <c r="AS189" i="1" s="1"/>
  <c r="AT189" i="1" s="1"/>
  <c r="AU189" i="1" s="1"/>
  <c r="AV189" i="1" s="1"/>
  <c r="AW189" i="1" s="1"/>
  <c r="AX189" i="1" s="1"/>
  <c r="AY189" i="1" s="1"/>
  <c r="AZ189" i="1" s="1"/>
  <c r="BA189" i="1" s="1"/>
  <c r="BB189" i="1" s="1"/>
  <c r="BC189" i="1" s="1"/>
  <c r="BD189" i="1" s="1"/>
  <c r="BE189" i="1" s="1"/>
  <c r="BF189" i="1" s="1"/>
  <c r="BG189" i="1" s="1"/>
  <c r="BH189" i="1" s="1"/>
  <c r="BI189" i="1" s="1"/>
  <c r="BJ189" i="1" s="1"/>
  <c r="BK189" i="1" s="1"/>
  <c r="X190" i="1"/>
  <c r="Y190" i="1" s="1"/>
  <c r="F191" i="5"/>
  <c r="E17" i="5"/>
  <c r="F17" i="5" s="1"/>
  <c r="H16" i="5"/>
  <c r="H192" i="5"/>
  <c r="L192" i="5"/>
  <c r="K192" i="5"/>
  <c r="N192" i="5"/>
  <c r="M192" i="5"/>
  <c r="J192" i="5"/>
  <c r="F102" i="5"/>
  <c r="F192" i="5"/>
  <c r="H192" i="1"/>
  <c r="I192" i="1" s="1"/>
  <c r="J192" i="1" s="1"/>
  <c r="K192" i="1" s="1"/>
  <c r="L192" i="1" s="1"/>
  <c r="M192" i="1" s="1"/>
  <c r="N192" i="1" s="1"/>
  <c r="O192" i="1" s="1"/>
  <c r="P192" i="1" s="1"/>
  <c r="Q191" i="1"/>
  <c r="R191" i="1" s="1"/>
  <c r="S191" i="1" s="1"/>
  <c r="T191" i="1" s="1"/>
  <c r="U191" i="1" s="1"/>
  <c r="V191" i="1" s="1"/>
  <c r="W191" i="1" s="1"/>
  <c r="E103" i="5"/>
  <c r="E193" i="5"/>
  <c r="F193" i="1"/>
  <c r="G193" i="1" s="1"/>
  <c r="AA190" i="1" l="1"/>
  <c r="AB190" i="1" s="1"/>
  <c r="AC190" i="1" s="1"/>
  <c r="AD190" i="1" s="1"/>
  <c r="AE190" i="1" s="1"/>
  <c r="AF190" i="1" s="1"/>
  <c r="AG190" i="1" s="1"/>
  <c r="AH190" i="1" s="1"/>
  <c r="AI190" i="1" s="1"/>
  <c r="AJ190" i="1" s="1"/>
  <c r="AK190" i="1" s="1"/>
  <c r="AL190" i="1" s="1"/>
  <c r="AM190" i="1" s="1"/>
  <c r="AN190" i="1" s="1"/>
  <c r="AO190" i="1" s="1"/>
  <c r="AP190" i="1" s="1"/>
  <c r="AQ190" i="1" s="1"/>
  <c r="AR190" i="1" s="1"/>
  <c r="AS190" i="1" s="1"/>
  <c r="AT190" i="1" s="1"/>
  <c r="AU190" i="1" s="1"/>
  <c r="AV190" i="1" s="1"/>
  <c r="AW190" i="1" s="1"/>
  <c r="AX190" i="1" s="1"/>
  <c r="AY190" i="1" s="1"/>
  <c r="AZ190" i="1" s="1"/>
  <c r="BA190" i="1" s="1"/>
  <c r="BB190" i="1" s="1"/>
  <c r="BC190" i="1" s="1"/>
  <c r="BD190" i="1" s="1"/>
  <c r="BE190" i="1" s="1"/>
  <c r="BF190" i="1" s="1"/>
  <c r="BG190" i="1" s="1"/>
  <c r="BH190" i="1" s="1"/>
  <c r="BI190" i="1" s="1"/>
  <c r="BJ190" i="1" s="1"/>
  <c r="BK190" i="1" s="1"/>
  <c r="X191" i="1"/>
  <c r="Y191" i="1" s="1"/>
  <c r="E18" i="5"/>
  <c r="F18" i="5" s="1"/>
  <c r="H17" i="5"/>
  <c r="H193" i="5"/>
  <c r="J193" i="5"/>
  <c r="N193" i="5"/>
  <c r="M193" i="5"/>
  <c r="L193" i="5"/>
  <c r="K193" i="5"/>
  <c r="F193" i="5"/>
  <c r="F103" i="5"/>
  <c r="H193" i="1"/>
  <c r="I193" i="1" s="1"/>
  <c r="J193" i="1" s="1"/>
  <c r="K193" i="1" s="1"/>
  <c r="L193" i="1" s="1"/>
  <c r="M193" i="1" s="1"/>
  <c r="N193" i="1" s="1"/>
  <c r="O193" i="1" s="1"/>
  <c r="P193" i="1" s="1"/>
  <c r="BL189" i="1"/>
  <c r="BM189" i="1" s="1"/>
  <c r="BN189" i="1" s="1"/>
  <c r="BO189" i="1" s="1"/>
  <c r="BP189" i="1" s="1"/>
  <c r="Q192" i="1"/>
  <c r="R192" i="1" s="1"/>
  <c r="S192" i="1" s="1"/>
  <c r="T192" i="1" s="1"/>
  <c r="U192" i="1" s="1"/>
  <c r="V192" i="1" s="1"/>
  <c r="W192" i="1" s="1"/>
  <c r="E194" i="5"/>
  <c r="E104" i="5"/>
  <c r="F194" i="1"/>
  <c r="G194" i="1" s="1"/>
  <c r="AA191" i="1" l="1"/>
  <c r="AB191" i="1" s="1"/>
  <c r="AC191" i="1" s="1"/>
  <c r="AD191" i="1" s="1"/>
  <c r="AE191" i="1" s="1"/>
  <c r="AF191" i="1" s="1"/>
  <c r="AG191" i="1" s="1"/>
  <c r="AH191" i="1" s="1"/>
  <c r="AI191" i="1" s="1"/>
  <c r="AJ191" i="1" s="1"/>
  <c r="AK191" i="1" s="1"/>
  <c r="AL191" i="1" s="1"/>
  <c r="AM191" i="1" s="1"/>
  <c r="AN191" i="1" s="1"/>
  <c r="AO191" i="1" s="1"/>
  <c r="AP191" i="1" s="1"/>
  <c r="AQ191" i="1" s="1"/>
  <c r="AR191" i="1" s="1"/>
  <c r="AS191" i="1" s="1"/>
  <c r="AT191" i="1" s="1"/>
  <c r="AU191" i="1" s="1"/>
  <c r="AV191" i="1" s="1"/>
  <c r="AW191" i="1" s="1"/>
  <c r="AX191" i="1" s="1"/>
  <c r="AY191" i="1" s="1"/>
  <c r="AZ191" i="1" s="1"/>
  <c r="BA191" i="1" s="1"/>
  <c r="BB191" i="1" s="1"/>
  <c r="BC191" i="1" s="1"/>
  <c r="BD191" i="1" s="1"/>
  <c r="BE191" i="1" s="1"/>
  <c r="BF191" i="1" s="1"/>
  <c r="BG191" i="1" s="1"/>
  <c r="BH191" i="1" s="1"/>
  <c r="BI191" i="1" s="1"/>
  <c r="BJ191" i="1" s="1"/>
  <c r="BK191" i="1" s="1"/>
  <c r="X192" i="1"/>
  <c r="Y192" i="1" s="1"/>
  <c r="AA192" i="1"/>
  <c r="AB192" i="1" s="1"/>
  <c r="AC192" i="1" s="1"/>
  <c r="AD192" i="1" s="1"/>
  <c r="AE192" i="1" s="1"/>
  <c r="AF192" i="1" s="1"/>
  <c r="AG192" i="1" s="1"/>
  <c r="AH192" i="1" s="1"/>
  <c r="AI192" i="1" s="1"/>
  <c r="AJ192" i="1" s="1"/>
  <c r="AK192" i="1" s="1"/>
  <c r="AL192" i="1" s="1"/>
  <c r="AM192" i="1" s="1"/>
  <c r="AN192" i="1" s="1"/>
  <c r="AO192" i="1" s="1"/>
  <c r="AP192" i="1" s="1"/>
  <c r="AQ192" i="1" s="1"/>
  <c r="AR192" i="1" s="1"/>
  <c r="AS192" i="1" s="1"/>
  <c r="AT192" i="1" s="1"/>
  <c r="AU192" i="1" s="1"/>
  <c r="AV192" i="1" s="1"/>
  <c r="AW192" i="1" s="1"/>
  <c r="AX192" i="1" s="1"/>
  <c r="AY192" i="1" s="1"/>
  <c r="AZ192" i="1" s="1"/>
  <c r="BA192" i="1" s="1"/>
  <c r="BB192" i="1" s="1"/>
  <c r="BC192" i="1" s="1"/>
  <c r="BD192" i="1" s="1"/>
  <c r="BE192" i="1" s="1"/>
  <c r="BF192" i="1" s="1"/>
  <c r="BG192" i="1" s="1"/>
  <c r="BH192" i="1" s="1"/>
  <c r="BI192" i="1" s="1"/>
  <c r="BJ192" i="1" s="1"/>
  <c r="BK192" i="1" s="1"/>
  <c r="E19" i="5"/>
  <c r="E20" i="5" s="1"/>
  <c r="H18" i="5"/>
  <c r="H104" i="5"/>
  <c r="K104" i="5"/>
  <c r="L104" i="5"/>
  <c r="N104" i="5"/>
  <c r="M104" i="5"/>
  <c r="J104" i="5"/>
  <c r="H194" i="5"/>
  <c r="J194" i="5"/>
  <c r="N194" i="5"/>
  <c r="M194" i="5"/>
  <c r="L194" i="5"/>
  <c r="K194" i="5"/>
  <c r="F194" i="5"/>
  <c r="F104" i="5"/>
  <c r="H194" i="1"/>
  <c r="I194" i="1" s="1"/>
  <c r="J194" i="1" s="1"/>
  <c r="K194" i="1" s="1"/>
  <c r="L194" i="1" s="1"/>
  <c r="M194" i="1" s="1"/>
  <c r="N194" i="1" s="1"/>
  <c r="O194" i="1" s="1"/>
  <c r="P194" i="1" s="1"/>
  <c r="BL190" i="1"/>
  <c r="BM190" i="1" s="1"/>
  <c r="BN190" i="1" s="1"/>
  <c r="BO190" i="1" s="1"/>
  <c r="BP190" i="1" s="1"/>
  <c r="Q193" i="1"/>
  <c r="R193" i="1" s="1"/>
  <c r="S193" i="1" s="1"/>
  <c r="T193" i="1" s="1"/>
  <c r="U193" i="1" s="1"/>
  <c r="V193" i="1" s="1"/>
  <c r="W193" i="1" s="1"/>
  <c r="E105" i="5"/>
  <c r="E195" i="5"/>
  <c r="F195" i="1"/>
  <c r="G195" i="1" s="1"/>
  <c r="X193" i="1" l="1"/>
  <c r="Y193" i="1" s="1"/>
  <c r="F19" i="5"/>
  <c r="H19" i="5"/>
  <c r="H195" i="5"/>
  <c r="N195" i="5"/>
  <c r="J195" i="5"/>
  <c r="M195" i="5"/>
  <c r="K195" i="5"/>
  <c r="L195" i="5"/>
  <c r="AG20" i="5"/>
  <c r="S20" i="5"/>
  <c r="AF20" i="5"/>
  <c r="R20" i="5"/>
  <c r="AE20" i="5"/>
  <c r="AB20" i="5"/>
  <c r="AA20" i="5"/>
  <c r="Z20" i="5"/>
  <c r="V20" i="5"/>
  <c r="U20" i="5"/>
  <c r="T20" i="5"/>
  <c r="AC20" i="5"/>
  <c r="AD20" i="5"/>
  <c r="Y20" i="5"/>
  <c r="X20" i="5"/>
  <c r="W20" i="5"/>
  <c r="F105" i="5"/>
  <c r="F195" i="5"/>
  <c r="H195" i="1"/>
  <c r="I195" i="1" s="1"/>
  <c r="J195" i="1" s="1"/>
  <c r="K195" i="1" s="1"/>
  <c r="L195" i="1" s="1"/>
  <c r="M195" i="1" s="1"/>
  <c r="N195" i="1" s="1"/>
  <c r="O195" i="1" s="1"/>
  <c r="P195" i="1" s="1"/>
  <c r="BL191" i="1"/>
  <c r="BM191" i="1" s="1"/>
  <c r="BN191" i="1" s="1"/>
  <c r="BO191" i="1" s="1"/>
  <c r="BP191" i="1" s="1"/>
  <c r="Q194" i="1"/>
  <c r="R194" i="1" s="1"/>
  <c r="S194" i="1" s="1"/>
  <c r="T194" i="1" s="1"/>
  <c r="U194" i="1" s="1"/>
  <c r="V194" i="1" s="1"/>
  <c r="W194" i="1" s="1"/>
  <c r="E106" i="5"/>
  <c r="E21" i="5"/>
  <c r="E196" i="5"/>
  <c r="F196" i="1"/>
  <c r="G196" i="1" s="1"/>
  <c r="AA193" i="1" l="1"/>
  <c r="AB193" i="1" s="1"/>
  <c r="AC193" i="1" s="1"/>
  <c r="AD193" i="1" s="1"/>
  <c r="AE193" i="1" s="1"/>
  <c r="AF193" i="1" s="1"/>
  <c r="AG193" i="1" s="1"/>
  <c r="AH193" i="1" s="1"/>
  <c r="AI193" i="1" s="1"/>
  <c r="AJ193" i="1" s="1"/>
  <c r="AK193" i="1" s="1"/>
  <c r="AL193" i="1" s="1"/>
  <c r="AM193" i="1" s="1"/>
  <c r="AN193" i="1" s="1"/>
  <c r="AO193" i="1" s="1"/>
  <c r="AP193" i="1" s="1"/>
  <c r="AQ193" i="1" s="1"/>
  <c r="AR193" i="1" s="1"/>
  <c r="AS193" i="1" s="1"/>
  <c r="AT193" i="1" s="1"/>
  <c r="AU193" i="1" s="1"/>
  <c r="AV193" i="1" s="1"/>
  <c r="AW193" i="1" s="1"/>
  <c r="AX193" i="1" s="1"/>
  <c r="AY193" i="1" s="1"/>
  <c r="AZ193" i="1" s="1"/>
  <c r="BA193" i="1" s="1"/>
  <c r="BB193" i="1" s="1"/>
  <c r="BC193" i="1" s="1"/>
  <c r="BD193" i="1" s="1"/>
  <c r="BE193" i="1" s="1"/>
  <c r="BF193" i="1" s="1"/>
  <c r="BG193" i="1" s="1"/>
  <c r="BH193" i="1" s="1"/>
  <c r="BI193" i="1" s="1"/>
  <c r="BJ193" i="1" s="1"/>
  <c r="BK193" i="1" s="1"/>
  <c r="X194" i="1"/>
  <c r="Y194" i="1" s="1"/>
  <c r="H196" i="5"/>
  <c r="N196" i="5"/>
  <c r="M196" i="5"/>
  <c r="J196" i="5"/>
  <c r="K196" i="5"/>
  <c r="L196" i="5"/>
  <c r="H106" i="5"/>
  <c r="N106" i="5"/>
  <c r="M106" i="5"/>
  <c r="L106" i="5"/>
  <c r="K106" i="5"/>
  <c r="J106" i="5"/>
  <c r="F21" i="5"/>
  <c r="F106" i="5"/>
  <c r="F196" i="5"/>
  <c r="H196" i="1"/>
  <c r="I196" i="1" s="1"/>
  <c r="J196" i="1" s="1"/>
  <c r="K196" i="1" s="1"/>
  <c r="L196" i="1" s="1"/>
  <c r="M196" i="1" s="1"/>
  <c r="N196" i="1" s="1"/>
  <c r="O196" i="1" s="1"/>
  <c r="P196" i="1" s="1"/>
  <c r="BL192" i="1"/>
  <c r="BM192" i="1" s="1"/>
  <c r="BN192" i="1" s="1"/>
  <c r="BO192" i="1" s="1"/>
  <c r="BP192" i="1" s="1"/>
  <c r="Q195" i="1"/>
  <c r="R195" i="1" s="1"/>
  <c r="S195" i="1" s="1"/>
  <c r="T195" i="1" s="1"/>
  <c r="U195" i="1" s="1"/>
  <c r="V195" i="1" s="1"/>
  <c r="W195" i="1" s="1"/>
  <c r="E197" i="5"/>
  <c r="E22" i="5"/>
  <c r="E107" i="5"/>
  <c r="F197" i="1"/>
  <c r="G197" i="1" s="1"/>
  <c r="AA194" i="1" l="1"/>
  <c r="AB194" i="1" s="1"/>
  <c r="AC194" i="1" s="1"/>
  <c r="AD194" i="1" s="1"/>
  <c r="AE194" i="1" s="1"/>
  <c r="AF194" i="1" s="1"/>
  <c r="AG194" i="1" s="1"/>
  <c r="AH194" i="1" s="1"/>
  <c r="AI194" i="1" s="1"/>
  <c r="AJ194" i="1" s="1"/>
  <c r="AK194" i="1" s="1"/>
  <c r="AL194" i="1" s="1"/>
  <c r="AM194" i="1" s="1"/>
  <c r="AN194" i="1" s="1"/>
  <c r="AO194" i="1" s="1"/>
  <c r="AP194" i="1" s="1"/>
  <c r="AQ194" i="1" s="1"/>
  <c r="AR194" i="1" s="1"/>
  <c r="AS194" i="1" s="1"/>
  <c r="AT194" i="1" s="1"/>
  <c r="AU194" i="1" s="1"/>
  <c r="AV194" i="1" s="1"/>
  <c r="AW194" i="1" s="1"/>
  <c r="AX194" i="1" s="1"/>
  <c r="AY194" i="1" s="1"/>
  <c r="AZ194" i="1" s="1"/>
  <c r="BA194" i="1" s="1"/>
  <c r="BB194" i="1" s="1"/>
  <c r="BC194" i="1" s="1"/>
  <c r="BD194" i="1" s="1"/>
  <c r="BE194" i="1" s="1"/>
  <c r="BF194" i="1" s="1"/>
  <c r="BG194" i="1" s="1"/>
  <c r="BH194" i="1" s="1"/>
  <c r="BI194" i="1" s="1"/>
  <c r="BJ194" i="1" s="1"/>
  <c r="BK194" i="1" s="1"/>
  <c r="X195" i="1"/>
  <c r="Y195" i="1" s="1"/>
  <c r="H22" i="5"/>
  <c r="H107" i="5"/>
  <c r="H197" i="5"/>
  <c r="N197" i="5"/>
  <c r="M197" i="5"/>
  <c r="J197" i="5"/>
  <c r="K197" i="5"/>
  <c r="L197" i="5"/>
  <c r="F197" i="5"/>
  <c r="F22" i="5"/>
  <c r="F107" i="5"/>
  <c r="H197" i="1"/>
  <c r="I197" i="1" s="1"/>
  <c r="J197" i="1" s="1"/>
  <c r="K197" i="1" s="1"/>
  <c r="L197" i="1" s="1"/>
  <c r="M197" i="1" s="1"/>
  <c r="N197" i="1" s="1"/>
  <c r="O197" i="1" s="1"/>
  <c r="P197" i="1" s="1"/>
  <c r="BL193" i="1"/>
  <c r="BM193" i="1" s="1"/>
  <c r="BN193" i="1" s="1"/>
  <c r="BO193" i="1" s="1"/>
  <c r="BP193" i="1" s="1"/>
  <c r="Q196" i="1"/>
  <c r="R196" i="1" s="1"/>
  <c r="S196" i="1" s="1"/>
  <c r="T196" i="1" s="1"/>
  <c r="U196" i="1" s="1"/>
  <c r="V196" i="1" s="1"/>
  <c r="W196" i="1" s="1"/>
  <c r="E23" i="5"/>
  <c r="E108" i="5"/>
  <c r="G108" i="5" s="1"/>
  <c r="E198" i="5"/>
  <c r="H198" i="5" s="1"/>
  <c r="AA195" i="1" l="1"/>
  <c r="AB195" i="1" s="1"/>
  <c r="AC195" i="1" s="1"/>
  <c r="AD195" i="1" s="1"/>
  <c r="AE195" i="1" s="1"/>
  <c r="AF195" i="1" s="1"/>
  <c r="AG195" i="1" s="1"/>
  <c r="AH195" i="1" s="1"/>
  <c r="AI195" i="1" s="1"/>
  <c r="AJ195" i="1" s="1"/>
  <c r="AK195" i="1" s="1"/>
  <c r="AL195" i="1" s="1"/>
  <c r="AM195" i="1" s="1"/>
  <c r="AN195" i="1" s="1"/>
  <c r="AO195" i="1" s="1"/>
  <c r="AP195" i="1" s="1"/>
  <c r="AQ195" i="1" s="1"/>
  <c r="AR195" i="1" s="1"/>
  <c r="AS195" i="1" s="1"/>
  <c r="AT195" i="1" s="1"/>
  <c r="AU195" i="1" s="1"/>
  <c r="AV195" i="1" s="1"/>
  <c r="AW195" i="1" s="1"/>
  <c r="AX195" i="1" s="1"/>
  <c r="AY195" i="1" s="1"/>
  <c r="AZ195" i="1" s="1"/>
  <c r="BA195" i="1" s="1"/>
  <c r="BB195" i="1" s="1"/>
  <c r="BC195" i="1" s="1"/>
  <c r="BD195" i="1" s="1"/>
  <c r="BE195" i="1" s="1"/>
  <c r="BF195" i="1" s="1"/>
  <c r="BG195" i="1" s="1"/>
  <c r="BH195" i="1" s="1"/>
  <c r="BI195" i="1" s="1"/>
  <c r="BJ195" i="1" s="1"/>
  <c r="BK195" i="1" s="1"/>
  <c r="X196" i="1"/>
  <c r="Y196" i="1" s="1"/>
  <c r="H23" i="5"/>
  <c r="F108" i="5"/>
  <c r="F23" i="5"/>
  <c r="F198" i="5"/>
  <c r="BL194" i="1"/>
  <c r="BM194" i="1" s="1"/>
  <c r="BN194" i="1" s="1"/>
  <c r="BO194" i="1" s="1"/>
  <c r="BP194" i="1" s="1"/>
  <c r="Q197" i="1"/>
  <c r="R197" i="1" s="1"/>
  <c r="S197" i="1" s="1"/>
  <c r="T197" i="1" s="1"/>
  <c r="U197" i="1" s="1"/>
  <c r="V197" i="1" s="1"/>
  <c r="W197" i="1" s="1"/>
  <c r="E199" i="5"/>
  <c r="H199" i="5" s="1"/>
  <c r="E109" i="5"/>
  <c r="E24" i="5"/>
  <c r="AA196" i="1" l="1"/>
  <c r="AB196" i="1" s="1"/>
  <c r="AC196" i="1" s="1"/>
  <c r="AD196" i="1" s="1"/>
  <c r="AE196" i="1" s="1"/>
  <c r="AF196" i="1" s="1"/>
  <c r="AG196" i="1" s="1"/>
  <c r="AH196" i="1" s="1"/>
  <c r="AI196" i="1" s="1"/>
  <c r="AJ196" i="1" s="1"/>
  <c r="AK196" i="1" s="1"/>
  <c r="AL196" i="1" s="1"/>
  <c r="AM196" i="1" s="1"/>
  <c r="AN196" i="1" s="1"/>
  <c r="AO196" i="1" s="1"/>
  <c r="AP196" i="1" s="1"/>
  <c r="AQ196" i="1" s="1"/>
  <c r="AR196" i="1" s="1"/>
  <c r="AS196" i="1" s="1"/>
  <c r="AT196" i="1" s="1"/>
  <c r="AU196" i="1" s="1"/>
  <c r="AV196" i="1" s="1"/>
  <c r="AW196" i="1" s="1"/>
  <c r="AX196" i="1" s="1"/>
  <c r="AY196" i="1" s="1"/>
  <c r="AZ196" i="1" s="1"/>
  <c r="BA196" i="1" s="1"/>
  <c r="BB196" i="1" s="1"/>
  <c r="BC196" i="1" s="1"/>
  <c r="BD196" i="1" s="1"/>
  <c r="BE196" i="1" s="1"/>
  <c r="BF196" i="1" s="1"/>
  <c r="BG196" i="1" s="1"/>
  <c r="BH196" i="1" s="1"/>
  <c r="BI196" i="1" s="1"/>
  <c r="BJ196" i="1" s="1"/>
  <c r="BK196" i="1" s="1"/>
  <c r="X197" i="1"/>
  <c r="Y197" i="1" s="1"/>
  <c r="H24" i="5"/>
  <c r="H109" i="5"/>
  <c r="F24" i="5"/>
  <c r="F109" i="5"/>
  <c r="F199" i="5"/>
  <c r="BL195" i="1"/>
  <c r="BM195" i="1" s="1"/>
  <c r="BN195" i="1" s="1"/>
  <c r="BO195" i="1" s="1"/>
  <c r="BP195" i="1" s="1"/>
  <c r="E25" i="5"/>
  <c r="E110" i="5"/>
  <c r="E200" i="5"/>
  <c r="H200" i="5" s="1"/>
  <c r="AA197" i="1" l="1"/>
  <c r="AB197" i="1" s="1"/>
  <c r="AC197" i="1" s="1"/>
  <c r="AD197" i="1" s="1"/>
  <c r="AE197" i="1" s="1"/>
  <c r="AF197" i="1" s="1"/>
  <c r="AG197" i="1" s="1"/>
  <c r="AH197" i="1" s="1"/>
  <c r="AI197" i="1" s="1"/>
  <c r="AJ197" i="1" s="1"/>
  <c r="AK197" i="1" s="1"/>
  <c r="AL197" i="1" s="1"/>
  <c r="AM197" i="1" s="1"/>
  <c r="AN197" i="1" s="1"/>
  <c r="AO197" i="1" s="1"/>
  <c r="AP197" i="1" s="1"/>
  <c r="AQ197" i="1" s="1"/>
  <c r="AR197" i="1" s="1"/>
  <c r="AS197" i="1" s="1"/>
  <c r="AT197" i="1" s="1"/>
  <c r="AU197" i="1" s="1"/>
  <c r="AV197" i="1" s="1"/>
  <c r="AW197" i="1" s="1"/>
  <c r="AX197" i="1" s="1"/>
  <c r="AY197" i="1" s="1"/>
  <c r="AZ197" i="1" s="1"/>
  <c r="BA197" i="1" s="1"/>
  <c r="BB197" i="1" s="1"/>
  <c r="BC197" i="1" s="1"/>
  <c r="BD197" i="1" s="1"/>
  <c r="BE197" i="1" s="1"/>
  <c r="BF197" i="1" s="1"/>
  <c r="BG197" i="1" s="1"/>
  <c r="BH197" i="1" s="1"/>
  <c r="BI197" i="1" s="1"/>
  <c r="BJ197" i="1" s="1"/>
  <c r="BK197" i="1" s="1"/>
  <c r="H25" i="5"/>
  <c r="H110" i="5"/>
  <c r="F200" i="5"/>
  <c r="F110" i="5"/>
  <c r="F25" i="5"/>
  <c r="BL196" i="1"/>
  <c r="BM196" i="1" s="1"/>
  <c r="BN196" i="1" s="1"/>
  <c r="BO196" i="1" s="1"/>
  <c r="BP196" i="1" s="1"/>
  <c r="E111" i="5"/>
  <c r="E26" i="5"/>
  <c r="E201" i="5"/>
  <c r="H201" i="5" s="1"/>
  <c r="H26" i="5" l="1"/>
  <c r="H111" i="5"/>
  <c r="F201" i="5"/>
  <c r="F26" i="5"/>
  <c r="F111" i="5"/>
  <c r="BL197" i="1"/>
  <c r="BM197" i="1" s="1"/>
  <c r="BN197" i="1" s="1"/>
  <c r="BO197" i="1" s="1"/>
  <c r="BP197" i="1" s="1"/>
  <c r="E202" i="5"/>
  <c r="H202" i="5" s="1"/>
  <c r="E27" i="5"/>
  <c r="E112" i="5"/>
  <c r="H27" i="5" l="1"/>
  <c r="O27" i="5"/>
  <c r="Q27" i="5"/>
  <c r="P27" i="5"/>
  <c r="H112" i="5"/>
  <c r="F112" i="5"/>
  <c r="F27" i="5"/>
  <c r="F202" i="5"/>
  <c r="E113" i="5"/>
  <c r="E28" i="5"/>
  <c r="E203" i="5"/>
  <c r="H203" i="5" s="1"/>
  <c r="H113" i="5" l="1"/>
  <c r="AE28" i="5"/>
  <c r="AD28" i="5"/>
  <c r="AC28" i="5"/>
  <c r="Y28" i="5"/>
  <c r="X28" i="5"/>
  <c r="W28" i="5"/>
  <c r="T28" i="5"/>
  <c r="AG28" i="5"/>
  <c r="AF28" i="5"/>
  <c r="AB28" i="5"/>
  <c r="S28" i="5"/>
  <c r="U28" i="5"/>
  <c r="R28" i="5"/>
  <c r="V28" i="5"/>
  <c r="AA28" i="5"/>
  <c r="Z28" i="5"/>
  <c r="F203" i="5"/>
  <c r="F113" i="5"/>
  <c r="E204" i="5"/>
  <c r="H204" i="5" s="1"/>
  <c r="E29" i="5"/>
  <c r="E114" i="5"/>
  <c r="H114" i="5" l="1"/>
  <c r="I29" i="5"/>
  <c r="F114" i="5"/>
  <c r="F204" i="5"/>
  <c r="E115" i="5"/>
  <c r="E30" i="5"/>
  <c r="G30" i="5" s="1"/>
  <c r="E205" i="5"/>
  <c r="H205" i="5" s="1"/>
  <c r="G2" i="3"/>
  <c r="G1" i="3" s="1"/>
  <c r="H115" i="5" l="1"/>
  <c r="F30" i="5"/>
  <c r="F115" i="5"/>
  <c r="F205" i="5"/>
  <c r="E206" i="5"/>
  <c r="H206" i="5" s="1"/>
  <c r="E31" i="5"/>
  <c r="E116" i="5"/>
  <c r="F98" i="1"/>
  <c r="G98" i="1" s="1"/>
  <c r="H116" i="5" l="1"/>
  <c r="H31" i="5"/>
  <c r="F116" i="5"/>
  <c r="F31" i="5"/>
  <c r="F206" i="5"/>
  <c r="H98" i="1"/>
  <c r="I98" i="1" s="1"/>
  <c r="J98" i="1" s="1"/>
  <c r="K98" i="1" s="1"/>
  <c r="L98" i="1" s="1"/>
  <c r="M98" i="1" s="1"/>
  <c r="N98" i="1" s="1"/>
  <c r="O98" i="1" s="1"/>
  <c r="P98" i="1" s="1"/>
  <c r="E117" i="5"/>
  <c r="E32" i="5"/>
  <c r="E207" i="5"/>
  <c r="H207" i="5" s="1"/>
  <c r="H117" i="5" l="1"/>
  <c r="H32" i="5"/>
  <c r="F207" i="5"/>
  <c r="F117" i="5"/>
  <c r="F32" i="5"/>
  <c r="Q98" i="1"/>
  <c r="R98" i="1" s="1"/>
  <c r="S98" i="1" s="1"/>
  <c r="T98" i="1" s="1"/>
  <c r="U98" i="1" s="1"/>
  <c r="V98" i="1" s="1"/>
  <c r="W98" i="1" s="1"/>
  <c r="E208" i="5"/>
  <c r="H208" i="5" s="1"/>
  <c r="E33" i="5"/>
  <c r="E118" i="5"/>
  <c r="X98" i="1" l="1"/>
  <c r="Y98" i="1" s="1"/>
  <c r="H118" i="5"/>
  <c r="H33" i="5"/>
  <c r="F118" i="5"/>
  <c r="F33" i="5"/>
  <c r="F208" i="5"/>
  <c r="E119" i="5"/>
  <c r="E34" i="5"/>
  <c r="E209" i="5"/>
  <c r="H209" i="5" s="1"/>
  <c r="H119" i="5" l="1"/>
  <c r="H34" i="5"/>
  <c r="F209" i="5"/>
  <c r="F34" i="5"/>
  <c r="F119" i="5"/>
  <c r="E210" i="5"/>
  <c r="H210" i="5" s="1"/>
  <c r="E35" i="5"/>
  <c r="E120" i="5"/>
  <c r="F8" i="1"/>
  <c r="H120" i="5" l="1"/>
  <c r="H35" i="5"/>
  <c r="F120" i="5"/>
  <c r="F35" i="5"/>
  <c r="F210" i="5"/>
  <c r="E121" i="5"/>
  <c r="E36" i="5"/>
  <c r="E211" i="5"/>
  <c r="H211" i="5" s="1"/>
  <c r="G8" i="1"/>
  <c r="F9" i="1"/>
  <c r="H121" i="5" l="1"/>
  <c r="AC36" i="5"/>
  <c r="AB36" i="5"/>
  <c r="AA36" i="5"/>
  <c r="V36" i="5"/>
  <c r="U36" i="5"/>
  <c r="T36" i="5"/>
  <c r="AG36" i="5"/>
  <c r="AF36" i="5"/>
  <c r="AE36" i="5"/>
  <c r="AD36" i="5"/>
  <c r="Z36" i="5"/>
  <c r="Y36" i="5"/>
  <c r="R36" i="5"/>
  <c r="X36" i="5"/>
  <c r="W36" i="5"/>
  <c r="S36" i="5"/>
  <c r="F211" i="5"/>
  <c r="F121" i="5"/>
  <c r="E212" i="5"/>
  <c r="H212" i="5" s="1"/>
  <c r="E37" i="5"/>
  <c r="E122" i="5"/>
  <c r="H8" i="1"/>
  <c r="G9" i="1"/>
  <c r="F27" i="1"/>
  <c r="G27" i="1" s="1"/>
  <c r="F13" i="1"/>
  <c r="G13" i="1" s="1"/>
  <c r="H122" i="5" l="1"/>
  <c r="H37" i="5"/>
  <c r="F122" i="5"/>
  <c r="F212" i="5"/>
  <c r="F37" i="5"/>
  <c r="H13" i="1"/>
  <c r="H27" i="1"/>
  <c r="I8" i="1"/>
  <c r="J8" i="1" s="1"/>
  <c r="K8" i="1" s="1"/>
  <c r="L8" i="1" s="1"/>
  <c r="M8" i="1" s="1"/>
  <c r="N8" i="1" s="1"/>
  <c r="O8" i="1" s="1"/>
  <c r="P8" i="1" s="1"/>
  <c r="I13" i="1"/>
  <c r="J13" i="1" s="1"/>
  <c r="K13" i="1" s="1"/>
  <c r="L13" i="1" s="1"/>
  <c r="M13" i="1" s="1"/>
  <c r="N13" i="1" s="1"/>
  <c r="O13" i="1" s="1"/>
  <c r="P13" i="1" s="1"/>
  <c r="I27" i="1"/>
  <c r="J27" i="1" s="1"/>
  <c r="K27" i="1" s="1"/>
  <c r="L27" i="1" s="1"/>
  <c r="M27" i="1" s="1"/>
  <c r="N27" i="1" s="1"/>
  <c r="O27" i="1" s="1"/>
  <c r="P27" i="1" s="1"/>
  <c r="E123" i="5"/>
  <c r="E213" i="5"/>
  <c r="H213" i="5" s="1"/>
  <c r="E38" i="5"/>
  <c r="H9" i="1"/>
  <c r="F14" i="1"/>
  <c r="G14" i="1" s="1"/>
  <c r="H123" i="5" l="1"/>
  <c r="H38" i="5"/>
  <c r="Q27" i="1"/>
  <c r="R27" i="1" s="1"/>
  <c r="S27" i="1" s="1"/>
  <c r="T27" i="1" s="1"/>
  <c r="U27" i="1" s="1"/>
  <c r="V27" i="1" s="1"/>
  <c r="W27" i="1" s="1"/>
  <c r="F38" i="5"/>
  <c r="F213" i="5"/>
  <c r="F123" i="5"/>
  <c r="H14" i="1"/>
  <c r="I14" i="1" s="1"/>
  <c r="J14" i="1" s="1"/>
  <c r="K14" i="1" s="1"/>
  <c r="L14" i="1" s="1"/>
  <c r="M14" i="1" s="1"/>
  <c r="N14" i="1" s="1"/>
  <c r="O14" i="1" s="1"/>
  <c r="P14" i="1" s="1"/>
  <c r="Q13" i="1"/>
  <c r="R13" i="1" s="1"/>
  <c r="S13" i="1" s="1"/>
  <c r="T13" i="1" s="1"/>
  <c r="U13" i="1" s="1"/>
  <c r="V13" i="1" s="1"/>
  <c r="W13" i="1" s="1"/>
  <c r="Q8" i="1"/>
  <c r="R8" i="1" s="1"/>
  <c r="S8" i="1" s="1"/>
  <c r="T8" i="1" s="1"/>
  <c r="U8" i="1" s="1"/>
  <c r="V8" i="1" s="1"/>
  <c r="W8" i="1" s="1"/>
  <c r="I9" i="1"/>
  <c r="J9" i="1" s="1"/>
  <c r="K9" i="1" s="1"/>
  <c r="L9" i="1" s="1"/>
  <c r="M9" i="1" s="1"/>
  <c r="N9" i="1" s="1"/>
  <c r="O9" i="1" s="1"/>
  <c r="P9" i="1" s="1"/>
  <c r="E39" i="5"/>
  <c r="E214" i="5"/>
  <c r="H214" i="5" s="1"/>
  <c r="E124" i="5"/>
  <c r="F15" i="1"/>
  <c r="G15" i="1" s="1"/>
  <c r="X8" i="1" l="1"/>
  <c r="Y8" i="1" s="1"/>
  <c r="AA8" i="1" s="1"/>
  <c r="X13" i="1"/>
  <c r="X27" i="1"/>
  <c r="Y27" i="1" s="1"/>
  <c r="AA27" i="1"/>
  <c r="H124" i="5"/>
  <c r="H39" i="5"/>
  <c r="F214" i="5"/>
  <c r="F124" i="5"/>
  <c r="F39" i="5"/>
  <c r="H15" i="1"/>
  <c r="I15" i="1" s="1"/>
  <c r="J15" i="1" s="1"/>
  <c r="K15" i="1" s="1"/>
  <c r="L15" i="1" s="1"/>
  <c r="M15" i="1" s="1"/>
  <c r="N15" i="1" s="1"/>
  <c r="O15" i="1" s="1"/>
  <c r="P15" i="1" s="1"/>
  <c r="Q9" i="1"/>
  <c r="R9" i="1" s="1"/>
  <c r="S9" i="1" s="1"/>
  <c r="T9" i="1" s="1"/>
  <c r="U9" i="1" s="1"/>
  <c r="V9" i="1" s="1"/>
  <c r="W9" i="1" s="1"/>
  <c r="Q14" i="1"/>
  <c r="R14" i="1" s="1"/>
  <c r="S14" i="1" s="1"/>
  <c r="T14" i="1" s="1"/>
  <c r="U14" i="1" s="1"/>
  <c r="V14" i="1" s="1"/>
  <c r="W14" i="1" s="1"/>
  <c r="E125" i="5"/>
  <c r="E40" i="5"/>
  <c r="E215" i="5"/>
  <c r="H215" i="5" s="1"/>
  <c r="F16" i="1"/>
  <c r="G16" i="1" s="1"/>
  <c r="Y13" i="1" l="1"/>
  <c r="Z13" i="1" s="1"/>
  <c r="AB27" i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Y27" i="1" s="1"/>
  <c r="AZ27" i="1" s="1"/>
  <c r="BA27" i="1" s="1"/>
  <c r="BB27" i="1" s="1"/>
  <c r="BC27" i="1" s="1"/>
  <c r="BD27" i="1" s="1"/>
  <c r="BE27" i="1" s="1"/>
  <c r="BF27" i="1" s="1"/>
  <c r="BG27" i="1" s="1"/>
  <c r="BH27" i="1" s="1"/>
  <c r="BI27" i="1" s="1"/>
  <c r="BJ27" i="1" s="1"/>
  <c r="BK27" i="1" s="1"/>
  <c r="BL27" i="1" s="1"/>
  <c r="BM27" i="1" s="1"/>
  <c r="BN27" i="1" s="1"/>
  <c r="BO27" i="1" s="1"/>
  <c r="BP27" i="1" s="1"/>
  <c r="AB8" i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X9" i="1"/>
  <c r="Y9" i="1" s="1"/>
  <c r="AA9" i="1" s="1"/>
  <c r="X14" i="1"/>
  <c r="H125" i="5"/>
  <c r="H40" i="5"/>
  <c r="F40" i="5"/>
  <c r="F215" i="5"/>
  <c r="F125" i="5"/>
  <c r="H16" i="1"/>
  <c r="I16" i="1" s="1"/>
  <c r="J16" i="1" s="1"/>
  <c r="K16" i="1" s="1"/>
  <c r="L16" i="1" s="1"/>
  <c r="M16" i="1" s="1"/>
  <c r="N16" i="1" s="1"/>
  <c r="O16" i="1" s="1"/>
  <c r="P16" i="1" s="1"/>
  <c r="Q15" i="1"/>
  <c r="R15" i="1" s="1"/>
  <c r="S15" i="1" s="1"/>
  <c r="T15" i="1" s="1"/>
  <c r="U15" i="1" s="1"/>
  <c r="V15" i="1" s="1"/>
  <c r="W15" i="1" s="1"/>
  <c r="E216" i="5"/>
  <c r="H216" i="5" s="1"/>
  <c r="E41" i="5"/>
  <c r="E126" i="5"/>
  <c r="F17" i="1"/>
  <c r="G17" i="1" s="1"/>
  <c r="Y14" i="1" l="1"/>
  <c r="Z14" i="1" s="1"/>
  <c r="AB9" i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J9" i="1" s="1"/>
  <c r="X15" i="1"/>
  <c r="H126" i="5"/>
  <c r="H41" i="5"/>
  <c r="F216" i="5"/>
  <c r="F41" i="5"/>
  <c r="F126" i="5"/>
  <c r="BA8" i="1"/>
  <c r="BB8" i="1" s="1"/>
  <c r="BC8" i="1" s="1"/>
  <c r="BD8" i="1" s="1"/>
  <c r="BE8" i="1" s="1"/>
  <c r="BF8" i="1" s="1"/>
  <c r="H17" i="1"/>
  <c r="I17" i="1" s="1"/>
  <c r="J17" i="1" s="1"/>
  <c r="K17" i="1" s="1"/>
  <c r="L17" i="1" s="1"/>
  <c r="M17" i="1" s="1"/>
  <c r="N17" i="1" s="1"/>
  <c r="O17" i="1" s="1"/>
  <c r="P17" i="1" s="1"/>
  <c r="Q16" i="1"/>
  <c r="R16" i="1" s="1"/>
  <c r="S16" i="1" s="1"/>
  <c r="T16" i="1" s="1"/>
  <c r="U16" i="1" s="1"/>
  <c r="V16" i="1" s="1"/>
  <c r="W16" i="1" s="1"/>
  <c r="E127" i="5"/>
  <c r="E217" i="5"/>
  <c r="H217" i="5" s="1"/>
  <c r="E42" i="5"/>
  <c r="F18" i="1"/>
  <c r="G18" i="1" s="1"/>
  <c r="Y15" i="1" l="1"/>
  <c r="Z15" i="1" s="1"/>
  <c r="X16" i="1"/>
  <c r="H127" i="5"/>
  <c r="H42" i="5"/>
  <c r="F42" i="5"/>
  <c r="F217" i="5"/>
  <c r="F127" i="5"/>
  <c r="BG8" i="1"/>
  <c r="BH8" i="1" s="1"/>
  <c r="BI8" i="1" s="1"/>
  <c r="BJ8" i="1" s="1"/>
  <c r="BK8" i="1" s="1"/>
  <c r="BL8" i="1" s="1"/>
  <c r="BM8" i="1" s="1"/>
  <c r="BN8" i="1" s="1"/>
  <c r="BO8" i="1" s="1"/>
  <c r="BP8" i="1" s="1"/>
  <c r="H18" i="1"/>
  <c r="I18" i="1" s="1"/>
  <c r="J18" i="1" s="1"/>
  <c r="K18" i="1" s="1"/>
  <c r="L18" i="1" s="1"/>
  <c r="M18" i="1" s="1"/>
  <c r="N18" i="1" s="1"/>
  <c r="O18" i="1" s="1"/>
  <c r="P18" i="1" s="1"/>
  <c r="BK9" i="1"/>
  <c r="BL9" i="1" s="1"/>
  <c r="BM9" i="1" s="1"/>
  <c r="BN9" i="1" s="1"/>
  <c r="BO9" i="1" s="1"/>
  <c r="BP9" i="1" s="1"/>
  <c r="Q17" i="1"/>
  <c r="R17" i="1" s="1"/>
  <c r="S17" i="1" s="1"/>
  <c r="T17" i="1" s="1"/>
  <c r="U17" i="1" s="1"/>
  <c r="V17" i="1" s="1"/>
  <c r="W17" i="1" s="1"/>
  <c r="E43" i="5"/>
  <c r="E218" i="5"/>
  <c r="H218" i="5" s="1"/>
  <c r="E128" i="5"/>
  <c r="F95" i="1"/>
  <c r="G95" i="1" s="1"/>
  <c r="F19" i="1"/>
  <c r="G19" i="1" s="1"/>
  <c r="Y16" i="1" l="1"/>
  <c r="Z16" i="1" s="1"/>
  <c r="X17" i="1"/>
  <c r="H128" i="5"/>
  <c r="H43" i="5"/>
  <c r="F218" i="5"/>
  <c r="F43" i="5"/>
  <c r="F128" i="5"/>
  <c r="H19" i="1"/>
  <c r="I19" i="1" s="1"/>
  <c r="J19" i="1" s="1"/>
  <c r="K19" i="1" s="1"/>
  <c r="L19" i="1" s="1"/>
  <c r="M19" i="1" s="1"/>
  <c r="N19" i="1" s="1"/>
  <c r="O19" i="1" s="1"/>
  <c r="P19" i="1" s="1"/>
  <c r="H95" i="1"/>
  <c r="I95" i="1" s="1"/>
  <c r="J95" i="1" s="1"/>
  <c r="K95" i="1" s="1"/>
  <c r="L95" i="1" s="1"/>
  <c r="M95" i="1" s="1"/>
  <c r="N95" i="1" s="1"/>
  <c r="O95" i="1" s="1"/>
  <c r="P95" i="1" s="1"/>
  <c r="Q18" i="1"/>
  <c r="R18" i="1" s="1"/>
  <c r="S18" i="1" s="1"/>
  <c r="T18" i="1" s="1"/>
  <c r="U18" i="1" s="1"/>
  <c r="V18" i="1" s="1"/>
  <c r="W18" i="1" s="1"/>
  <c r="E129" i="5"/>
  <c r="E219" i="5"/>
  <c r="H219" i="5" s="1"/>
  <c r="E44" i="5"/>
  <c r="F99" i="1"/>
  <c r="G99" i="1" s="1"/>
  <c r="F22" i="1"/>
  <c r="G22" i="1" s="1"/>
  <c r="Y17" i="1" l="1"/>
  <c r="Z17" i="1" s="1"/>
  <c r="X18" i="1"/>
  <c r="H129" i="5"/>
  <c r="H44" i="5"/>
  <c r="F129" i="5"/>
  <c r="F44" i="5"/>
  <c r="F219" i="5"/>
  <c r="H22" i="1"/>
  <c r="I22" i="1" s="1"/>
  <c r="J22" i="1" s="1"/>
  <c r="K22" i="1" s="1"/>
  <c r="L22" i="1" s="1"/>
  <c r="M22" i="1" s="1"/>
  <c r="N22" i="1" s="1"/>
  <c r="O22" i="1" s="1"/>
  <c r="P22" i="1" s="1"/>
  <c r="H99" i="1"/>
  <c r="Q95" i="1"/>
  <c r="R95" i="1" s="1"/>
  <c r="S95" i="1" s="1"/>
  <c r="T95" i="1" s="1"/>
  <c r="U95" i="1" s="1"/>
  <c r="V95" i="1" s="1"/>
  <c r="W95" i="1" s="1"/>
  <c r="Q19" i="1"/>
  <c r="R19" i="1" s="1"/>
  <c r="S19" i="1" s="1"/>
  <c r="T19" i="1" s="1"/>
  <c r="U19" i="1" s="1"/>
  <c r="V19" i="1" s="1"/>
  <c r="W19" i="1" s="1"/>
  <c r="I99" i="1"/>
  <c r="J99" i="1" s="1"/>
  <c r="K99" i="1" s="1"/>
  <c r="L99" i="1" s="1"/>
  <c r="M99" i="1" s="1"/>
  <c r="N99" i="1" s="1"/>
  <c r="O99" i="1" s="1"/>
  <c r="P99" i="1" s="1"/>
  <c r="E220" i="5"/>
  <c r="E45" i="5"/>
  <c r="E130" i="5"/>
  <c r="F104" i="1"/>
  <c r="G104" i="1" s="1"/>
  <c r="F100" i="1"/>
  <c r="G100" i="1" s="1"/>
  <c r="F23" i="1"/>
  <c r="G23" i="1" s="1"/>
  <c r="Y18" i="1" l="1"/>
  <c r="Z18" i="1" s="1"/>
  <c r="X19" i="1"/>
  <c r="X95" i="1"/>
  <c r="Y95" i="1" s="1"/>
  <c r="H130" i="5"/>
  <c r="H45" i="5"/>
  <c r="F220" i="5"/>
  <c r="F130" i="5"/>
  <c r="F45" i="5"/>
  <c r="H23" i="1"/>
  <c r="I23" i="1" s="1"/>
  <c r="J23" i="1" s="1"/>
  <c r="K23" i="1" s="1"/>
  <c r="L23" i="1" s="1"/>
  <c r="M23" i="1" s="1"/>
  <c r="N23" i="1" s="1"/>
  <c r="O23" i="1" s="1"/>
  <c r="P23" i="1" s="1"/>
  <c r="H100" i="1"/>
  <c r="I100" i="1" s="1"/>
  <c r="J100" i="1" s="1"/>
  <c r="K100" i="1" s="1"/>
  <c r="L100" i="1" s="1"/>
  <c r="M100" i="1" s="1"/>
  <c r="N100" i="1" s="1"/>
  <c r="O100" i="1" s="1"/>
  <c r="P100" i="1" s="1"/>
  <c r="H104" i="1"/>
  <c r="I104" i="1" s="1"/>
  <c r="J104" i="1" s="1"/>
  <c r="K104" i="1" s="1"/>
  <c r="L104" i="1" s="1"/>
  <c r="M104" i="1" s="1"/>
  <c r="N104" i="1" s="1"/>
  <c r="O104" i="1" s="1"/>
  <c r="P104" i="1" s="1"/>
  <c r="Q22" i="1"/>
  <c r="R22" i="1" s="1"/>
  <c r="S22" i="1" s="1"/>
  <c r="T22" i="1" s="1"/>
  <c r="U22" i="1" s="1"/>
  <c r="V22" i="1" s="1"/>
  <c r="W22" i="1" s="1"/>
  <c r="Q99" i="1"/>
  <c r="R99" i="1" s="1"/>
  <c r="S99" i="1" s="1"/>
  <c r="T99" i="1" s="1"/>
  <c r="U99" i="1" s="1"/>
  <c r="V99" i="1" s="1"/>
  <c r="W99" i="1" s="1"/>
  <c r="E46" i="5"/>
  <c r="E221" i="5"/>
  <c r="H221" i="5" s="1"/>
  <c r="E131" i="5"/>
  <c r="F106" i="1"/>
  <c r="G106" i="1" s="1"/>
  <c r="F24" i="1"/>
  <c r="G24" i="1" s="1"/>
  <c r="AA95" i="1" l="1"/>
  <c r="AB95" i="1" s="1"/>
  <c r="AC95" i="1" s="1"/>
  <c r="AD95" i="1" s="1"/>
  <c r="AE95" i="1" s="1"/>
  <c r="AF95" i="1" s="1"/>
  <c r="AG95" i="1" s="1"/>
  <c r="AH95" i="1" s="1"/>
  <c r="AI95" i="1" s="1"/>
  <c r="AJ95" i="1" s="1"/>
  <c r="AK95" i="1" s="1"/>
  <c r="AL95" i="1" s="1"/>
  <c r="AM95" i="1" s="1"/>
  <c r="AN95" i="1" s="1"/>
  <c r="AO95" i="1" s="1"/>
  <c r="AP95" i="1" s="1"/>
  <c r="AQ95" i="1" s="1"/>
  <c r="AR95" i="1" s="1"/>
  <c r="AS95" i="1" s="1"/>
  <c r="AT95" i="1" s="1"/>
  <c r="AU95" i="1" s="1"/>
  <c r="AV95" i="1" s="1"/>
  <c r="AW95" i="1" s="1"/>
  <c r="AX95" i="1" s="1"/>
  <c r="AY95" i="1" s="1"/>
  <c r="AZ95" i="1" s="1"/>
  <c r="BA95" i="1" s="1"/>
  <c r="BB95" i="1" s="1"/>
  <c r="BC95" i="1" s="1"/>
  <c r="BD95" i="1" s="1"/>
  <c r="BE95" i="1" s="1"/>
  <c r="BF95" i="1" s="1"/>
  <c r="BG95" i="1" s="1"/>
  <c r="BH95" i="1" s="1"/>
  <c r="BI95" i="1" s="1"/>
  <c r="BJ95" i="1" s="1"/>
  <c r="Y19" i="1"/>
  <c r="Z19" i="1" s="1"/>
  <c r="X22" i="1"/>
  <c r="X99" i="1"/>
  <c r="Y99" i="1" s="1"/>
  <c r="AA99" i="1" s="1"/>
  <c r="AB99" i="1" s="1"/>
  <c r="AC99" i="1" s="1"/>
  <c r="AD99" i="1" s="1"/>
  <c r="AE99" i="1" s="1"/>
  <c r="AF99" i="1" s="1"/>
  <c r="AG99" i="1" s="1"/>
  <c r="AH99" i="1" s="1"/>
  <c r="AI99" i="1" s="1"/>
  <c r="AJ99" i="1" s="1"/>
  <c r="AK99" i="1" s="1"/>
  <c r="AL99" i="1" s="1"/>
  <c r="AM99" i="1" s="1"/>
  <c r="AN99" i="1" s="1"/>
  <c r="AO99" i="1" s="1"/>
  <c r="AP99" i="1" s="1"/>
  <c r="AQ99" i="1" s="1"/>
  <c r="AR99" i="1" s="1"/>
  <c r="AS99" i="1" s="1"/>
  <c r="AT99" i="1" s="1"/>
  <c r="AU99" i="1" s="1"/>
  <c r="AV99" i="1" s="1"/>
  <c r="AW99" i="1" s="1"/>
  <c r="AX99" i="1" s="1"/>
  <c r="AY99" i="1" s="1"/>
  <c r="AZ99" i="1" s="1"/>
  <c r="BA99" i="1" s="1"/>
  <c r="BB99" i="1" s="1"/>
  <c r="BC99" i="1" s="1"/>
  <c r="BD99" i="1" s="1"/>
  <c r="BE99" i="1" s="1"/>
  <c r="BF99" i="1" s="1"/>
  <c r="BG99" i="1" s="1"/>
  <c r="BH99" i="1" s="1"/>
  <c r="BI99" i="1" s="1"/>
  <c r="BJ99" i="1" s="1"/>
  <c r="H131" i="5"/>
  <c r="H46" i="5"/>
  <c r="F46" i="5"/>
  <c r="F221" i="5"/>
  <c r="F131" i="5"/>
  <c r="H24" i="1"/>
  <c r="I24" i="1" s="1"/>
  <c r="J24" i="1" s="1"/>
  <c r="K24" i="1" s="1"/>
  <c r="L24" i="1" s="1"/>
  <c r="M24" i="1" s="1"/>
  <c r="N24" i="1" s="1"/>
  <c r="O24" i="1" s="1"/>
  <c r="P24" i="1" s="1"/>
  <c r="H106" i="1"/>
  <c r="I106" i="1" s="1"/>
  <c r="J106" i="1" s="1"/>
  <c r="K106" i="1" s="1"/>
  <c r="L106" i="1" s="1"/>
  <c r="M106" i="1" s="1"/>
  <c r="N106" i="1" s="1"/>
  <c r="O106" i="1" s="1"/>
  <c r="P106" i="1" s="1"/>
  <c r="Q100" i="1"/>
  <c r="R100" i="1" s="1"/>
  <c r="S100" i="1" s="1"/>
  <c r="T100" i="1" s="1"/>
  <c r="U100" i="1" s="1"/>
  <c r="V100" i="1" s="1"/>
  <c r="W100" i="1" s="1"/>
  <c r="Q23" i="1"/>
  <c r="R23" i="1" s="1"/>
  <c r="S23" i="1" s="1"/>
  <c r="T23" i="1" s="1"/>
  <c r="U23" i="1" s="1"/>
  <c r="V23" i="1" s="1"/>
  <c r="W23" i="1" s="1"/>
  <c r="Q104" i="1"/>
  <c r="R104" i="1" s="1"/>
  <c r="S104" i="1" s="1"/>
  <c r="T104" i="1" s="1"/>
  <c r="U104" i="1" s="1"/>
  <c r="V104" i="1" s="1"/>
  <c r="W104" i="1" s="1"/>
  <c r="E132" i="5"/>
  <c r="E222" i="5"/>
  <c r="H222" i="5" s="1"/>
  <c r="E47" i="5"/>
  <c r="F107" i="1"/>
  <c r="G107" i="1" s="1"/>
  <c r="F25" i="1"/>
  <c r="G25" i="1" s="1"/>
  <c r="Y22" i="1" l="1"/>
  <c r="Z22" i="1" s="1"/>
  <c r="X104" i="1"/>
  <c r="Y104" i="1" s="1"/>
  <c r="X23" i="1"/>
  <c r="X100" i="1"/>
  <c r="Y100" i="1" s="1"/>
  <c r="AA100" i="1"/>
  <c r="AB100" i="1" s="1"/>
  <c r="AC100" i="1" s="1"/>
  <c r="AD100" i="1" s="1"/>
  <c r="AE100" i="1" s="1"/>
  <c r="AF100" i="1" s="1"/>
  <c r="AG100" i="1" s="1"/>
  <c r="AH100" i="1" s="1"/>
  <c r="AI100" i="1" s="1"/>
  <c r="AJ100" i="1" s="1"/>
  <c r="AK100" i="1" s="1"/>
  <c r="AL100" i="1" s="1"/>
  <c r="AM100" i="1" s="1"/>
  <c r="AN100" i="1" s="1"/>
  <c r="AO100" i="1" s="1"/>
  <c r="AP100" i="1" s="1"/>
  <c r="AQ100" i="1" s="1"/>
  <c r="AR100" i="1" s="1"/>
  <c r="AS100" i="1" s="1"/>
  <c r="AT100" i="1" s="1"/>
  <c r="AU100" i="1" s="1"/>
  <c r="AV100" i="1" s="1"/>
  <c r="AW100" i="1" s="1"/>
  <c r="AX100" i="1" s="1"/>
  <c r="AY100" i="1" s="1"/>
  <c r="AZ100" i="1" s="1"/>
  <c r="BA100" i="1" s="1"/>
  <c r="BB100" i="1" s="1"/>
  <c r="BC100" i="1" s="1"/>
  <c r="BD100" i="1" s="1"/>
  <c r="BE100" i="1" s="1"/>
  <c r="BF100" i="1" s="1"/>
  <c r="BG100" i="1" s="1"/>
  <c r="BH100" i="1" s="1"/>
  <c r="BI100" i="1" s="1"/>
  <c r="BJ100" i="1" s="1"/>
  <c r="H132" i="5"/>
  <c r="U47" i="5"/>
  <c r="T47" i="5"/>
  <c r="AG47" i="5"/>
  <c r="S47" i="5"/>
  <c r="Y47" i="5"/>
  <c r="X47" i="5"/>
  <c r="W47" i="5"/>
  <c r="V47" i="5"/>
  <c r="AF47" i="5"/>
  <c r="AA47" i="5"/>
  <c r="AC47" i="5"/>
  <c r="Z47" i="5"/>
  <c r="R47" i="5"/>
  <c r="AE47" i="5"/>
  <c r="AB47" i="5"/>
  <c r="AD47" i="5"/>
  <c r="F132" i="5"/>
  <c r="F222" i="5"/>
  <c r="H25" i="1"/>
  <c r="I25" i="1" s="1"/>
  <c r="J25" i="1" s="1"/>
  <c r="K25" i="1" s="1"/>
  <c r="L25" i="1" s="1"/>
  <c r="M25" i="1" s="1"/>
  <c r="N25" i="1" s="1"/>
  <c r="O25" i="1" s="1"/>
  <c r="P25" i="1" s="1"/>
  <c r="H107" i="1"/>
  <c r="I107" i="1" s="1"/>
  <c r="J107" i="1" s="1"/>
  <c r="K107" i="1" s="1"/>
  <c r="L107" i="1" s="1"/>
  <c r="M107" i="1" s="1"/>
  <c r="N107" i="1" s="1"/>
  <c r="O107" i="1" s="1"/>
  <c r="P107" i="1" s="1"/>
  <c r="BK95" i="1"/>
  <c r="BL95" i="1" s="1"/>
  <c r="BM95" i="1" s="1"/>
  <c r="BN95" i="1" s="1"/>
  <c r="BO95" i="1" s="1"/>
  <c r="BP95" i="1" s="1"/>
  <c r="Q106" i="1"/>
  <c r="R106" i="1" s="1"/>
  <c r="S106" i="1" s="1"/>
  <c r="T106" i="1" s="1"/>
  <c r="U106" i="1" s="1"/>
  <c r="V106" i="1" s="1"/>
  <c r="W106" i="1" s="1"/>
  <c r="Q24" i="1"/>
  <c r="R24" i="1" s="1"/>
  <c r="S24" i="1" s="1"/>
  <c r="T24" i="1" s="1"/>
  <c r="U24" i="1" s="1"/>
  <c r="V24" i="1" s="1"/>
  <c r="W24" i="1" s="1"/>
  <c r="E48" i="5"/>
  <c r="E223" i="5"/>
  <c r="H223" i="5" s="1"/>
  <c r="E133" i="5"/>
  <c r="F109" i="1"/>
  <c r="G109" i="1" s="1"/>
  <c r="F26" i="1"/>
  <c r="G26" i="1" s="1"/>
  <c r="Y23" i="1" l="1"/>
  <c r="Z23" i="1" s="1"/>
  <c r="X24" i="1"/>
  <c r="X106" i="1"/>
  <c r="Y106" i="1" s="1"/>
  <c r="H133" i="5"/>
  <c r="H48" i="5"/>
  <c r="F133" i="5"/>
  <c r="F48" i="5"/>
  <c r="F223" i="5"/>
  <c r="H109" i="1"/>
  <c r="I109" i="1" s="1"/>
  <c r="J109" i="1" s="1"/>
  <c r="K109" i="1" s="1"/>
  <c r="L109" i="1" s="1"/>
  <c r="M109" i="1" s="1"/>
  <c r="N109" i="1" s="1"/>
  <c r="O109" i="1" s="1"/>
  <c r="P109" i="1" s="1"/>
  <c r="H26" i="1"/>
  <c r="I26" i="1" s="1"/>
  <c r="J26" i="1" s="1"/>
  <c r="K26" i="1" s="1"/>
  <c r="L26" i="1" s="1"/>
  <c r="M26" i="1" s="1"/>
  <c r="N26" i="1" s="1"/>
  <c r="O26" i="1" s="1"/>
  <c r="P26" i="1" s="1"/>
  <c r="BK99" i="1"/>
  <c r="BL99" i="1" s="1"/>
  <c r="BM99" i="1" s="1"/>
  <c r="BN99" i="1" s="1"/>
  <c r="BO99" i="1" s="1"/>
  <c r="BP99" i="1" s="1"/>
  <c r="Q107" i="1"/>
  <c r="R107" i="1" s="1"/>
  <c r="S107" i="1" s="1"/>
  <c r="T107" i="1" s="1"/>
  <c r="U107" i="1" s="1"/>
  <c r="V107" i="1" s="1"/>
  <c r="W107" i="1" s="1"/>
  <c r="Q25" i="1"/>
  <c r="R25" i="1" s="1"/>
  <c r="S25" i="1" s="1"/>
  <c r="T25" i="1" s="1"/>
  <c r="U25" i="1" s="1"/>
  <c r="V25" i="1" s="1"/>
  <c r="W25" i="1" s="1"/>
  <c r="E224" i="5"/>
  <c r="H224" i="5" s="1"/>
  <c r="E49" i="5"/>
  <c r="E134" i="5"/>
  <c r="F111" i="1"/>
  <c r="G111" i="1" s="1"/>
  <c r="F31" i="1"/>
  <c r="G31" i="1" s="1"/>
  <c r="Y24" i="1" l="1"/>
  <c r="Z24" i="1" s="1"/>
  <c r="X25" i="1"/>
  <c r="X107" i="1"/>
  <c r="Y107" i="1" s="1"/>
  <c r="H134" i="5"/>
  <c r="H49" i="5"/>
  <c r="F134" i="5"/>
  <c r="F49" i="5"/>
  <c r="F224" i="5"/>
  <c r="H31" i="1"/>
  <c r="I31" i="1" s="1"/>
  <c r="J31" i="1" s="1"/>
  <c r="K31" i="1" s="1"/>
  <c r="L31" i="1" s="1"/>
  <c r="M31" i="1" s="1"/>
  <c r="N31" i="1" s="1"/>
  <c r="O31" i="1" s="1"/>
  <c r="P31" i="1" s="1"/>
  <c r="H111" i="1"/>
  <c r="I111" i="1" s="1"/>
  <c r="J111" i="1" s="1"/>
  <c r="K111" i="1" s="1"/>
  <c r="L111" i="1" s="1"/>
  <c r="M111" i="1" s="1"/>
  <c r="N111" i="1" s="1"/>
  <c r="O111" i="1" s="1"/>
  <c r="P111" i="1" s="1"/>
  <c r="BK100" i="1"/>
  <c r="BL100" i="1" s="1"/>
  <c r="BM100" i="1" s="1"/>
  <c r="BN100" i="1" s="1"/>
  <c r="BO100" i="1" s="1"/>
  <c r="BP100" i="1" s="1"/>
  <c r="Q109" i="1"/>
  <c r="R109" i="1" s="1"/>
  <c r="S109" i="1" s="1"/>
  <c r="T109" i="1" s="1"/>
  <c r="U109" i="1" s="1"/>
  <c r="V109" i="1" s="1"/>
  <c r="W109" i="1" s="1"/>
  <c r="Q26" i="1"/>
  <c r="R26" i="1" s="1"/>
  <c r="S26" i="1" s="1"/>
  <c r="T26" i="1" s="1"/>
  <c r="U26" i="1" s="1"/>
  <c r="V26" i="1" s="1"/>
  <c r="W26" i="1" s="1"/>
  <c r="E135" i="5"/>
  <c r="E50" i="5"/>
  <c r="E225" i="5"/>
  <c r="H225" i="5" s="1"/>
  <c r="F32" i="1"/>
  <c r="G32" i="1" s="1"/>
  <c r="Y25" i="1" l="1"/>
  <c r="Z25" i="1" s="1"/>
  <c r="X26" i="1"/>
  <c r="X109" i="1"/>
  <c r="Y109" i="1" s="1"/>
  <c r="H135" i="5"/>
  <c r="H50" i="5"/>
  <c r="F225" i="5"/>
  <c r="F50" i="5"/>
  <c r="F135" i="5"/>
  <c r="H32" i="1"/>
  <c r="I32" i="1" s="1"/>
  <c r="J32" i="1" s="1"/>
  <c r="K32" i="1" s="1"/>
  <c r="L32" i="1" s="1"/>
  <c r="M32" i="1" s="1"/>
  <c r="N32" i="1" s="1"/>
  <c r="O32" i="1" s="1"/>
  <c r="P32" i="1" s="1"/>
  <c r="Q111" i="1"/>
  <c r="R111" i="1" s="1"/>
  <c r="S111" i="1" s="1"/>
  <c r="T111" i="1" s="1"/>
  <c r="U111" i="1" s="1"/>
  <c r="V111" i="1" s="1"/>
  <c r="W111" i="1" s="1"/>
  <c r="Q31" i="1"/>
  <c r="R31" i="1" s="1"/>
  <c r="S31" i="1" s="1"/>
  <c r="T31" i="1" s="1"/>
  <c r="U31" i="1" s="1"/>
  <c r="V31" i="1" s="1"/>
  <c r="W31" i="1" s="1"/>
  <c r="E136" i="5"/>
  <c r="E226" i="5"/>
  <c r="H226" i="5" s="1"/>
  <c r="E51" i="5"/>
  <c r="F33" i="1"/>
  <c r="G33" i="1" s="1"/>
  <c r="Y26" i="1" l="1"/>
  <c r="Z26" i="1" s="1"/>
  <c r="X31" i="1"/>
  <c r="X111" i="1"/>
  <c r="Y111" i="1" s="1"/>
  <c r="H136" i="5"/>
  <c r="H51" i="5"/>
  <c r="F51" i="5"/>
  <c r="F226" i="5"/>
  <c r="F136" i="5"/>
  <c r="H33" i="1"/>
  <c r="Q32" i="1"/>
  <c r="R32" i="1" s="1"/>
  <c r="S32" i="1" s="1"/>
  <c r="T32" i="1" s="1"/>
  <c r="U32" i="1" s="1"/>
  <c r="V32" i="1" s="1"/>
  <c r="W32" i="1" s="1"/>
  <c r="I33" i="1"/>
  <c r="J33" i="1" s="1"/>
  <c r="K33" i="1" s="1"/>
  <c r="L33" i="1" s="1"/>
  <c r="M33" i="1" s="1"/>
  <c r="N33" i="1" s="1"/>
  <c r="O33" i="1" s="1"/>
  <c r="P33" i="1" s="1"/>
  <c r="E137" i="5"/>
  <c r="E52" i="5"/>
  <c r="E227" i="5"/>
  <c r="H227" i="5" s="1"/>
  <c r="F34" i="1"/>
  <c r="G34" i="1" s="1"/>
  <c r="Y31" i="1" l="1"/>
  <c r="X32" i="1"/>
  <c r="H137" i="5"/>
  <c r="H52" i="5"/>
  <c r="F137" i="5"/>
  <c r="F227" i="5"/>
  <c r="F52" i="5"/>
  <c r="H34" i="1"/>
  <c r="Q33" i="1"/>
  <c r="R33" i="1" s="1"/>
  <c r="S33" i="1" s="1"/>
  <c r="T33" i="1" s="1"/>
  <c r="U33" i="1" s="1"/>
  <c r="V33" i="1" s="1"/>
  <c r="W33" i="1" s="1"/>
  <c r="I34" i="1"/>
  <c r="J34" i="1" s="1"/>
  <c r="K34" i="1" s="1"/>
  <c r="L34" i="1" s="1"/>
  <c r="M34" i="1" s="1"/>
  <c r="N34" i="1" s="1"/>
  <c r="O34" i="1" s="1"/>
  <c r="P34" i="1" s="1"/>
  <c r="E53" i="5"/>
  <c r="E228" i="5"/>
  <c r="H228" i="5" s="1"/>
  <c r="E138" i="5"/>
  <c r="F35" i="1"/>
  <c r="G35" i="1" s="1"/>
  <c r="Z31" i="1" l="1"/>
  <c r="Y32" i="1"/>
  <c r="X33" i="1"/>
  <c r="H138" i="5"/>
  <c r="H53" i="5"/>
  <c r="F228" i="5"/>
  <c r="F53" i="5"/>
  <c r="F138" i="5"/>
  <c r="H35" i="1"/>
  <c r="I35" i="1" s="1"/>
  <c r="J35" i="1" s="1"/>
  <c r="K35" i="1" s="1"/>
  <c r="L35" i="1" s="1"/>
  <c r="M35" i="1" s="1"/>
  <c r="N35" i="1" s="1"/>
  <c r="O35" i="1" s="1"/>
  <c r="P35" i="1" s="1"/>
  <c r="Q34" i="1"/>
  <c r="R34" i="1" s="1"/>
  <c r="S34" i="1" s="1"/>
  <c r="T34" i="1" s="1"/>
  <c r="U34" i="1" s="1"/>
  <c r="V34" i="1" s="1"/>
  <c r="W34" i="1" s="1"/>
  <c r="E139" i="5"/>
  <c r="E229" i="5"/>
  <c r="H229" i="5" s="1"/>
  <c r="E54" i="5"/>
  <c r="F37" i="1"/>
  <c r="G37" i="1" s="1"/>
  <c r="Z32" i="1" l="1"/>
  <c r="Y33" i="1"/>
  <c r="X34" i="1"/>
  <c r="H139" i="5"/>
  <c r="H54" i="5"/>
  <c r="F229" i="5"/>
  <c r="F54" i="5"/>
  <c r="F139" i="5"/>
  <c r="H37" i="1"/>
  <c r="I37" i="1" s="1"/>
  <c r="J37" i="1" s="1"/>
  <c r="K37" i="1" s="1"/>
  <c r="L37" i="1" s="1"/>
  <c r="M37" i="1" s="1"/>
  <c r="N37" i="1" s="1"/>
  <c r="O37" i="1" s="1"/>
  <c r="P37" i="1" s="1"/>
  <c r="Q35" i="1"/>
  <c r="R35" i="1" s="1"/>
  <c r="S35" i="1" s="1"/>
  <c r="T35" i="1" s="1"/>
  <c r="U35" i="1" s="1"/>
  <c r="V35" i="1" s="1"/>
  <c r="W35" i="1" s="1"/>
  <c r="E55" i="5"/>
  <c r="E230" i="5"/>
  <c r="H230" i="5" s="1"/>
  <c r="E140" i="5"/>
  <c r="F38" i="1"/>
  <c r="G38" i="1" s="1"/>
  <c r="Z33" i="1" l="1"/>
  <c r="Y34" i="1"/>
  <c r="X35" i="1"/>
  <c r="O55" i="5"/>
  <c r="Q55" i="5"/>
  <c r="P55" i="5"/>
  <c r="H140" i="5"/>
  <c r="H55" i="5"/>
  <c r="F55" i="5"/>
  <c r="F140" i="5"/>
  <c r="F230" i="5"/>
  <c r="H38" i="1"/>
  <c r="I38" i="1" s="1"/>
  <c r="J38" i="1" s="1"/>
  <c r="K38" i="1" s="1"/>
  <c r="L38" i="1" s="1"/>
  <c r="M38" i="1" s="1"/>
  <c r="N38" i="1" s="1"/>
  <c r="O38" i="1" s="1"/>
  <c r="P38" i="1" s="1"/>
  <c r="Q37" i="1"/>
  <c r="R37" i="1" s="1"/>
  <c r="S37" i="1" s="1"/>
  <c r="T37" i="1" s="1"/>
  <c r="U37" i="1" s="1"/>
  <c r="V37" i="1" s="1"/>
  <c r="W37" i="1" s="1"/>
  <c r="E141" i="5"/>
  <c r="E231" i="5"/>
  <c r="H231" i="5" s="1"/>
  <c r="E56" i="5"/>
  <c r="F39" i="1"/>
  <c r="G39" i="1" s="1"/>
  <c r="Z34" i="1" l="1"/>
  <c r="Y35" i="1"/>
  <c r="X37" i="1"/>
  <c r="Q56" i="5"/>
  <c r="P56" i="5"/>
  <c r="O56" i="5"/>
  <c r="H141" i="5"/>
  <c r="H56" i="5"/>
  <c r="F141" i="5"/>
  <c r="F56" i="5"/>
  <c r="F231" i="5"/>
  <c r="H39" i="1"/>
  <c r="I39" i="1" s="1"/>
  <c r="J39" i="1" s="1"/>
  <c r="K39" i="1" s="1"/>
  <c r="L39" i="1" s="1"/>
  <c r="M39" i="1" s="1"/>
  <c r="N39" i="1" s="1"/>
  <c r="O39" i="1" s="1"/>
  <c r="P39" i="1" s="1"/>
  <c r="Q38" i="1"/>
  <c r="R38" i="1" s="1"/>
  <c r="S38" i="1" s="1"/>
  <c r="T38" i="1" s="1"/>
  <c r="U38" i="1" s="1"/>
  <c r="V38" i="1" s="1"/>
  <c r="W38" i="1" s="1"/>
  <c r="E57" i="5"/>
  <c r="E232" i="5"/>
  <c r="H232" i="5" s="1"/>
  <c r="E142" i="5"/>
  <c r="F40" i="1"/>
  <c r="G40" i="1" s="1"/>
  <c r="Z35" i="1" l="1"/>
  <c r="Y37" i="1"/>
  <c r="X38" i="1"/>
  <c r="H142" i="5"/>
  <c r="I57" i="5"/>
  <c r="F142" i="5"/>
  <c r="F232" i="5"/>
  <c r="H40" i="1"/>
  <c r="Q39" i="1"/>
  <c r="R39" i="1" s="1"/>
  <c r="S39" i="1" s="1"/>
  <c r="T39" i="1" s="1"/>
  <c r="U39" i="1" s="1"/>
  <c r="V39" i="1" s="1"/>
  <c r="W39" i="1" s="1"/>
  <c r="I40" i="1"/>
  <c r="J40" i="1" s="1"/>
  <c r="K40" i="1" s="1"/>
  <c r="L40" i="1" s="1"/>
  <c r="M40" i="1" s="1"/>
  <c r="N40" i="1" s="1"/>
  <c r="O40" i="1" s="1"/>
  <c r="P40" i="1" s="1"/>
  <c r="E143" i="5"/>
  <c r="E233" i="5"/>
  <c r="AH233" i="5" s="1"/>
  <c r="E58" i="5"/>
  <c r="G58" i="5" s="1"/>
  <c r="F41" i="1"/>
  <c r="G41" i="1" s="1"/>
  <c r="Z37" i="1" l="1"/>
  <c r="Y38" i="1"/>
  <c r="X39" i="1"/>
  <c r="H143" i="5"/>
  <c r="F143" i="5"/>
  <c r="F58" i="5"/>
  <c r="H41" i="1"/>
  <c r="I41" i="1" s="1"/>
  <c r="J41" i="1" s="1"/>
  <c r="K41" i="1" s="1"/>
  <c r="L41" i="1" s="1"/>
  <c r="M41" i="1" s="1"/>
  <c r="N41" i="1" s="1"/>
  <c r="O41" i="1" s="1"/>
  <c r="P41" i="1" s="1"/>
  <c r="Q40" i="1"/>
  <c r="R40" i="1" s="1"/>
  <c r="S40" i="1" s="1"/>
  <c r="T40" i="1" s="1"/>
  <c r="U40" i="1" s="1"/>
  <c r="V40" i="1" s="1"/>
  <c r="W40" i="1" s="1"/>
  <c r="E59" i="5"/>
  <c r="E144" i="5"/>
  <c r="F42" i="1"/>
  <c r="G42" i="1" s="1"/>
  <c r="Z38" i="1" l="1"/>
  <c r="Y39" i="1"/>
  <c r="X40" i="1"/>
  <c r="H144" i="5"/>
  <c r="Y59" i="5"/>
  <c r="X59" i="5"/>
  <c r="W59" i="5"/>
  <c r="AC59" i="5"/>
  <c r="AB59" i="5"/>
  <c r="AA59" i="5"/>
  <c r="Z59" i="5"/>
  <c r="U59" i="5"/>
  <c r="R59" i="5"/>
  <c r="AD59" i="5"/>
  <c r="AE59" i="5"/>
  <c r="V59" i="5"/>
  <c r="T59" i="5"/>
  <c r="S59" i="5"/>
  <c r="AG59" i="5"/>
  <c r="AF59" i="5"/>
  <c r="F144" i="5"/>
  <c r="H42" i="1"/>
  <c r="I42" i="1" s="1"/>
  <c r="J42" i="1" s="1"/>
  <c r="K42" i="1" s="1"/>
  <c r="L42" i="1" s="1"/>
  <c r="M42" i="1" s="1"/>
  <c r="N42" i="1" s="1"/>
  <c r="O42" i="1" s="1"/>
  <c r="P42" i="1" s="1"/>
  <c r="Q41" i="1"/>
  <c r="R41" i="1" s="1"/>
  <c r="S41" i="1" s="1"/>
  <c r="T41" i="1" s="1"/>
  <c r="U41" i="1" s="1"/>
  <c r="V41" i="1" s="1"/>
  <c r="W41" i="1" s="1"/>
  <c r="E145" i="5"/>
  <c r="E60" i="5"/>
  <c r="F43" i="1"/>
  <c r="G43" i="1" s="1"/>
  <c r="Z39" i="1" l="1"/>
  <c r="Y40" i="1"/>
  <c r="X41" i="1"/>
  <c r="H145" i="5"/>
  <c r="H60" i="5"/>
  <c r="F145" i="5"/>
  <c r="F60" i="5"/>
  <c r="H43" i="1"/>
  <c r="I43" i="1" s="1"/>
  <c r="J43" i="1" s="1"/>
  <c r="K43" i="1" s="1"/>
  <c r="L43" i="1" s="1"/>
  <c r="M43" i="1" s="1"/>
  <c r="N43" i="1" s="1"/>
  <c r="O43" i="1" s="1"/>
  <c r="P43" i="1" s="1"/>
  <c r="Q42" i="1"/>
  <c r="R42" i="1" s="1"/>
  <c r="S42" i="1" s="1"/>
  <c r="T42" i="1" s="1"/>
  <c r="U42" i="1" s="1"/>
  <c r="V42" i="1" s="1"/>
  <c r="W42" i="1" s="1"/>
  <c r="E146" i="5"/>
  <c r="E61" i="5"/>
  <c r="F44" i="1"/>
  <c r="G44" i="1" s="1"/>
  <c r="Z40" i="1" l="1"/>
  <c r="Y41" i="1"/>
  <c r="X42" i="1"/>
  <c r="H146" i="5"/>
  <c r="H61" i="5"/>
  <c r="F61" i="5"/>
  <c r="F146" i="5"/>
  <c r="H44" i="1"/>
  <c r="I44" i="1" s="1"/>
  <c r="J44" i="1" s="1"/>
  <c r="K44" i="1" s="1"/>
  <c r="L44" i="1" s="1"/>
  <c r="M44" i="1" s="1"/>
  <c r="N44" i="1" s="1"/>
  <c r="O44" i="1" s="1"/>
  <c r="P44" i="1" s="1"/>
  <c r="Q43" i="1"/>
  <c r="R43" i="1" s="1"/>
  <c r="S43" i="1" s="1"/>
  <c r="T43" i="1" s="1"/>
  <c r="U43" i="1" s="1"/>
  <c r="V43" i="1" s="1"/>
  <c r="W43" i="1" s="1"/>
  <c r="E62" i="5"/>
  <c r="E147" i="5"/>
  <c r="F45" i="1"/>
  <c r="G45" i="1" s="1"/>
  <c r="Z41" i="1" l="1"/>
  <c r="Y42" i="1"/>
  <c r="X43" i="1"/>
  <c r="H147" i="5"/>
  <c r="H62" i="5"/>
  <c r="F147" i="5"/>
  <c r="F62" i="5"/>
  <c r="H45" i="1"/>
  <c r="I45" i="1" s="1"/>
  <c r="J45" i="1" s="1"/>
  <c r="K45" i="1" s="1"/>
  <c r="L45" i="1" s="1"/>
  <c r="M45" i="1" s="1"/>
  <c r="N45" i="1" s="1"/>
  <c r="O45" i="1" s="1"/>
  <c r="P45" i="1" s="1"/>
  <c r="Q44" i="1"/>
  <c r="R44" i="1" s="1"/>
  <c r="S44" i="1" s="1"/>
  <c r="T44" i="1" s="1"/>
  <c r="U44" i="1" s="1"/>
  <c r="V44" i="1" s="1"/>
  <c r="W44" i="1" s="1"/>
  <c r="E148" i="5"/>
  <c r="E63" i="5"/>
  <c r="F46" i="1"/>
  <c r="G46" i="1" s="1"/>
  <c r="Z42" i="1" l="1"/>
  <c r="Y43" i="1"/>
  <c r="X44" i="1"/>
  <c r="H148" i="5"/>
  <c r="H63" i="5"/>
  <c r="F63" i="5"/>
  <c r="F148" i="5"/>
  <c r="H46" i="1"/>
  <c r="I46" i="1" s="1"/>
  <c r="J46" i="1" s="1"/>
  <c r="K46" i="1" s="1"/>
  <c r="L46" i="1" s="1"/>
  <c r="M46" i="1" s="1"/>
  <c r="N46" i="1" s="1"/>
  <c r="O46" i="1" s="1"/>
  <c r="P46" i="1" s="1"/>
  <c r="Q45" i="1"/>
  <c r="R45" i="1" s="1"/>
  <c r="S45" i="1" s="1"/>
  <c r="T45" i="1" s="1"/>
  <c r="U45" i="1" s="1"/>
  <c r="V45" i="1" s="1"/>
  <c r="W45" i="1" s="1"/>
  <c r="E64" i="5"/>
  <c r="E149" i="5"/>
  <c r="F48" i="1"/>
  <c r="G48" i="1" s="1"/>
  <c r="Z43" i="1" l="1"/>
  <c r="Y44" i="1"/>
  <c r="X45" i="1"/>
  <c r="H149" i="5"/>
  <c r="H64" i="5"/>
  <c r="F149" i="5"/>
  <c r="F64" i="5"/>
  <c r="H48" i="1"/>
  <c r="I48" i="1" s="1"/>
  <c r="J48" i="1" s="1"/>
  <c r="K48" i="1" s="1"/>
  <c r="L48" i="1" s="1"/>
  <c r="M48" i="1" s="1"/>
  <c r="N48" i="1" s="1"/>
  <c r="O48" i="1" s="1"/>
  <c r="P48" i="1" s="1"/>
  <c r="Q46" i="1"/>
  <c r="R46" i="1" s="1"/>
  <c r="S46" i="1" s="1"/>
  <c r="T46" i="1" s="1"/>
  <c r="U46" i="1" s="1"/>
  <c r="V46" i="1" s="1"/>
  <c r="W46" i="1" s="1"/>
  <c r="E65" i="5"/>
  <c r="E150" i="5"/>
  <c r="F55" i="1"/>
  <c r="G55" i="1" s="1"/>
  <c r="F49" i="1"/>
  <c r="G49" i="1" s="1"/>
  <c r="Z44" i="1" l="1"/>
  <c r="Y45" i="1"/>
  <c r="X46" i="1"/>
  <c r="H150" i="5"/>
  <c r="H65" i="5"/>
  <c r="F150" i="5"/>
  <c r="F65" i="5"/>
  <c r="H49" i="1"/>
  <c r="I49" i="1" s="1"/>
  <c r="J49" i="1" s="1"/>
  <c r="K49" i="1" s="1"/>
  <c r="L49" i="1" s="1"/>
  <c r="M49" i="1" s="1"/>
  <c r="N49" i="1" s="1"/>
  <c r="O49" i="1" s="1"/>
  <c r="P49" i="1" s="1"/>
  <c r="H55" i="1"/>
  <c r="I55" i="1" s="1"/>
  <c r="J55" i="1" s="1"/>
  <c r="K55" i="1" s="1"/>
  <c r="L55" i="1" s="1"/>
  <c r="M55" i="1" s="1"/>
  <c r="N55" i="1" s="1"/>
  <c r="O55" i="1" s="1"/>
  <c r="P55" i="1" s="1"/>
  <c r="Q48" i="1"/>
  <c r="R48" i="1" s="1"/>
  <c r="S48" i="1" s="1"/>
  <c r="T48" i="1" s="1"/>
  <c r="U48" i="1" s="1"/>
  <c r="V48" i="1" s="1"/>
  <c r="W48" i="1" s="1"/>
  <c r="E66" i="5"/>
  <c r="E151" i="5"/>
  <c r="F56" i="1"/>
  <c r="G56" i="1" s="1"/>
  <c r="F50" i="1"/>
  <c r="G50" i="1" s="1"/>
  <c r="Z45" i="1" l="1"/>
  <c r="Y46" i="1"/>
  <c r="X48" i="1"/>
  <c r="H151" i="5"/>
  <c r="H66" i="5"/>
  <c r="F151" i="5"/>
  <c r="F66" i="5"/>
  <c r="H56" i="1"/>
  <c r="I56" i="1" s="1"/>
  <c r="J56" i="1" s="1"/>
  <c r="K56" i="1" s="1"/>
  <c r="L56" i="1" s="1"/>
  <c r="M56" i="1" s="1"/>
  <c r="N56" i="1" s="1"/>
  <c r="O56" i="1" s="1"/>
  <c r="P56" i="1" s="1"/>
  <c r="H50" i="1"/>
  <c r="I50" i="1" s="1"/>
  <c r="J50" i="1" s="1"/>
  <c r="K50" i="1" s="1"/>
  <c r="L50" i="1" s="1"/>
  <c r="M50" i="1" s="1"/>
  <c r="N50" i="1" s="1"/>
  <c r="O50" i="1" s="1"/>
  <c r="P50" i="1" s="1"/>
  <c r="Q55" i="1"/>
  <c r="R55" i="1" s="1"/>
  <c r="S55" i="1" s="1"/>
  <c r="T55" i="1" s="1"/>
  <c r="U55" i="1" s="1"/>
  <c r="V55" i="1" s="1"/>
  <c r="W55" i="1" s="1"/>
  <c r="Q49" i="1"/>
  <c r="R49" i="1" s="1"/>
  <c r="S49" i="1" s="1"/>
  <c r="T49" i="1" s="1"/>
  <c r="U49" i="1" s="1"/>
  <c r="V49" i="1" s="1"/>
  <c r="W49" i="1" s="1"/>
  <c r="E152" i="5"/>
  <c r="E67" i="5"/>
  <c r="F51" i="1"/>
  <c r="G51" i="1" s="1"/>
  <c r="Z46" i="1" l="1"/>
  <c r="Y48" i="1"/>
  <c r="X49" i="1"/>
  <c r="X55" i="1"/>
  <c r="Y55" i="1" s="1"/>
  <c r="H152" i="5"/>
  <c r="H67" i="5"/>
  <c r="F67" i="5"/>
  <c r="F152" i="5"/>
  <c r="H51" i="1"/>
  <c r="I51" i="1" s="1"/>
  <c r="J51" i="1" s="1"/>
  <c r="K51" i="1" s="1"/>
  <c r="L51" i="1" s="1"/>
  <c r="M51" i="1" s="1"/>
  <c r="N51" i="1" s="1"/>
  <c r="O51" i="1" s="1"/>
  <c r="P51" i="1" s="1"/>
  <c r="Q56" i="1"/>
  <c r="R56" i="1" s="1"/>
  <c r="S56" i="1" s="1"/>
  <c r="T56" i="1" s="1"/>
  <c r="U56" i="1" s="1"/>
  <c r="V56" i="1" s="1"/>
  <c r="W56" i="1" s="1"/>
  <c r="Q50" i="1"/>
  <c r="R50" i="1" s="1"/>
  <c r="S50" i="1" s="1"/>
  <c r="T50" i="1" s="1"/>
  <c r="U50" i="1" s="1"/>
  <c r="V50" i="1" s="1"/>
  <c r="W50" i="1" s="1"/>
  <c r="E68" i="5"/>
  <c r="E153" i="5"/>
  <c r="F52" i="1"/>
  <c r="G52" i="1" s="1"/>
  <c r="Z48" i="1" l="1"/>
  <c r="AA55" i="1"/>
  <c r="AB55" i="1" s="1"/>
  <c r="AC55" i="1" s="1"/>
  <c r="AD55" i="1" s="1"/>
  <c r="AE55" i="1" s="1"/>
  <c r="AF55" i="1" s="1"/>
  <c r="AG55" i="1" s="1"/>
  <c r="AH55" i="1" s="1"/>
  <c r="AI55" i="1" s="1"/>
  <c r="AJ55" i="1" s="1"/>
  <c r="AK55" i="1" s="1"/>
  <c r="AL55" i="1" s="1"/>
  <c r="AM55" i="1" s="1"/>
  <c r="AN55" i="1" s="1"/>
  <c r="AO55" i="1" s="1"/>
  <c r="AP55" i="1" s="1"/>
  <c r="AQ55" i="1" s="1"/>
  <c r="AR55" i="1" s="1"/>
  <c r="AS55" i="1" s="1"/>
  <c r="AT55" i="1" s="1"/>
  <c r="AU55" i="1" s="1"/>
  <c r="AV55" i="1" s="1"/>
  <c r="AW55" i="1" s="1"/>
  <c r="AX55" i="1" s="1"/>
  <c r="AY55" i="1" s="1"/>
  <c r="AZ55" i="1" s="1"/>
  <c r="BA55" i="1" s="1"/>
  <c r="BB55" i="1" s="1"/>
  <c r="BC55" i="1" s="1"/>
  <c r="BD55" i="1" s="1"/>
  <c r="BE55" i="1" s="1"/>
  <c r="BF55" i="1" s="1"/>
  <c r="BG55" i="1" s="1"/>
  <c r="BH55" i="1" s="1"/>
  <c r="BI55" i="1" s="1"/>
  <c r="BJ55" i="1" s="1"/>
  <c r="Y49" i="1"/>
  <c r="X50" i="1"/>
  <c r="X56" i="1"/>
  <c r="Y56" i="1" s="1"/>
  <c r="AA56" i="1"/>
  <c r="AB56" i="1" s="1"/>
  <c r="AC56" i="1" s="1"/>
  <c r="AD56" i="1" s="1"/>
  <c r="AE56" i="1" s="1"/>
  <c r="AF56" i="1" s="1"/>
  <c r="AG56" i="1" s="1"/>
  <c r="AH56" i="1" s="1"/>
  <c r="AI56" i="1" s="1"/>
  <c r="AJ56" i="1" s="1"/>
  <c r="AK56" i="1" s="1"/>
  <c r="AL56" i="1" s="1"/>
  <c r="AM56" i="1" s="1"/>
  <c r="AN56" i="1" s="1"/>
  <c r="AO56" i="1" s="1"/>
  <c r="AP56" i="1" s="1"/>
  <c r="AQ56" i="1" s="1"/>
  <c r="AR56" i="1" s="1"/>
  <c r="AS56" i="1" s="1"/>
  <c r="AT56" i="1" s="1"/>
  <c r="AU56" i="1" s="1"/>
  <c r="AV56" i="1" s="1"/>
  <c r="AW56" i="1" s="1"/>
  <c r="AX56" i="1" s="1"/>
  <c r="AY56" i="1" s="1"/>
  <c r="AZ56" i="1" s="1"/>
  <c r="BA56" i="1" s="1"/>
  <c r="BB56" i="1" s="1"/>
  <c r="BC56" i="1" s="1"/>
  <c r="BD56" i="1" s="1"/>
  <c r="BE56" i="1" s="1"/>
  <c r="BF56" i="1" s="1"/>
  <c r="BG56" i="1" s="1"/>
  <c r="BH56" i="1" s="1"/>
  <c r="BI56" i="1" s="1"/>
  <c r="BJ56" i="1" s="1"/>
  <c r="H153" i="5"/>
  <c r="H68" i="5"/>
  <c r="F153" i="5"/>
  <c r="F68" i="5"/>
  <c r="H52" i="1"/>
  <c r="I52" i="1" s="1"/>
  <c r="J52" i="1" s="1"/>
  <c r="K52" i="1" s="1"/>
  <c r="L52" i="1" s="1"/>
  <c r="M52" i="1" s="1"/>
  <c r="N52" i="1" s="1"/>
  <c r="O52" i="1" s="1"/>
  <c r="P52" i="1" s="1"/>
  <c r="Q51" i="1"/>
  <c r="R51" i="1" s="1"/>
  <c r="S51" i="1" s="1"/>
  <c r="T51" i="1" s="1"/>
  <c r="U51" i="1" s="1"/>
  <c r="V51" i="1" s="1"/>
  <c r="W51" i="1" s="1"/>
  <c r="E154" i="5"/>
  <c r="E69" i="5"/>
  <c r="F53" i="1"/>
  <c r="G53" i="1" s="1"/>
  <c r="Z49" i="1" l="1"/>
  <c r="Y50" i="1"/>
  <c r="X51" i="1"/>
  <c r="H154" i="5"/>
  <c r="H69" i="5"/>
  <c r="F154" i="5"/>
  <c r="F69" i="5"/>
  <c r="H53" i="1"/>
  <c r="I53" i="1" s="1"/>
  <c r="J53" i="1" s="1"/>
  <c r="K53" i="1" s="1"/>
  <c r="L53" i="1" s="1"/>
  <c r="M53" i="1" s="1"/>
  <c r="N53" i="1" s="1"/>
  <c r="O53" i="1" s="1"/>
  <c r="P53" i="1" s="1"/>
  <c r="BK55" i="1"/>
  <c r="BL55" i="1" s="1"/>
  <c r="BM55" i="1" s="1"/>
  <c r="BN55" i="1" s="1"/>
  <c r="BO55" i="1" s="1"/>
  <c r="BP55" i="1" s="1"/>
  <c r="Q52" i="1"/>
  <c r="R52" i="1" s="1"/>
  <c r="S52" i="1" s="1"/>
  <c r="T52" i="1" s="1"/>
  <c r="U52" i="1" s="1"/>
  <c r="V52" i="1" s="1"/>
  <c r="W52" i="1" s="1"/>
  <c r="E70" i="5"/>
  <c r="E155" i="5"/>
  <c r="F54" i="1"/>
  <c r="G54" i="1" s="1"/>
  <c r="Z50" i="1" l="1"/>
  <c r="Y51" i="1"/>
  <c r="X52" i="1"/>
  <c r="H155" i="5"/>
  <c r="AG70" i="5"/>
  <c r="S70" i="5"/>
  <c r="X70" i="5"/>
  <c r="W70" i="5"/>
  <c r="V70" i="5"/>
  <c r="R70" i="5"/>
  <c r="AE70" i="5"/>
  <c r="AF70" i="5"/>
  <c r="Z70" i="5"/>
  <c r="AA70" i="5"/>
  <c r="Y70" i="5"/>
  <c r="U70" i="5"/>
  <c r="T70" i="5"/>
  <c r="AD70" i="5"/>
  <c r="AC70" i="5"/>
  <c r="AB70" i="5"/>
  <c r="F155" i="5"/>
  <c r="H54" i="1"/>
  <c r="BK56" i="1"/>
  <c r="BL56" i="1" s="1"/>
  <c r="BM56" i="1" s="1"/>
  <c r="BN56" i="1" s="1"/>
  <c r="BO56" i="1" s="1"/>
  <c r="BP56" i="1" s="1"/>
  <c r="Q53" i="1"/>
  <c r="R53" i="1" s="1"/>
  <c r="S53" i="1" s="1"/>
  <c r="T53" i="1" s="1"/>
  <c r="U53" i="1" s="1"/>
  <c r="V53" i="1" s="1"/>
  <c r="W53" i="1" s="1"/>
  <c r="I54" i="1"/>
  <c r="J54" i="1" s="1"/>
  <c r="K54" i="1" s="1"/>
  <c r="L54" i="1" s="1"/>
  <c r="M54" i="1" s="1"/>
  <c r="N54" i="1" s="1"/>
  <c r="O54" i="1" s="1"/>
  <c r="P54" i="1" s="1"/>
  <c r="E156" i="5"/>
  <c r="E71" i="5"/>
  <c r="F60" i="1"/>
  <c r="G60" i="1" s="1"/>
  <c r="Z51" i="1" l="1"/>
  <c r="Y52" i="1"/>
  <c r="X53" i="1"/>
  <c r="H156" i="5"/>
  <c r="F71" i="5"/>
  <c r="F156" i="5"/>
  <c r="H60" i="1"/>
  <c r="I60" i="1" s="1"/>
  <c r="J60" i="1" s="1"/>
  <c r="K60" i="1" s="1"/>
  <c r="L60" i="1" s="1"/>
  <c r="M60" i="1" s="1"/>
  <c r="N60" i="1" s="1"/>
  <c r="O60" i="1" s="1"/>
  <c r="P60" i="1" s="1"/>
  <c r="Q54" i="1"/>
  <c r="R54" i="1" s="1"/>
  <c r="S54" i="1" s="1"/>
  <c r="T54" i="1" s="1"/>
  <c r="U54" i="1" s="1"/>
  <c r="V54" i="1" s="1"/>
  <c r="W54" i="1" s="1"/>
  <c r="E72" i="5"/>
  <c r="E157" i="5"/>
  <c r="F61" i="1"/>
  <c r="G61" i="1" s="1"/>
  <c r="Z52" i="1" l="1"/>
  <c r="Y53" i="1"/>
  <c r="X54" i="1"/>
  <c r="H157" i="5"/>
  <c r="H72" i="5"/>
  <c r="F157" i="5"/>
  <c r="F72" i="5"/>
  <c r="H61" i="1"/>
  <c r="I61" i="1" s="1"/>
  <c r="J61" i="1" s="1"/>
  <c r="K61" i="1" s="1"/>
  <c r="L61" i="1" s="1"/>
  <c r="M61" i="1" s="1"/>
  <c r="N61" i="1" s="1"/>
  <c r="O61" i="1" s="1"/>
  <c r="P61" i="1" s="1"/>
  <c r="Q60" i="1"/>
  <c r="R60" i="1" s="1"/>
  <c r="S60" i="1" s="1"/>
  <c r="T60" i="1" s="1"/>
  <c r="U60" i="1" s="1"/>
  <c r="V60" i="1" s="1"/>
  <c r="W60" i="1" s="1"/>
  <c r="E158" i="5"/>
  <c r="E73" i="5"/>
  <c r="F62" i="1"/>
  <c r="G62" i="1" s="1"/>
  <c r="Z53" i="1" l="1"/>
  <c r="Y54" i="1"/>
  <c r="X60" i="1"/>
  <c r="H158" i="5"/>
  <c r="H73" i="5"/>
  <c r="F73" i="5"/>
  <c r="F158" i="5"/>
  <c r="H62" i="1"/>
  <c r="I62" i="1" s="1"/>
  <c r="J62" i="1" s="1"/>
  <c r="K62" i="1" s="1"/>
  <c r="L62" i="1" s="1"/>
  <c r="M62" i="1" s="1"/>
  <c r="N62" i="1" s="1"/>
  <c r="O62" i="1" s="1"/>
  <c r="P62" i="1" s="1"/>
  <c r="Q61" i="1"/>
  <c r="R61" i="1" s="1"/>
  <c r="S61" i="1" s="1"/>
  <c r="T61" i="1" s="1"/>
  <c r="U61" i="1" s="1"/>
  <c r="V61" i="1" s="1"/>
  <c r="W61" i="1" s="1"/>
  <c r="E74" i="5"/>
  <c r="E159" i="5"/>
  <c r="F63" i="1"/>
  <c r="G63" i="1" s="1"/>
  <c r="Z54" i="1" l="1"/>
  <c r="Y60" i="1"/>
  <c r="X61" i="1"/>
  <c r="H159" i="5"/>
  <c r="H74" i="5"/>
  <c r="F159" i="5"/>
  <c r="F74" i="5"/>
  <c r="H63" i="1"/>
  <c r="I63" i="1" s="1"/>
  <c r="J63" i="1" s="1"/>
  <c r="K63" i="1" s="1"/>
  <c r="L63" i="1" s="1"/>
  <c r="M63" i="1" s="1"/>
  <c r="N63" i="1" s="1"/>
  <c r="O63" i="1" s="1"/>
  <c r="P63" i="1" s="1"/>
  <c r="Q62" i="1"/>
  <c r="R62" i="1" s="1"/>
  <c r="S62" i="1" s="1"/>
  <c r="T62" i="1" s="1"/>
  <c r="U62" i="1" s="1"/>
  <c r="V62" i="1" s="1"/>
  <c r="W62" i="1" s="1"/>
  <c r="E160" i="5"/>
  <c r="E75" i="5"/>
  <c r="F64" i="1"/>
  <c r="G64" i="1" s="1"/>
  <c r="Z60" i="1" l="1"/>
  <c r="Y61" i="1"/>
  <c r="X62" i="1"/>
  <c r="H160" i="5"/>
  <c r="H75" i="5"/>
  <c r="F75" i="5"/>
  <c r="F160" i="5"/>
  <c r="H64" i="1"/>
  <c r="I64" i="1" s="1"/>
  <c r="J64" i="1" s="1"/>
  <c r="K64" i="1" s="1"/>
  <c r="L64" i="1" s="1"/>
  <c r="M64" i="1" s="1"/>
  <c r="N64" i="1" s="1"/>
  <c r="O64" i="1" s="1"/>
  <c r="P64" i="1" s="1"/>
  <c r="Q63" i="1"/>
  <c r="R63" i="1" s="1"/>
  <c r="S63" i="1" s="1"/>
  <c r="T63" i="1" s="1"/>
  <c r="U63" i="1" s="1"/>
  <c r="V63" i="1" s="1"/>
  <c r="W63" i="1" s="1"/>
  <c r="E76" i="5"/>
  <c r="E161" i="5"/>
  <c r="F65" i="1"/>
  <c r="G65" i="1" s="1"/>
  <c r="Z61" i="1" l="1"/>
  <c r="Y62" i="1"/>
  <c r="X63" i="1"/>
  <c r="H161" i="5"/>
  <c r="H76" i="5"/>
  <c r="F161" i="5"/>
  <c r="F76" i="5"/>
  <c r="H65" i="1"/>
  <c r="I65" i="1" s="1"/>
  <c r="J65" i="1" s="1"/>
  <c r="K65" i="1" s="1"/>
  <c r="L65" i="1" s="1"/>
  <c r="M65" i="1" s="1"/>
  <c r="N65" i="1" s="1"/>
  <c r="O65" i="1" s="1"/>
  <c r="P65" i="1" s="1"/>
  <c r="Q64" i="1"/>
  <c r="R64" i="1" s="1"/>
  <c r="S64" i="1" s="1"/>
  <c r="T64" i="1" s="1"/>
  <c r="U64" i="1" s="1"/>
  <c r="V64" i="1" s="1"/>
  <c r="W64" i="1" s="1"/>
  <c r="E162" i="5"/>
  <c r="E77" i="5"/>
  <c r="F66" i="1"/>
  <c r="G66" i="1" s="1"/>
  <c r="Z62" i="1" l="1"/>
  <c r="Y63" i="1"/>
  <c r="X64" i="1"/>
  <c r="P77" i="5"/>
  <c r="O77" i="5"/>
  <c r="Q77" i="5"/>
  <c r="H162" i="5"/>
  <c r="H77" i="5"/>
  <c r="F77" i="5"/>
  <c r="F162" i="5"/>
  <c r="H66" i="1"/>
  <c r="I66" i="1" s="1"/>
  <c r="J66" i="1" s="1"/>
  <c r="K66" i="1" s="1"/>
  <c r="L66" i="1" s="1"/>
  <c r="M66" i="1" s="1"/>
  <c r="N66" i="1" s="1"/>
  <c r="O66" i="1" s="1"/>
  <c r="P66" i="1" s="1"/>
  <c r="Q65" i="1"/>
  <c r="R65" i="1" s="1"/>
  <c r="S65" i="1" s="1"/>
  <c r="T65" i="1" s="1"/>
  <c r="U65" i="1" s="1"/>
  <c r="V65" i="1" s="1"/>
  <c r="W65" i="1" s="1"/>
  <c r="E78" i="5"/>
  <c r="E163" i="5"/>
  <c r="F67" i="1"/>
  <c r="G67" i="1" s="1"/>
  <c r="Z63" i="1" l="1"/>
  <c r="Y64" i="1"/>
  <c r="X65" i="1"/>
  <c r="H163" i="5"/>
  <c r="AE78" i="5"/>
  <c r="AC78" i="5"/>
  <c r="AG78" i="5"/>
  <c r="AF78" i="5"/>
  <c r="AD78" i="5"/>
  <c r="Y78" i="5"/>
  <c r="X78" i="5"/>
  <c r="W78" i="5"/>
  <c r="V78" i="5"/>
  <c r="T78" i="5"/>
  <c r="AB78" i="5"/>
  <c r="AA78" i="5"/>
  <c r="R78" i="5"/>
  <c r="Z78" i="5"/>
  <c r="U78" i="5"/>
  <c r="S78" i="5"/>
  <c r="F163" i="5"/>
  <c r="H67" i="1"/>
  <c r="I67" i="1" s="1"/>
  <c r="J67" i="1" s="1"/>
  <c r="K67" i="1" s="1"/>
  <c r="L67" i="1" s="1"/>
  <c r="M67" i="1" s="1"/>
  <c r="N67" i="1" s="1"/>
  <c r="O67" i="1" s="1"/>
  <c r="P67" i="1" s="1"/>
  <c r="Q66" i="1"/>
  <c r="R66" i="1" s="1"/>
  <c r="S66" i="1" s="1"/>
  <c r="T66" i="1" s="1"/>
  <c r="U66" i="1" s="1"/>
  <c r="V66" i="1" s="1"/>
  <c r="W66" i="1" s="1"/>
  <c r="E164" i="5"/>
  <c r="E79" i="5"/>
  <c r="F68" i="1"/>
  <c r="G68" i="1" s="1"/>
  <c r="Z64" i="1" l="1"/>
  <c r="Y65" i="1"/>
  <c r="X66" i="1"/>
  <c r="H164" i="5"/>
  <c r="AC79" i="5"/>
  <c r="AA79" i="5"/>
  <c r="AG79" i="5"/>
  <c r="AF79" i="5"/>
  <c r="AE79" i="5"/>
  <c r="AD79" i="5"/>
  <c r="AB79" i="5"/>
  <c r="Z79" i="5"/>
  <c r="Y79" i="5"/>
  <c r="W79" i="5"/>
  <c r="U79" i="5"/>
  <c r="T79" i="5"/>
  <c r="S79" i="5"/>
  <c r="R79" i="5"/>
  <c r="X79" i="5"/>
  <c r="V79" i="5"/>
  <c r="F164" i="5"/>
  <c r="H68" i="1"/>
  <c r="I68" i="1" s="1"/>
  <c r="J68" i="1" s="1"/>
  <c r="K68" i="1" s="1"/>
  <c r="L68" i="1" s="1"/>
  <c r="M68" i="1" s="1"/>
  <c r="N68" i="1" s="1"/>
  <c r="O68" i="1" s="1"/>
  <c r="P68" i="1" s="1"/>
  <c r="Q67" i="1"/>
  <c r="R67" i="1" s="1"/>
  <c r="S67" i="1" s="1"/>
  <c r="T67" i="1" s="1"/>
  <c r="U67" i="1" s="1"/>
  <c r="V67" i="1" s="1"/>
  <c r="W67" i="1" s="1"/>
  <c r="E80" i="5"/>
  <c r="E165" i="5"/>
  <c r="F69" i="1"/>
  <c r="G69" i="1" s="1"/>
  <c r="Z65" i="1" l="1"/>
  <c r="Y66" i="1"/>
  <c r="X67" i="1"/>
  <c r="H165" i="5"/>
  <c r="AA80" i="5"/>
  <c r="Y80" i="5"/>
  <c r="AG80" i="5"/>
  <c r="AF80" i="5"/>
  <c r="AE80" i="5"/>
  <c r="AD80" i="5"/>
  <c r="AB80" i="5"/>
  <c r="AC80" i="5"/>
  <c r="Z80" i="5"/>
  <c r="X80" i="5"/>
  <c r="S80" i="5"/>
  <c r="U80" i="5"/>
  <c r="T80" i="5"/>
  <c r="R80" i="5"/>
  <c r="W80" i="5"/>
  <c r="V80" i="5"/>
  <c r="F165" i="5"/>
  <c r="H69" i="1"/>
  <c r="Q68" i="1"/>
  <c r="R68" i="1" s="1"/>
  <c r="S68" i="1" s="1"/>
  <c r="T68" i="1" s="1"/>
  <c r="U68" i="1" s="1"/>
  <c r="V68" i="1" s="1"/>
  <c r="W68" i="1" s="1"/>
  <c r="I69" i="1"/>
  <c r="J69" i="1" s="1"/>
  <c r="K69" i="1" s="1"/>
  <c r="L69" i="1" s="1"/>
  <c r="M69" i="1" s="1"/>
  <c r="N69" i="1" s="1"/>
  <c r="O69" i="1" s="1"/>
  <c r="P69" i="1" s="1"/>
  <c r="E166" i="5"/>
  <c r="E81" i="5"/>
  <c r="F72" i="1"/>
  <c r="G72" i="1" s="1"/>
  <c r="Z66" i="1" l="1"/>
  <c r="Y67" i="1"/>
  <c r="X68" i="1"/>
  <c r="H166" i="5"/>
  <c r="I81" i="5"/>
  <c r="F166" i="5"/>
  <c r="H72" i="1"/>
  <c r="I72" i="1" s="1"/>
  <c r="J72" i="1" s="1"/>
  <c r="K72" i="1" s="1"/>
  <c r="L72" i="1" s="1"/>
  <c r="M72" i="1" s="1"/>
  <c r="N72" i="1" s="1"/>
  <c r="O72" i="1" s="1"/>
  <c r="P72" i="1" s="1"/>
  <c r="Q69" i="1"/>
  <c r="R69" i="1" s="1"/>
  <c r="S69" i="1" s="1"/>
  <c r="T69" i="1" s="1"/>
  <c r="U69" i="1" s="1"/>
  <c r="V69" i="1" s="1"/>
  <c r="W69" i="1" s="1"/>
  <c r="E82" i="5"/>
  <c r="G82" i="5" s="1"/>
  <c r="E167" i="5"/>
  <c r="F77" i="1"/>
  <c r="G77" i="1" s="1"/>
  <c r="F73" i="1"/>
  <c r="G73" i="1" s="1"/>
  <c r="Z67" i="1" l="1"/>
  <c r="Y68" i="1"/>
  <c r="X69" i="1"/>
  <c r="H167" i="5"/>
  <c r="F167" i="5"/>
  <c r="F82" i="5"/>
  <c r="H73" i="1"/>
  <c r="H77" i="1"/>
  <c r="Q72" i="1"/>
  <c r="R72" i="1" s="1"/>
  <c r="S72" i="1" s="1"/>
  <c r="T72" i="1" s="1"/>
  <c r="U72" i="1" s="1"/>
  <c r="V72" i="1" s="1"/>
  <c r="W72" i="1" s="1"/>
  <c r="I73" i="1"/>
  <c r="J73" i="1" s="1"/>
  <c r="K73" i="1" s="1"/>
  <c r="L73" i="1" s="1"/>
  <c r="M73" i="1" s="1"/>
  <c r="N73" i="1" s="1"/>
  <c r="O73" i="1" s="1"/>
  <c r="P73" i="1" s="1"/>
  <c r="I77" i="1"/>
  <c r="J77" i="1" s="1"/>
  <c r="K77" i="1" s="1"/>
  <c r="L77" i="1" s="1"/>
  <c r="M77" i="1" s="1"/>
  <c r="N77" i="1" s="1"/>
  <c r="O77" i="1" s="1"/>
  <c r="P77" i="1" s="1"/>
  <c r="E168" i="5"/>
  <c r="E83" i="5"/>
  <c r="F89" i="1"/>
  <c r="G89" i="1" s="1"/>
  <c r="F83" i="1"/>
  <c r="G83" i="1" s="1"/>
  <c r="F74" i="1"/>
  <c r="G74" i="1" s="1"/>
  <c r="Z68" i="1" l="1"/>
  <c r="Y69" i="1"/>
  <c r="X72" i="1"/>
  <c r="P83" i="5"/>
  <c r="Q83" i="5"/>
  <c r="O83" i="5"/>
  <c r="H168" i="5"/>
  <c r="H83" i="5"/>
  <c r="F83" i="5"/>
  <c r="F168" i="5"/>
  <c r="H83" i="1"/>
  <c r="I83" i="1" s="1"/>
  <c r="J83" i="1" s="1"/>
  <c r="K83" i="1" s="1"/>
  <c r="L83" i="1" s="1"/>
  <c r="M83" i="1" s="1"/>
  <c r="N83" i="1" s="1"/>
  <c r="O83" i="1" s="1"/>
  <c r="P83" i="1" s="1"/>
  <c r="H74" i="1"/>
  <c r="I74" i="1" s="1"/>
  <c r="J74" i="1" s="1"/>
  <c r="K74" i="1" s="1"/>
  <c r="L74" i="1" s="1"/>
  <c r="M74" i="1" s="1"/>
  <c r="N74" i="1" s="1"/>
  <c r="O74" i="1" s="1"/>
  <c r="P74" i="1" s="1"/>
  <c r="H89" i="1"/>
  <c r="I89" i="1" s="1"/>
  <c r="J89" i="1" s="1"/>
  <c r="K89" i="1" s="1"/>
  <c r="L89" i="1" s="1"/>
  <c r="M89" i="1" s="1"/>
  <c r="N89" i="1" s="1"/>
  <c r="O89" i="1" s="1"/>
  <c r="P89" i="1" s="1"/>
  <c r="Q73" i="1"/>
  <c r="R73" i="1" s="1"/>
  <c r="S73" i="1" s="1"/>
  <c r="T73" i="1" s="1"/>
  <c r="U73" i="1" s="1"/>
  <c r="V73" i="1" s="1"/>
  <c r="W73" i="1" s="1"/>
  <c r="Q77" i="1"/>
  <c r="R77" i="1" s="1"/>
  <c r="S77" i="1" s="1"/>
  <c r="T77" i="1" s="1"/>
  <c r="U77" i="1" s="1"/>
  <c r="V77" i="1" s="1"/>
  <c r="W77" i="1" s="1"/>
  <c r="E84" i="5"/>
  <c r="E169" i="5"/>
  <c r="F75" i="1"/>
  <c r="G75" i="1" s="1"/>
  <c r="Z69" i="1" l="1"/>
  <c r="Y72" i="1"/>
  <c r="X77" i="1"/>
  <c r="Y77" i="1" s="1"/>
  <c r="AA77" i="1" s="1"/>
  <c r="AB77" i="1" s="1"/>
  <c r="AC77" i="1" s="1"/>
  <c r="AD77" i="1" s="1"/>
  <c r="AE77" i="1" s="1"/>
  <c r="AF77" i="1" s="1"/>
  <c r="AG77" i="1" s="1"/>
  <c r="AH77" i="1" s="1"/>
  <c r="AI77" i="1" s="1"/>
  <c r="AJ77" i="1" s="1"/>
  <c r="AK77" i="1" s="1"/>
  <c r="AL77" i="1" s="1"/>
  <c r="AM77" i="1" s="1"/>
  <c r="AN77" i="1" s="1"/>
  <c r="AO77" i="1" s="1"/>
  <c r="AP77" i="1" s="1"/>
  <c r="AQ77" i="1" s="1"/>
  <c r="AR77" i="1" s="1"/>
  <c r="AS77" i="1" s="1"/>
  <c r="AT77" i="1" s="1"/>
  <c r="AU77" i="1" s="1"/>
  <c r="AV77" i="1" s="1"/>
  <c r="AW77" i="1" s="1"/>
  <c r="AX77" i="1" s="1"/>
  <c r="AY77" i="1" s="1"/>
  <c r="AZ77" i="1" s="1"/>
  <c r="BA77" i="1" s="1"/>
  <c r="BB77" i="1" s="1"/>
  <c r="BC77" i="1" s="1"/>
  <c r="BD77" i="1" s="1"/>
  <c r="BE77" i="1" s="1"/>
  <c r="BF77" i="1" s="1"/>
  <c r="BG77" i="1" s="1"/>
  <c r="BH77" i="1" s="1"/>
  <c r="BI77" i="1" s="1"/>
  <c r="BJ77" i="1" s="1"/>
  <c r="X73" i="1"/>
  <c r="H169" i="5"/>
  <c r="AG84" i="5"/>
  <c r="S84" i="5"/>
  <c r="AE84" i="5"/>
  <c r="R84" i="5"/>
  <c r="AF84" i="5"/>
  <c r="AD84" i="5"/>
  <c r="AC84" i="5"/>
  <c r="AB84" i="5"/>
  <c r="Z84" i="5"/>
  <c r="AA84" i="5"/>
  <c r="Y84" i="5"/>
  <c r="T84" i="5"/>
  <c r="X84" i="5"/>
  <c r="U84" i="5"/>
  <c r="W84" i="5"/>
  <c r="V84" i="5"/>
  <c r="F169" i="5"/>
  <c r="H75" i="1"/>
  <c r="I75" i="1" s="1"/>
  <c r="J75" i="1" s="1"/>
  <c r="K75" i="1" s="1"/>
  <c r="L75" i="1" s="1"/>
  <c r="M75" i="1" s="1"/>
  <c r="N75" i="1" s="1"/>
  <c r="O75" i="1" s="1"/>
  <c r="P75" i="1" s="1"/>
  <c r="Q89" i="1"/>
  <c r="R89" i="1" s="1"/>
  <c r="S89" i="1" s="1"/>
  <c r="T89" i="1" s="1"/>
  <c r="U89" i="1" s="1"/>
  <c r="V89" i="1" s="1"/>
  <c r="W89" i="1" s="1"/>
  <c r="Q74" i="1"/>
  <c r="R74" i="1" s="1"/>
  <c r="S74" i="1" s="1"/>
  <c r="T74" i="1" s="1"/>
  <c r="U74" i="1" s="1"/>
  <c r="V74" i="1" s="1"/>
  <c r="W74" i="1" s="1"/>
  <c r="Q83" i="1"/>
  <c r="R83" i="1" s="1"/>
  <c r="S83" i="1" s="1"/>
  <c r="T83" i="1" s="1"/>
  <c r="U83" i="1" s="1"/>
  <c r="V83" i="1" s="1"/>
  <c r="W83" i="1" s="1"/>
  <c r="E170" i="5"/>
  <c r="E85" i="5"/>
  <c r="F76" i="1"/>
  <c r="G76" i="1" s="1"/>
  <c r="Z72" i="1" l="1"/>
  <c r="Y73" i="1"/>
  <c r="X74" i="1"/>
  <c r="X83" i="1"/>
  <c r="Y83" i="1" s="1"/>
  <c r="AA83" i="1"/>
  <c r="X89" i="1"/>
  <c r="Y89" i="1" s="1"/>
  <c r="AA89" i="1" s="1"/>
  <c r="AB89" i="1" s="1"/>
  <c r="AC89" i="1" s="1"/>
  <c r="AD89" i="1" s="1"/>
  <c r="AE89" i="1" s="1"/>
  <c r="AF89" i="1" s="1"/>
  <c r="AG89" i="1" s="1"/>
  <c r="AH89" i="1" s="1"/>
  <c r="AI89" i="1" s="1"/>
  <c r="AJ89" i="1" s="1"/>
  <c r="AK89" i="1" s="1"/>
  <c r="AL89" i="1" s="1"/>
  <c r="AM89" i="1" s="1"/>
  <c r="AN89" i="1" s="1"/>
  <c r="AO89" i="1" s="1"/>
  <c r="AP89" i="1" s="1"/>
  <c r="AQ89" i="1" s="1"/>
  <c r="AR89" i="1" s="1"/>
  <c r="AS89" i="1" s="1"/>
  <c r="AT89" i="1" s="1"/>
  <c r="AU89" i="1" s="1"/>
  <c r="AV89" i="1" s="1"/>
  <c r="AW89" i="1" s="1"/>
  <c r="AX89" i="1" s="1"/>
  <c r="AY89" i="1" s="1"/>
  <c r="AZ89" i="1" s="1"/>
  <c r="BA89" i="1" s="1"/>
  <c r="BB89" i="1" s="1"/>
  <c r="BC89" i="1" s="1"/>
  <c r="BD89" i="1" s="1"/>
  <c r="BE89" i="1" s="1"/>
  <c r="BF89" i="1" s="1"/>
  <c r="BG89" i="1" s="1"/>
  <c r="BH89" i="1" s="1"/>
  <c r="BI89" i="1" s="1"/>
  <c r="BJ89" i="1" s="1"/>
  <c r="H170" i="5"/>
  <c r="AE85" i="5"/>
  <c r="AC85" i="5"/>
  <c r="S85" i="5"/>
  <c r="R85" i="5"/>
  <c r="AG85" i="5"/>
  <c r="T85" i="5"/>
  <c r="AD85" i="5"/>
  <c r="X85" i="5"/>
  <c r="W85" i="5"/>
  <c r="V85" i="5"/>
  <c r="U85" i="5"/>
  <c r="AB85" i="5"/>
  <c r="AF85" i="5"/>
  <c r="AA85" i="5"/>
  <c r="Z85" i="5"/>
  <c r="Y85" i="5"/>
  <c r="F170" i="5"/>
  <c r="AB83" i="1"/>
  <c r="AC83" i="1" s="1"/>
  <c r="AD83" i="1" s="1"/>
  <c r="AE83" i="1" s="1"/>
  <c r="AF83" i="1" s="1"/>
  <c r="AG83" i="1" s="1"/>
  <c r="AH83" i="1" s="1"/>
  <c r="AI83" i="1" s="1"/>
  <c r="AJ83" i="1" s="1"/>
  <c r="AK83" i="1" s="1"/>
  <c r="AL83" i="1" s="1"/>
  <c r="AM83" i="1" s="1"/>
  <c r="AN83" i="1" s="1"/>
  <c r="AO83" i="1" s="1"/>
  <c r="AP83" i="1" s="1"/>
  <c r="AQ83" i="1" s="1"/>
  <c r="AR83" i="1" s="1"/>
  <c r="AS83" i="1" s="1"/>
  <c r="AT83" i="1" s="1"/>
  <c r="AU83" i="1" s="1"/>
  <c r="AV83" i="1" s="1"/>
  <c r="AW83" i="1" s="1"/>
  <c r="AX83" i="1" s="1"/>
  <c r="AY83" i="1" s="1"/>
  <c r="AZ83" i="1" s="1"/>
  <c r="BA83" i="1" s="1"/>
  <c r="BB83" i="1" s="1"/>
  <c r="BC83" i="1" s="1"/>
  <c r="BD83" i="1" s="1"/>
  <c r="BE83" i="1" s="1"/>
  <c r="BF83" i="1" s="1"/>
  <c r="BG83" i="1" s="1"/>
  <c r="BH83" i="1" s="1"/>
  <c r="BI83" i="1" s="1"/>
  <c r="BJ83" i="1" s="1"/>
  <c r="H76" i="1"/>
  <c r="I76" i="1" s="1"/>
  <c r="J76" i="1" s="1"/>
  <c r="K76" i="1" s="1"/>
  <c r="L76" i="1" s="1"/>
  <c r="M76" i="1" s="1"/>
  <c r="N76" i="1" s="1"/>
  <c r="O76" i="1" s="1"/>
  <c r="P76" i="1" s="1"/>
  <c r="Q75" i="1"/>
  <c r="R75" i="1" s="1"/>
  <c r="S75" i="1" s="1"/>
  <c r="T75" i="1" s="1"/>
  <c r="U75" i="1" s="1"/>
  <c r="V75" i="1" s="1"/>
  <c r="W75" i="1" s="1"/>
  <c r="E171" i="5"/>
  <c r="E86" i="5"/>
  <c r="F113" i="1"/>
  <c r="G113" i="1" s="1"/>
  <c r="Z73" i="1" l="1"/>
  <c r="Y74" i="1"/>
  <c r="X75" i="1"/>
  <c r="H171" i="5"/>
  <c r="AC86" i="5"/>
  <c r="AA86" i="5"/>
  <c r="S86" i="5"/>
  <c r="R86" i="5"/>
  <c r="AG86" i="5"/>
  <c r="W86" i="5"/>
  <c r="V86" i="5"/>
  <c r="U86" i="5"/>
  <c r="T86" i="5"/>
  <c r="AF86" i="5"/>
  <c r="AE86" i="5"/>
  <c r="AD86" i="5"/>
  <c r="AB86" i="5"/>
  <c r="Z86" i="5"/>
  <c r="Y86" i="5"/>
  <c r="X86" i="5"/>
  <c r="F171" i="5"/>
  <c r="H113" i="1"/>
  <c r="BK77" i="1"/>
  <c r="BL77" i="1" s="1"/>
  <c r="BM77" i="1" s="1"/>
  <c r="BN77" i="1" s="1"/>
  <c r="BO77" i="1" s="1"/>
  <c r="BP77" i="1" s="1"/>
  <c r="Q76" i="1"/>
  <c r="R76" i="1" s="1"/>
  <c r="S76" i="1" s="1"/>
  <c r="T76" i="1" s="1"/>
  <c r="U76" i="1" s="1"/>
  <c r="V76" i="1" s="1"/>
  <c r="W76" i="1" s="1"/>
  <c r="I113" i="1"/>
  <c r="J113" i="1" s="1"/>
  <c r="K113" i="1" s="1"/>
  <c r="L113" i="1" s="1"/>
  <c r="M113" i="1" s="1"/>
  <c r="N113" i="1" s="1"/>
  <c r="O113" i="1" s="1"/>
  <c r="P113" i="1" s="1"/>
  <c r="E172" i="5"/>
  <c r="E87" i="5"/>
  <c r="F114" i="1"/>
  <c r="G114" i="1" s="1"/>
  <c r="Z74" i="1" l="1"/>
  <c r="Y75" i="1"/>
  <c r="X76" i="1"/>
  <c r="H172" i="5"/>
  <c r="I87" i="5"/>
  <c r="F172" i="5"/>
  <c r="H114" i="1"/>
  <c r="BK83" i="1"/>
  <c r="BL83" i="1" s="1"/>
  <c r="BM83" i="1" s="1"/>
  <c r="BN83" i="1" s="1"/>
  <c r="BO83" i="1" s="1"/>
  <c r="BP83" i="1" s="1"/>
  <c r="BK89" i="1"/>
  <c r="BL89" i="1" s="1"/>
  <c r="BM89" i="1" s="1"/>
  <c r="BN89" i="1" s="1"/>
  <c r="BO89" i="1" s="1"/>
  <c r="BP89" i="1" s="1"/>
  <c r="Q113" i="1"/>
  <c r="R113" i="1" s="1"/>
  <c r="S113" i="1" s="1"/>
  <c r="T113" i="1" s="1"/>
  <c r="U113" i="1" s="1"/>
  <c r="V113" i="1" s="1"/>
  <c r="W113" i="1" s="1"/>
  <c r="I114" i="1"/>
  <c r="J114" i="1" s="1"/>
  <c r="K114" i="1" s="1"/>
  <c r="L114" i="1" s="1"/>
  <c r="M114" i="1" s="1"/>
  <c r="N114" i="1" s="1"/>
  <c r="O114" i="1" s="1"/>
  <c r="P114" i="1" s="1"/>
  <c r="E88" i="5"/>
  <c r="G88" i="5" s="1"/>
  <c r="E173" i="5"/>
  <c r="F115" i="1"/>
  <c r="G115" i="1" s="1"/>
  <c r="Z75" i="1" l="1"/>
  <c r="Y76" i="1"/>
  <c r="X113" i="1"/>
  <c r="H173" i="5"/>
  <c r="F173" i="5"/>
  <c r="F88" i="5"/>
  <c r="H115" i="1"/>
  <c r="I115" i="1" s="1"/>
  <c r="J115" i="1" s="1"/>
  <c r="K115" i="1" s="1"/>
  <c r="L115" i="1" s="1"/>
  <c r="M115" i="1" s="1"/>
  <c r="N115" i="1" s="1"/>
  <c r="O115" i="1" s="1"/>
  <c r="P115" i="1" s="1"/>
  <c r="Q114" i="1"/>
  <c r="R114" i="1" s="1"/>
  <c r="S114" i="1" s="1"/>
  <c r="T114" i="1" s="1"/>
  <c r="U114" i="1" s="1"/>
  <c r="V114" i="1" s="1"/>
  <c r="W114" i="1" s="1"/>
  <c r="E174" i="5"/>
  <c r="E89" i="5"/>
  <c r="F116" i="1"/>
  <c r="G116" i="1" s="1"/>
  <c r="Z76" i="1" l="1"/>
  <c r="Y113" i="1"/>
  <c r="X114" i="1"/>
  <c r="P89" i="5"/>
  <c r="Q89" i="5"/>
  <c r="O89" i="5"/>
  <c r="H174" i="5"/>
  <c r="H89" i="5"/>
  <c r="F89" i="5"/>
  <c r="F174" i="5"/>
  <c r="H116" i="1"/>
  <c r="I116" i="1" s="1"/>
  <c r="J116" i="1" s="1"/>
  <c r="K116" i="1" s="1"/>
  <c r="L116" i="1" s="1"/>
  <c r="M116" i="1" s="1"/>
  <c r="N116" i="1" s="1"/>
  <c r="O116" i="1" s="1"/>
  <c r="P116" i="1" s="1"/>
  <c r="Q115" i="1"/>
  <c r="R115" i="1" s="1"/>
  <c r="S115" i="1" s="1"/>
  <c r="T115" i="1" s="1"/>
  <c r="U115" i="1" s="1"/>
  <c r="V115" i="1" s="1"/>
  <c r="W115" i="1" s="1"/>
  <c r="E90" i="5"/>
  <c r="E175" i="5"/>
  <c r="F117" i="1"/>
  <c r="G117" i="1" s="1"/>
  <c r="Z113" i="1" l="1"/>
  <c r="Y114" i="1"/>
  <c r="X115" i="1"/>
  <c r="U90" i="5"/>
  <c r="AG90" i="5"/>
  <c r="S90" i="5"/>
  <c r="T90" i="5"/>
  <c r="R90" i="5"/>
  <c r="W90" i="5"/>
  <c r="V90" i="5"/>
  <c r="AF90" i="5"/>
  <c r="AE90" i="5"/>
  <c r="AD90" i="5"/>
  <c r="AC90" i="5"/>
  <c r="AB90" i="5"/>
  <c r="X90" i="5"/>
  <c r="AA90" i="5"/>
  <c r="Z90" i="5"/>
  <c r="Y90" i="5"/>
  <c r="F175" i="5"/>
  <c r="H117" i="1"/>
  <c r="I117" i="1" s="1"/>
  <c r="J117" i="1" s="1"/>
  <c r="K117" i="1" s="1"/>
  <c r="L117" i="1" s="1"/>
  <c r="M117" i="1" s="1"/>
  <c r="N117" i="1" s="1"/>
  <c r="O117" i="1" s="1"/>
  <c r="P117" i="1" s="1"/>
  <c r="Q116" i="1"/>
  <c r="R116" i="1" s="1"/>
  <c r="S116" i="1" s="1"/>
  <c r="T116" i="1" s="1"/>
  <c r="U116" i="1" s="1"/>
  <c r="V116" i="1" s="1"/>
  <c r="W116" i="1" s="1"/>
  <c r="E176" i="5"/>
  <c r="E91" i="5"/>
  <c r="F118" i="1"/>
  <c r="G118" i="1" s="1"/>
  <c r="Z114" i="1" l="1"/>
  <c r="Y115" i="1"/>
  <c r="X116" i="1"/>
  <c r="H176" i="5"/>
  <c r="AG91" i="5"/>
  <c r="S91" i="5"/>
  <c r="AE91" i="5"/>
  <c r="U91" i="5"/>
  <c r="T91" i="5"/>
  <c r="R91" i="5"/>
  <c r="Z91" i="5"/>
  <c r="Y91" i="5"/>
  <c r="X91" i="5"/>
  <c r="W91" i="5"/>
  <c r="AA91" i="5"/>
  <c r="V91" i="5"/>
  <c r="AF91" i="5"/>
  <c r="AC91" i="5"/>
  <c r="AD91" i="5"/>
  <c r="AB91" i="5"/>
  <c r="F176" i="5"/>
  <c r="H118" i="1"/>
  <c r="I118" i="1" s="1"/>
  <c r="J118" i="1" s="1"/>
  <c r="K118" i="1" s="1"/>
  <c r="L118" i="1" s="1"/>
  <c r="M118" i="1" s="1"/>
  <c r="N118" i="1" s="1"/>
  <c r="O118" i="1" s="1"/>
  <c r="P118" i="1" s="1"/>
  <c r="Q117" i="1"/>
  <c r="R117" i="1" s="1"/>
  <c r="S117" i="1" s="1"/>
  <c r="T117" i="1" s="1"/>
  <c r="U117" i="1" s="1"/>
  <c r="V117" i="1" s="1"/>
  <c r="W117" i="1" s="1"/>
  <c r="E92" i="5"/>
  <c r="E177" i="5"/>
  <c r="F119" i="1"/>
  <c r="G119" i="1" s="1"/>
  <c r="Z115" i="1" l="1"/>
  <c r="Y116" i="1"/>
  <c r="X117" i="1"/>
  <c r="H177" i="5"/>
  <c r="AE92" i="5"/>
  <c r="AC92" i="5"/>
  <c r="U92" i="5"/>
  <c r="T92" i="5"/>
  <c r="S92" i="5"/>
  <c r="AD92" i="5"/>
  <c r="AB92" i="5"/>
  <c r="AA92" i="5"/>
  <c r="Z92" i="5"/>
  <c r="X92" i="5"/>
  <c r="AG92" i="5"/>
  <c r="AF92" i="5"/>
  <c r="R92" i="5"/>
  <c r="Y92" i="5"/>
  <c r="V92" i="5"/>
  <c r="W92" i="5"/>
  <c r="F177" i="5"/>
  <c r="H119" i="1"/>
  <c r="I119" i="1" s="1"/>
  <c r="J119" i="1" s="1"/>
  <c r="K119" i="1" s="1"/>
  <c r="L119" i="1" s="1"/>
  <c r="M119" i="1" s="1"/>
  <c r="N119" i="1" s="1"/>
  <c r="O119" i="1" s="1"/>
  <c r="P119" i="1" s="1"/>
  <c r="Q118" i="1"/>
  <c r="R118" i="1" s="1"/>
  <c r="S118" i="1" s="1"/>
  <c r="T118" i="1" s="1"/>
  <c r="U118" i="1" s="1"/>
  <c r="V118" i="1" s="1"/>
  <c r="W118" i="1" s="1"/>
  <c r="E178" i="5"/>
  <c r="E93" i="5"/>
  <c r="F120" i="1"/>
  <c r="G120" i="1" s="1"/>
  <c r="Z116" i="1" l="1"/>
  <c r="Y117" i="1"/>
  <c r="X118" i="1"/>
  <c r="H178" i="5"/>
  <c r="I93" i="5"/>
  <c r="F178" i="5"/>
  <c r="H120" i="1"/>
  <c r="I120" i="1" s="1"/>
  <c r="J120" i="1" s="1"/>
  <c r="K120" i="1" s="1"/>
  <c r="L120" i="1" s="1"/>
  <c r="M120" i="1" s="1"/>
  <c r="N120" i="1" s="1"/>
  <c r="O120" i="1" s="1"/>
  <c r="P120" i="1" s="1"/>
  <c r="Q119" i="1"/>
  <c r="R119" i="1" s="1"/>
  <c r="S119" i="1" s="1"/>
  <c r="T119" i="1" s="1"/>
  <c r="U119" i="1" s="1"/>
  <c r="V119" i="1" s="1"/>
  <c r="W119" i="1" s="1"/>
  <c r="E179" i="5"/>
  <c r="E94" i="5"/>
  <c r="G94" i="5" s="1"/>
  <c r="F121" i="1"/>
  <c r="G121" i="1" s="1"/>
  <c r="Z117" i="1" l="1"/>
  <c r="Y118" i="1"/>
  <c r="X119" i="1"/>
  <c r="H179" i="5"/>
  <c r="F94" i="5"/>
  <c r="F179" i="5"/>
  <c r="H121" i="1"/>
  <c r="I121" i="1" s="1"/>
  <c r="J121" i="1" s="1"/>
  <c r="K121" i="1" s="1"/>
  <c r="L121" i="1" s="1"/>
  <c r="M121" i="1" s="1"/>
  <c r="N121" i="1" s="1"/>
  <c r="O121" i="1" s="1"/>
  <c r="P121" i="1" s="1"/>
  <c r="Q120" i="1"/>
  <c r="R120" i="1" s="1"/>
  <c r="S120" i="1" s="1"/>
  <c r="T120" i="1" s="1"/>
  <c r="U120" i="1" s="1"/>
  <c r="V120" i="1" s="1"/>
  <c r="W120" i="1" s="1"/>
  <c r="E180" i="5"/>
  <c r="F122" i="1"/>
  <c r="G122" i="1" s="1"/>
  <c r="Z118" i="1" l="1"/>
  <c r="Y119" i="1"/>
  <c r="X120" i="1"/>
  <c r="H180" i="5"/>
  <c r="F180" i="5"/>
  <c r="H122" i="1"/>
  <c r="I122" i="1" s="1"/>
  <c r="J122" i="1" s="1"/>
  <c r="K122" i="1" s="1"/>
  <c r="L122" i="1" s="1"/>
  <c r="M122" i="1" s="1"/>
  <c r="N122" i="1" s="1"/>
  <c r="O122" i="1" s="1"/>
  <c r="P122" i="1" s="1"/>
  <c r="Q121" i="1"/>
  <c r="R121" i="1" s="1"/>
  <c r="S121" i="1" s="1"/>
  <c r="T121" i="1" s="1"/>
  <c r="U121" i="1" s="1"/>
  <c r="V121" i="1" s="1"/>
  <c r="W121" i="1" s="1"/>
  <c r="E181" i="5"/>
  <c r="F123" i="1"/>
  <c r="G123" i="1" s="1"/>
  <c r="Z119" i="1" l="1"/>
  <c r="Y120" i="1"/>
  <c r="X121" i="1"/>
  <c r="AA181" i="5"/>
  <c r="AE181" i="5"/>
  <c r="AF181" i="5"/>
  <c r="AD181" i="5"/>
  <c r="AC181" i="5"/>
  <c r="AB181" i="5"/>
  <c r="Z181" i="5"/>
  <c r="Y181" i="5"/>
  <c r="AG181" i="5"/>
  <c r="V181" i="5"/>
  <c r="R181" i="5"/>
  <c r="X181" i="5"/>
  <c r="W181" i="5"/>
  <c r="T181" i="5"/>
  <c r="U181" i="5"/>
  <c r="S181" i="5"/>
  <c r="H123" i="1"/>
  <c r="I123" i="1" s="1"/>
  <c r="J123" i="1" s="1"/>
  <c r="K123" i="1" s="1"/>
  <c r="L123" i="1" s="1"/>
  <c r="M123" i="1" s="1"/>
  <c r="N123" i="1" s="1"/>
  <c r="O123" i="1" s="1"/>
  <c r="P123" i="1" s="1"/>
  <c r="Q122" i="1"/>
  <c r="R122" i="1" s="1"/>
  <c r="S122" i="1" s="1"/>
  <c r="T122" i="1" s="1"/>
  <c r="U122" i="1" s="1"/>
  <c r="V122" i="1" s="1"/>
  <c r="W122" i="1" s="1"/>
  <c r="E182" i="5"/>
  <c r="F124" i="1"/>
  <c r="G124" i="1" s="1"/>
  <c r="Z120" i="1" l="1"/>
  <c r="Y121" i="1"/>
  <c r="X122" i="1"/>
  <c r="Y182" i="5"/>
  <c r="AD182" i="5"/>
  <c r="AF182" i="5"/>
  <c r="AE182" i="5"/>
  <c r="AC182" i="5"/>
  <c r="AB182" i="5"/>
  <c r="AA182" i="5"/>
  <c r="Z182" i="5"/>
  <c r="S182" i="5"/>
  <c r="AG182" i="5"/>
  <c r="X182" i="5"/>
  <c r="T182" i="5"/>
  <c r="R182" i="5"/>
  <c r="W182" i="5"/>
  <c r="V182" i="5"/>
  <c r="U182" i="5"/>
  <c r="H124" i="1"/>
  <c r="I124" i="1" s="1"/>
  <c r="J124" i="1" s="1"/>
  <c r="K124" i="1" s="1"/>
  <c r="L124" i="1" s="1"/>
  <c r="M124" i="1" s="1"/>
  <c r="N124" i="1" s="1"/>
  <c r="O124" i="1" s="1"/>
  <c r="P124" i="1" s="1"/>
  <c r="Q123" i="1"/>
  <c r="R123" i="1" s="1"/>
  <c r="S123" i="1" s="1"/>
  <c r="T123" i="1" s="1"/>
  <c r="U123" i="1" s="1"/>
  <c r="V123" i="1" s="1"/>
  <c r="W123" i="1" s="1"/>
  <c r="E183" i="5"/>
  <c r="F125" i="1"/>
  <c r="G125" i="1" s="1"/>
  <c r="Z121" i="1" l="1"/>
  <c r="Y122" i="1"/>
  <c r="X123" i="1"/>
  <c r="W183" i="5"/>
  <c r="AC183" i="5"/>
  <c r="AF183" i="5"/>
  <c r="AE183" i="5"/>
  <c r="AD183" i="5"/>
  <c r="AB183" i="5"/>
  <c r="AA183" i="5"/>
  <c r="Z183" i="5"/>
  <c r="AG183" i="5"/>
  <c r="X183" i="5"/>
  <c r="T183" i="5"/>
  <c r="S183" i="5"/>
  <c r="R183" i="5"/>
  <c r="U183" i="5"/>
  <c r="Y183" i="5"/>
  <c r="V183" i="5"/>
  <c r="H125" i="1"/>
  <c r="I125" i="1" s="1"/>
  <c r="J125" i="1" s="1"/>
  <c r="K125" i="1" s="1"/>
  <c r="L125" i="1" s="1"/>
  <c r="M125" i="1" s="1"/>
  <c r="N125" i="1" s="1"/>
  <c r="O125" i="1" s="1"/>
  <c r="P125" i="1" s="1"/>
  <c r="Q124" i="1"/>
  <c r="R124" i="1" s="1"/>
  <c r="S124" i="1" s="1"/>
  <c r="T124" i="1" s="1"/>
  <c r="U124" i="1" s="1"/>
  <c r="V124" i="1" s="1"/>
  <c r="W124" i="1" s="1"/>
  <c r="E184" i="5"/>
  <c r="E185" i="5" s="1"/>
  <c r="F126" i="1"/>
  <c r="G126" i="1" s="1"/>
  <c r="Z122" i="1" l="1"/>
  <c r="Y123" i="1"/>
  <c r="X124" i="1"/>
  <c r="U184" i="5"/>
  <c r="AB184" i="5"/>
  <c r="AF184" i="5"/>
  <c r="AE184" i="5"/>
  <c r="AD184" i="5"/>
  <c r="AC184" i="5"/>
  <c r="AA184" i="5"/>
  <c r="Z184" i="5"/>
  <c r="AG184" i="5"/>
  <c r="Y184" i="5"/>
  <c r="X184" i="5"/>
  <c r="W184" i="5"/>
  <c r="T184" i="5"/>
  <c r="V184" i="5"/>
  <c r="S184" i="5"/>
  <c r="R184" i="5"/>
  <c r="H126" i="1"/>
  <c r="I126" i="1" s="1"/>
  <c r="J126" i="1" s="1"/>
  <c r="K126" i="1" s="1"/>
  <c r="L126" i="1" s="1"/>
  <c r="M126" i="1" s="1"/>
  <c r="N126" i="1" s="1"/>
  <c r="O126" i="1" s="1"/>
  <c r="P126" i="1" s="1"/>
  <c r="Q125" i="1"/>
  <c r="R125" i="1" s="1"/>
  <c r="S125" i="1" s="1"/>
  <c r="T125" i="1" s="1"/>
  <c r="U125" i="1" s="1"/>
  <c r="V125" i="1" s="1"/>
  <c r="W125" i="1" s="1"/>
  <c r="F127" i="1"/>
  <c r="G127" i="1" s="1"/>
  <c r="Z123" i="1" l="1"/>
  <c r="Y124" i="1"/>
  <c r="X125" i="1"/>
  <c r="AG185" i="5"/>
  <c r="S185" i="5"/>
  <c r="AA185" i="5"/>
  <c r="AF185" i="5"/>
  <c r="AE185" i="5"/>
  <c r="AD185" i="5"/>
  <c r="AC185" i="5"/>
  <c r="AB185" i="5"/>
  <c r="Z185" i="5"/>
  <c r="Y185" i="5"/>
  <c r="X185" i="5"/>
  <c r="V185" i="5"/>
  <c r="R185" i="5"/>
  <c r="W185" i="5"/>
  <c r="U185" i="5"/>
  <c r="T185" i="5"/>
  <c r="H127" i="1"/>
  <c r="I127" i="1" s="1"/>
  <c r="J127" i="1" s="1"/>
  <c r="K127" i="1" s="1"/>
  <c r="L127" i="1" s="1"/>
  <c r="M127" i="1" s="1"/>
  <c r="N127" i="1" s="1"/>
  <c r="O127" i="1" s="1"/>
  <c r="P127" i="1" s="1"/>
  <c r="Q126" i="1"/>
  <c r="R126" i="1" s="1"/>
  <c r="S126" i="1" s="1"/>
  <c r="T126" i="1" s="1"/>
  <c r="U126" i="1" s="1"/>
  <c r="V126" i="1" s="1"/>
  <c r="W126" i="1" s="1"/>
  <c r="F128" i="1"/>
  <c r="G128" i="1" s="1"/>
  <c r="Z124" i="1" l="1"/>
  <c r="Y125" i="1"/>
  <c r="X126" i="1"/>
  <c r="H128" i="1"/>
  <c r="I128" i="1" s="1"/>
  <c r="J128" i="1" s="1"/>
  <c r="K128" i="1" s="1"/>
  <c r="L128" i="1" s="1"/>
  <c r="M128" i="1" s="1"/>
  <c r="N128" i="1" s="1"/>
  <c r="O128" i="1" s="1"/>
  <c r="P128" i="1" s="1"/>
  <c r="Q127" i="1"/>
  <c r="R127" i="1" s="1"/>
  <c r="S127" i="1" s="1"/>
  <c r="T127" i="1" s="1"/>
  <c r="U127" i="1" s="1"/>
  <c r="V127" i="1" s="1"/>
  <c r="W127" i="1" s="1"/>
  <c r="F129" i="1"/>
  <c r="G129" i="1" s="1"/>
  <c r="Z125" i="1" l="1"/>
  <c r="Y126" i="1"/>
  <c r="X127" i="1"/>
  <c r="H129" i="1"/>
  <c r="I129" i="1" s="1"/>
  <c r="J129" i="1" s="1"/>
  <c r="K129" i="1" s="1"/>
  <c r="L129" i="1" s="1"/>
  <c r="M129" i="1" s="1"/>
  <c r="N129" i="1" s="1"/>
  <c r="O129" i="1" s="1"/>
  <c r="P129" i="1" s="1"/>
  <c r="Q128" i="1"/>
  <c r="R128" i="1" s="1"/>
  <c r="S128" i="1" s="1"/>
  <c r="T128" i="1" s="1"/>
  <c r="U128" i="1" s="1"/>
  <c r="V128" i="1" s="1"/>
  <c r="W128" i="1" s="1"/>
  <c r="F130" i="1"/>
  <c r="G130" i="1" s="1"/>
  <c r="Z126" i="1" l="1"/>
  <c r="Y127" i="1"/>
  <c r="X128" i="1"/>
  <c r="H130" i="1"/>
  <c r="I130" i="1" s="1"/>
  <c r="J130" i="1" s="1"/>
  <c r="K130" i="1" s="1"/>
  <c r="L130" i="1" s="1"/>
  <c r="M130" i="1" s="1"/>
  <c r="N130" i="1" s="1"/>
  <c r="O130" i="1" s="1"/>
  <c r="P130" i="1" s="1"/>
  <c r="Q129" i="1"/>
  <c r="R129" i="1" s="1"/>
  <c r="S129" i="1" s="1"/>
  <c r="T129" i="1" s="1"/>
  <c r="U129" i="1" s="1"/>
  <c r="V129" i="1" s="1"/>
  <c r="W129" i="1" s="1"/>
  <c r="F131" i="1"/>
  <c r="G131" i="1" s="1"/>
  <c r="Z127" i="1" l="1"/>
  <c r="Y128" i="1"/>
  <c r="X129" i="1"/>
  <c r="H131" i="1"/>
  <c r="I131" i="1" s="1"/>
  <c r="J131" i="1" s="1"/>
  <c r="K131" i="1" s="1"/>
  <c r="L131" i="1" s="1"/>
  <c r="M131" i="1" s="1"/>
  <c r="N131" i="1" s="1"/>
  <c r="O131" i="1" s="1"/>
  <c r="P131" i="1" s="1"/>
  <c r="Q130" i="1"/>
  <c r="R130" i="1" s="1"/>
  <c r="S130" i="1" s="1"/>
  <c r="T130" i="1" s="1"/>
  <c r="U130" i="1" s="1"/>
  <c r="V130" i="1" s="1"/>
  <c r="W130" i="1" s="1"/>
  <c r="F132" i="1"/>
  <c r="G132" i="1" s="1"/>
  <c r="Z128" i="1" l="1"/>
  <c r="Y129" i="1"/>
  <c r="X130" i="1"/>
  <c r="H132" i="1"/>
  <c r="I132" i="1" s="1"/>
  <c r="J132" i="1" s="1"/>
  <c r="K132" i="1" s="1"/>
  <c r="L132" i="1" s="1"/>
  <c r="M132" i="1" s="1"/>
  <c r="N132" i="1" s="1"/>
  <c r="O132" i="1" s="1"/>
  <c r="P132" i="1" s="1"/>
  <c r="Q131" i="1"/>
  <c r="R131" i="1" s="1"/>
  <c r="S131" i="1" s="1"/>
  <c r="T131" i="1" s="1"/>
  <c r="U131" i="1" s="1"/>
  <c r="V131" i="1" s="1"/>
  <c r="W131" i="1" s="1"/>
  <c r="F133" i="1"/>
  <c r="G133" i="1" s="1"/>
  <c r="Z129" i="1" l="1"/>
  <c r="Y130" i="1"/>
  <c r="X131" i="1"/>
  <c r="H133" i="1"/>
  <c r="I133" i="1" s="1"/>
  <c r="J133" i="1" s="1"/>
  <c r="K133" i="1" s="1"/>
  <c r="L133" i="1" s="1"/>
  <c r="M133" i="1" s="1"/>
  <c r="N133" i="1" s="1"/>
  <c r="O133" i="1" s="1"/>
  <c r="P133" i="1" s="1"/>
  <c r="Q132" i="1"/>
  <c r="R132" i="1" s="1"/>
  <c r="S132" i="1" s="1"/>
  <c r="T132" i="1" s="1"/>
  <c r="U132" i="1" s="1"/>
  <c r="V132" i="1" s="1"/>
  <c r="W132" i="1" s="1"/>
  <c r="F134" i="1"/>
  <c r="G134" i="1" s="1"/>
  <c r="Z130" i="1" l="1"/>
  <c r="Y131" i="1"/>
  <c r="X132" i="1"/>
  <c r="H134" i="1"/>
  <c r="I134" i="1" s="1"/>
  <c r="J134" i="1" s="1"/>
  <c r="K134" i="1" s="1"/>
  <c r="L134" i="1" s="1"/>
  <c r="M134" i="1" s="1"/>
  <c r="N134" i="1" s="1"/>
  <c r="O134" i="1" s="1"/>
  <c r="P134" i="1" s="1"/>
  <c r="Q133" i="1"/>
  <c r="R133" i="1" s="1"/>
  <c r="S133" i="1" s="1"/>
  <c r="T133" i="1" s="1"/>
  <c r="U133" i="1" s="1"/>
  <c r="V133" i="1" s="1"/>
  <c r="W133" i="1" s="1"/>
  <c r="F135" i="1"/>
  <c r="G135" i="1" s="1"/>
  <c r="Z131" i="1" l="1"/>
  <c r="Y132" i="1"/>
  <c r="X133" i="1"/>
  <c r="H135" i="1"/>
  <c r="I135" i="1" s="1"/>
  <c r="J135" i="1" s="1"/>
  <c r="K135" i="1" s="1"/>
  <c r="L135" i="1" s="1"/>
  <c r="M135" i="1" s="1"/>
  <c r="N135" i="1" s="1"/>
  <c r="O135" i="1" s="1"/>
  <c r="P135" i="1" s="1"/>
  <c r="Q134" i="1"/>
  <c r="R134" i="1" s="1"/>
  <c r="S134" i="1" s="1"/>
  <c r="T134" i="1" s="1"/>
  <c r="U134" i="1" s="1"/>
  <c r="V134" i="1" s="1"/>
  <c r="W134" i="1" s="1"/>
  <c r="F136" i="1"/>
  <c r="G136" i="1" s="1"/>
  <c r="Z132" i="1" l="1"/>
  <c r="Y133" i="1"/>
  <c r="X134" i="1"/>
  <c r="H136" i="1"/>
  <c r="I136" i="1" s="1"/>
  <c r="J136" i="1" s="1"/>
  <c r="K136" i="1" s="1"/>
  <c r="L136" i="1" s="1"/>
  <c r="M136" i="1" s="1"/>
  <c r="N136" i="1" s="1"/>
  <c r="O136" i="1" s="1"/>
  <c r="P136" i="1" s="1"/>
  <c r="Q135" i="1"/>
  <c r="R135" i="1" s="1"/>
  <c r="S135" i="1" s="1"/>
  <c r="T135" i="1" s="1"/>
  <c r="U135" i="1" s="1"/>
  <c r="V135" i="1" s="1"/>
  <c r="W135" i="1" s="1"/>
  <c r="F137" i="1"/>
  <c r="G137" i="1" s="1"/>
  <c r="Z133" i="1" l="1"/>
  <c r="Y134" i="1"/>
  <c r="X135" i="1"/>
  <c r="H137" i="1"/>
  <c r="I137" i="1" s="1"/>
  <c r="J137" i="1" s="1"/>
  <c r="K137" i="1" s="1"/>
  <c r="L137" i="1" s="1"/>
  <c r="M137" i="1" s="1"/>
  <c r="N137" i="1" s="1"/>
  <c r="O137" i="1" s="1"/>
  <c r="P137" i="1" s="1"/>
  <c r="Q136" i="1"/>
  <c r="R136" i="1" s="1"/>
  <c r="S136" i="1" s="1"/>
  <c r="T136" i="1" s="1"/>
  <c r="U136" i="1" s="1"/>
  <c r="V136" i="1" s="1"/>
  <c r="W136" i="1" s="1"/>
  <c r="F138" i="1"/>
  <c r="G138" i="1" s="1"/>
  <c r="Z134" i="1" l="1"/>
  <c r="Y135" i="1"/>
  <c r="X136" i="1"/>
  <c r="H138" i="1"/>
  <c r="I138" i="1" s="1"/>
  <c r="J138" i="1" s="1"/>
  <c r="K138" i="1" s="1"/>
  <c r="L138" i="1" s="1"/>
  <c r="M138" i="1" s="1"/>
  <c r="N138" i="1" s="1"/>
  <c r="O138" i="1" s="1"/>
  <c r="P138" i="1" s="1"/>
  <c r="Q137" i="1"/>
  <c r="R137" i="1" s="1"/>
  <c r="S137" i="1" s="1"/>
  <c r="T137" i="1" s="1"/>
  <c r="U137" i="1" s="1"/>
  <c r="V137" i="1" s="1"/>
  <c r="W137" i="1" s="1"/>
  <c r="F139" i="1"/>
  <c r="G139" i="1" s="1"/>
  <c r="Z135" i="1" l="1"/>
  <c r="Y136" i="1"/>
  <c r="X137" i="1"/>
  <c r="H139" i="1"/>
  <c r="I139" i="1" s="1"/>
  <c r="J139" i="1" s="1"/>
  <c r="K139" i="1" s="1"/>
  <c r="L139" i="1" s="1"/>
  <c r="M139" i="1" s="1"/>
  <c r="N139" i="1" s="1"/>
  <c r="O139" i="1" s="1"/>
  <c r="P139" i="1" s="1"/>
  <c r="Q138" i="1"/>
  <c r="R138" i="1" s="1"/>
  <c r="S138" i="1" s="1"/>
  <c r="T138" i="1" s="1"/>
  <c r="U138" i="1" s="1"/>
  <c r="V138" i="1" s="1"/>
  <c r="W138" i="1" s="1"/>
  <c r="F140" i="1"/>
  <c r="G140" i="1" s="1"/>
  <c r="Z136" i="1" l="1"/>
  <c r="Y137" i="1"/>
  <c r="X138" i="1"/>
  <c r="H140" i="1"/>
  <c r="I140" i="1" s="1"/>
  <c r="J140" i="1" s="1"/>
  <c r="K140" i="1" s="1"/>
  <c r="L140" i="1" s="1"/>
  <c r="M140" i="1" s="1"/>
  <c r="N140" i="1" s="1"/>
  <c r="O140" i="1" s="1"/>
  <c r="P140" i="1" s="1"/>
  <c r="Q139" i="1"/>
  <c r="R139" i="1" s="1"/>
  <c r="S139" i="1" s="1"/>
  <c r="T139" i="1" s="1"/>
  <c r="U139" i="1" s="1"/>
  <c r="V139" i="1" s="1"/>
  <c r="W139" i="1" s="1"/>
  <c r="F141" i="1"/>
  <c r="G141" i="1" s="1"/>
  <c r="Z137" i="1" l="1"/>
  <c r="Y138" i="1"/>
  <c r="X139" i="1"/>
  <c r="H141" i="1"/>
  <c r="I141" i="1" s="1"/>
  <c r="J141" i="1" s="1"/>
  <c r="K141" i="1" s="1"/>
  <c r="L141" i="1" s="1"/>
  <c r="M141" i="1" s="1"/>
  <c r="N141" i="1" s="1"/>
  <c r="O141" i="1" s="1"/>
  <c r="P141" i="1" s="1"/>
  <c r="Q140" i="1"/>
  <c r="R140" i="1" s="1"/>
  <c r="S140" i="1" s="1"/>
  <c r="T140" i="1" s="1"/>
  <c r="U140" i="1" s="1"/>
  <c r="V140" i="1" s="1"/>
  <c r="W140" i="1" s="1"/>
  <c r="F142" i="1"/>
  <c r="G142" i="1" s="1"/>
  <c r="Z138" i="1" l="1"/>
  <c r="Y139" i="1"/>
  <c r="X140" i="1"/>
  <c r="H142" i="1"/>
  <c r="I142" i="1" s="1"/>
  <c r="J142" i="1" s="1"/>
  <c r="K142" i="1" s="1"/>
  <c r="L142" i="1" s="1"/>
  <c r="M142" i="1" s="1"/>
  <c r="N142" i="1" s="1"/>
  <c r="O142" i="1" s="1"/>
  <c r="P142" i="1" s="1"/>
  <c r="Q141" i="1"/>
  <c r="R141" i="1" s="1"/>
  <c r="S141" i="1" s="1"/>
  <c r="T141" i="1" s="1"/>
  <c r="U141" i="1" s="1"/>
  <c r="V141" i="1" s="1"/>
  <c r="W141" i="1" s="1"/>
  <c r="F143" i="1"/>
  <c r="G143" i="1" s="1"/>
  <c r="Z139" i="1" l="1"/>
  <c r="Y140" i="1"/>
  <c r="X141" i="1"/>
  <c r="H143" i="1"/>
  <c r="I143" i="1" s="1"/>
  <c r="J143" i="1" s="1"/>
  <c r="K143" i="1" s="1"/>
  <c r="L143" i="1" s="1"/>
  <c r="M143" i="1" s="1"/>
  <c r="N143" i="1" s="1"/>
  <c r="O143" i="1" s="1"/>
  <c r="P143" i="1" s="1"/>
  <c r="Q142" i="1"/>
  <c r="R142" i="1" s="1"/>
  <c r="S142" i="1" s="1"/>
  <c r="T142" i="1" s="1"/>
  <c r="U142" i="1" s="1"/>
  <c r="V142" i="1" s="1"/>
  <c r="W142" i="1" s="1"/>
  <c r="F144" i="1"/>
  <c r="G144" i="1" s="1"/>
  <c r="Z140" i="1" l="1"/>
  <c r="Y141" i="1"/>
  <c r="X142" i="1"/>
  <c r="H144" i="1"/>
  <c r="I144" i="1" s="1"/>
  <c r="J144" i="1" s="1"/>
  <c r="K144" i="1" s="1"/>
  <c r="L144" i="1" s="1"/>
  <c r="M144" i="1" s="1"/>
  <c r="N144" i="1" s="1"/>
  <c r="O144" i="1" s="1"/>
  <c r="P144" i="1" s="1"/>
  <c r="Q143" i="1"/>
  <c r="R143" i="1" s="1"/>
  <c r="S143" i="1" s="1"/>
  <c r="T143" i="1" s="1"/>
  <c r="U143" i="1" s="1"/>
  <c r="V143" i="1" s="1"/>
  <c r="W143" i="1" s="1"/>
  <c r="F145" i="1"/>
  <c r="G145" i="1" s="1"/>
  <c r="Z141" i="1" l="1"/>
  <c r="Y142" i="1"/>
  <c r="X143" i="1"/>
  <c r="H145" i="1"/>
  <c r="I145" i="1" s="1"/>
  <c r="J145" i="1" s="1"/>
  <c r="K145" i="1" s="1"/>
  <c r="L145" i="1" s="1"/>
  <c r="M145" i="1" s="1"/>
  <c r="N145" i="1" s="1"/>
  <c r="O145" i="1" s="1"/>
  <c r="P145" i="1" s="1"/>
  <c r="Q144" i="1"/>
  <c r="R144" i="1" s="1"/>
  <c r="S144" i="1" s="1"/>
  <c r="T144" i="1" s="1"/>
  <c r="U144" i="1" s="1"/>
  <c r="V144" i="1" s="1"/>
  <c r="W144" i="1" s="1"/>
  <c r="F146" i="1"/>
  <c r="G146" i="1" s="1"/>
  <c r="Z142" i="1" l="1"/>
  <c r="Y143" i="1"/>
  <c r="X144" i="1"/>
  <c r="H146" i="1"/>
  <c r="I146" i="1" s="1"/>
  <c r="J146" i="1" s="1"/>
  <c r="K146" i="1" s="1"/>
  <c r="L146" i="1" s="1"/>
  <c r="M146" i="1" s="1"/>
  <c r="N146" i="1" s="1"/>
  <c r="O146" i="1" s="1"/>
  <c r="P146" i="1" s="1"/>
  <c r="Q145" i="1"/>
  <c r="R145" i="1" s="1"/>
  <c r="S145" i="1" s="1"/>
  <c r="T145" i="1" s="1"/>
  <c r="U145" i="1" s="1"/>
  <c r="V145" i="1" s="1"/>
  <c r="W145" i="1" s="1"/>
  <c r="F147" i="1"/>
  <c r="G147" i="1" s="1"/>
  <c r="Z143" i="1" l="1"/>
  <c r="Y144" i="1"/>
  <c r="X145" i="1"/>
  <c r="H147" i="1"/>
  <c r="I147" i="1" s="1"/>
  <c r="J147" i="1" s="1"/>
  <c r="K147" i="1" s="1"/>
  <c r="L147" i="1" s="1"/>
  <c r="M147" i="1" s="1"/>
  <c r="N147" i="1" s="1"/>
  <c r="O147" i="1" s="1"/>
  <c r="P147" i="1" s="1"/>
  <c r="Q146" i="1"/>
  <c r="R146" i="1" s="1"/>
  <c r="S146" i="1" s="1"/>
  <c r="T146" i="1" s="1"/>
  <c r="U146" i="1" s="1"/>
  <c r="V146" i="1" s="1"/>
  <c r="W146" i="1" s="1"/>
  <c r="F148" i="1"/>
  <c r="G148" i="1" s="1"/>
  <c r="Z144" i="1" l="1"/>
  <c r="Y145" i="1"/>
  <c r="X146" i="1"/>
  <c r="H148" i="1"/>
  <c r="I148" i="1" s="1"/>
  <c r="J148" i="1" s="1"/>
  <c r="K148" i="1" s="1"/>
  <c r="L148" i="1" s="1"/>
  <c r="M148" i="1" s="1"/>
  <c r="N148" i="1" s="1"/>
  <c r="O148" i="1" s="1"/>
  <c r="P148" i="1" s="1"/>
  <c r="Q147" i="1"/>
  <c r="R147" i="1" s="1"/>
  <c r="S147" i="1" s="1"/>
  <c r="T147" i="1" s="1"/>
  <c r="U147" i="1" s="1"/>
  <c r="V147" i="1" s="1"/>
  <c r="W147" i="1" s="1"/>
  <c r="F149" i="1"/>
  <c r="G149" i="1" s="1"/>
  <c r="Z145" i="1" l="1"/>
  <c r="Y146" i="1"/>
  <c r="X147" i="1"/>
  <c r="H149" i="1"/>
  <c r="I149" i="1" s="1"/>
  <c r="J149" i="1" s="1"/>
  <c r="K149" i="1" s="1"/>
  <c r="L149" i="1" s="1"/>
  <c r="M149" i="1" s="1"/>
  <c r="N149" i="1" s="1"/>
  <c r="O149" i="1" s="1"/>
  <c r="P149" i="1" s="1"/>
  <c r="Q148" i="1"/>
  <c r="R148" i="1" s="1"/>
  <c r="S148" i="1" s="1"/>
  <c r="T148" i="1" s="1"/>
  <c r="U148" i="1" s="1"/>
  <c r="V148" i="1" s="1"/>
  <c r="W148" i="1" s="1"/>
  <c r="F150" i="1"/>
  <c r="G150" i="1" s="1"/>
  <c r="Z146" i="1" l="1"/>
  <c r="Y147" i="1"/>
  <c r="X148" i="1"/>
  <c r="H150" i="1"/>
  <c r="I150" i="1" s="1"/>
  <c r="J150" i="1" s="1"/>
  <c r="K150" i="1" s="1"/>
  <c r="L150" i="1" s="1"/>
  <c r="M150" i="1" s="1"/>
  <c r="N150" i="1" s="1"/>
  <c r="O150" i="1" s="1"/>
  <c r="P150" i="1" s="1"/>
  <c r="Q149" i="1"/>
  <c r="R149" i="1" s="1"/>
  <c r="S149" i="1" s="1"/>
  <c r="T149" i="1" s="1"/>
  <c r="U149" i="1" s="1"/>
  <c r="V149" i="1" s="1"/>
  <c r="W149" i="1" s="1"/>
  <c r="F151" i="1"/>
  <c r="G151" i="1" s="1"/>
  <c r="Z147" i="1" l="1"/>
  <c r="Y148" i="1"/>
  <c r="X149" i="1"/>
  <c r="H151" i="1"/>
  <c r="I151" i="1" s="1"/>
  <c r="J151" i="1" s="1"/>
  <c r="K151" i="1" s="1"/>
  <c r="L151" i="1" s="1"/>
  <c r="M151" i="1" s="1"/>
  <c r="N151" i="1" s="1"/>
  <c r="O151" i="1" s="1"/>
  <c r="P151" i="1" s="1"/>
  <c r="Q150" i="1"/>
  <c r="R150" i="1" s="1"/>
  <c r="S150" i="1" s="1"/>
  <c r="T150" i="1" s="1"/>
  <c r="U150" i="1" s="1"/>
  <c r="V150" i="1" s="1"/>
  <c r="W150" i="1" s="1"/>
  <c r="F152" i="1"/>
  <c r="G152" i="1" s="1"/>
  <c r="Z148" i="1" l="1"/>
  <c r="Y149" i="1"/>
  <c r="X150" i="1"/>
  <c r="H152" i="1"/>
  <c r="I152" i="1" s="1"/>
  <c r="J152" i="1" s="1"/>
  <c r="K152" i="1" s="1"/>
  <c r="L152" i="1" s="1"/>
  <c r="M152" i="1" s="1"/>
  <c r="N152" i="1" s="1"/>
  <c r="O152" i="1" s="1"/>
  <c r="P152" i="1" s="1"/>
  <c r="Q151" i="1"/>
  <c r="R151" i="1" s="1"/>
  <c r="S151" i="1" s="1"/>
  <c r="T151" i="1" s="1"/>
  <c r="U151" i="1" s="1"/>
  <c r="V151" i="1" s="1"/>
  <c r="W151" i="1" s="1"/>
  <c r="F153" i="1"/>
  <c r="G153" i="1" s="1"/>
  <c r="Z149" i="1" l="1"/>
  <c r="Y150" i="1"/>
  <c r="X151" i="1"/>
  <c r="H153" i="1"/>
  <c r="I153" i="1" s="1"/>
  <c r="J153" i="1" s="1"/>
  <c r="K153" i="1" s="1"/>
  <c r="L153" i="1" s="1"/>
  <c r="M153" i="1" s="1"/>
  <c r="N153" i="1" s="1"/>
  <c r="O153" i="1" s="1"/>
  <c r="P153" i="1" s="1"/>
  <c r="Q152" i="1"/>
  <c r="R152" i="1" s="1"/>
  <c r="S152" i="1" s="1"/>
  <c r="T152" i="1" s="1"/>
  <c r="U152" i="1" s="1"/>
  <c r="V152" i="1" s="1"/>
  <c r="W152" i="1" s="1"/>
  <c r="F154" i="1"/>
  <c r="G154" i="1" s="1"/>
  <c r="Z150" i="1" l="1"/>
  <c r="Y151" i="1"/>
  <c r="X152" i="1"/>
  <c r="H154" i="1"/>
  <c r="I154" i="1" s="1"/>
  <c r="J154" i="1" s="1"/>
  <c r="K154" i="1" s="1"/>
  <c r="L154" i="1" s="1"/>
  <c r="M154" i="1" s="1"/>
  <c r="N154" i="1" s="1"/>
  <c r="O154" i="1" s="1"/>
  <c r="P154" i="1" s="1"/>
  <c r="Q153" i="1"/>
  <c r="R153" i="1" s="1"/>
  <c r="S153" i="1" s="1"/>
  <c r="T153" i="1" s="1"/>
  <c r="U153" i="1" s="1"/>
  <c r="V153" i="1" s="1"/>
  <c r="W153" i="1" s="1"/>
  <c r="F155" i="1"/>
  <c r="G155" i="1" s="1"/>
  <c r="Z151" i="1" l="1"/>
  <c r="Y152" i="1"/>
  <c r="X153" i="1"/>
  <c r="H155" i="1"/>
  <c r="I155" i="1" s="1"/>
  <c r="J155" i="1" s="1"/>
  <c r="K155" i="1" s="1"/>
  <c r="L155" i="1" s="1"/>
  <c r="M155" i="1" s="1"/>
  <c r="N155" i="1" s="1"/>
  <c r="O155" i="1" s="1"/>
  <c r="P155" i="1" s="1"/>
  <c r="Q154" i="1"/>
  <c r="R154" i="1" s="1"/>
  <c r="S154" i="1" s="1"/>
  <c r="T154" i="1" s="1"/>
  <c r="U154" i="1" s="1"/>
  <c r="V154" i="1" s="1"/>
  <c r="W154" i="1" s="1"/>
  <c r="F156" i="1"/>
  <c r="G156" i="1" s="1"/>
  <c r="Z152" i="1" l="1"/>
  <c r="Y153" i="1"/>
  <c r="X154" i="1"/>
  <c r="H156" i="1"/>
  <c r="I156" i="1" s="1"/>
  <c r="J156" i="1" s="1"/>
  <c r="K156" i="1" s="1"/>
  <c r="L156" i="1" s="1"/>
  <c r="M156" i="1" s="1"/>
  <c r="N156" i="1" s="1"/>
  <c r="O156" i="1" s="1"/>
  <c r="P156" i="1" s="1"/>
  <c r="Q155" i="1"/>
  <c r="R155" i="1" s="1"/>
  <c r="S155" i="1" s="1"/>
  <c r="T155" i="1" s="1"/>
  <c r="U155" i="1" s="1"/>
  <c r="V155" i="1" s="1"/>
  <c r="W155" i="1" s="1"/>
  <c r="F157" i="1"/>
  <c r="G157" i="1" s="1"/>
  <c r="Z153" i="1" l="1"/>
  <c r="Y154" i="1"/>
  <c r="X155" i="1"/>
  <c r="H157" i="1"/>
  <c r="I157" i="1" s="1"/>
  <c r="J157" i="1" s="1"/>
  <c r="K157" i="1" s="1"/>
  <c r="L157" i="1" s="1"/>
  <c r="M157" i="1" s="1"/>
  <c r="N157" i="1" s="1"/>
  <c r="O157" i="1" s="1"/>
  <c r="P157" i="1" s="1"/>
  <c r="Q156" i="1"/>
  <c r="R156" i="1" s="1"/>
  <c r="S156" i="1" s="1"/>
  <c r="T156" i="1" s="1"/>
  <c r="U156" i="1" s="1"/>
  <c r="V156" i="1" s="1"/>
  <c r="W156" i="1" s="1"/>
  <c r="F158" i="1"/>
  <c r="G158" i="1" s="1"/>
  <c r="Z154" i="1" l="1"/>
  <c r="Y155" i="1"/>
  <c r="X156" i="1"/>
  <c r="H158" i="1"/>
  <c r="I158" i="1" s="1"/>
  <c r="J158" i="1" s="1"/>
  <c r="K158" i="1" s="1"/>
  <c r="L158" i="1" s="1"/>
  <c r="M158" i="1" s="1"/>
  <c r="N158" i="1" s="1"/>
  <c r="O158" i="1" s="1"/>
  <c r="P158" i="1" s="1"/>
  <c r="Q157" i="1"/>
  <c r="R157" i="1" s="1"/>
  <c r="S157" i="1" s="1"/>
  <c r="T157" i="1" s="1"/>
  <c r="U157" i="1" s="1"/>
  <c r="V157" i="1" s="1"/>
  <c r="W157" i="1" s="1"/>
  <c r="F159" i="1"/>
  <c r="G159" i="1" s="1"/>
  <c r="Z155" i="1" l="1"/>
  <c r="Y156" i="1"/>
  <c r="X157" i="1"/>
  <c r="H159" i="1"/>
  <c r="I159" i="1" s="1"/>
  <c r="J159" i="1" s="1"/>
  <c r="K159" i="1" s="1"/>
  <c r="L159" i="1" s="1"/>
  <c r="M159" i="1" s="1"/>
  <c r="N159" i="1" s="1"/>
  <c r="O159" i="1" s="1"/>
  <c r="P159" i="1" s="1"/>
  <c r="Q158" i="1"/>
  <c r="R158" i="1" s="1"/>
  <c r="S158" i="1" s="1"/>
  <c r="T158" i="1" s="1"/>
  <c r="U158" i="1" s="1"/>
  <c r="V158" i="1" s="1"/>
  <c r="W158" i="1" s="1"/>
  <c r="F160" i="1"/>
  <c r="G160" i="1" s="1"/>
  <c r="Z156" i="1" l="1"/>
  <c r="Y157" i="1"/>
  <c r="X158" i="1"/>
  <c r="H160" i="1"/>
  <c r="I160" i="1" s="1"/>
  <c r="J160" i="1" s="1"/>
  <c r="K160" i="1" s="1"/>
  <c r="L160" i="1" s="1"/>
  <c r="M160" i="1" s="1"/>
  <c r="N160" i="1" s="1"/>
  <c r="O160" i="1" s="1"/>
  <c r="P160" i="1" s="1"/>
  <c r="Q159" i="1"/>
  <c r="R159" i="1" s="1"/>
  <c r="S159" i="1" s="1"/>
  <c r="T159" i="1" s="1"/>
  <c r="U159" i="1" s="1"/>
  <c r="V159" i="1" s="1"/>
  <c r="W159" i="1" s="1"/>
  <c r="F161" i="1"/>
  <c r="G161" i="1" s="1"/>
  <c r="Z157" i="1" l="1"/>
  <c r="Y158" i="1"/>
  <c r="X159" i="1"/>
  <c r="H161" i="1"/>
  <c r="I161" i="1" s="1"/>
  <c r="J161" i="1" s="1"/>
  <c r="K161" i="1" s="1"/>
  <c r="L161" i="1" s="1"/>
  <c r="M161" i="1" s="1"/>
  <c r="N161" i="1" s="1"/>
  <c r="O161" i="1" s="1"/>
  <c r="P161" i="1" s="1"/>
  <c r="Q160" i="1"/>
  <c r="R160" i="1" s="1"/>
  <c r="S160" i="1" s="1"/>
  <c r="T160" i="1" s="1"/>
  <c r="U160" i="1" s="1"/>
  <c r="V160" i="1" s="1"/>
  <c r="W160" i="1" s="1"/>
  <c r="F162" i="1"/>
  <c r="G162" i="1" s="1"/>
  <c r="Z158" i="1" l="1"/>
  <c r="Y159" i="1"/>
  <c r="X160" i="1"/>
  <c r="H162" i="1"/>
  <c r="I162" i="1" s="1"/>
  <c r="J162" i="1" s="1"/>
  <c r="K162" i="1" s="1"/>
  <c r="L162" i="1" s="1"/>
  <c r="M162" i="1" s="1"/>
  <c r="N162" i="1" s="1"/>
  <c r="O162" i="1" s="1"/>
  <c r="P162" i="1" s="1"/>
  <c r="Q161" i="1"/>
  <c r="R161" i="1" s="1"/>
  <c r="S161" i="1" s="1"/>
  <c r="T161" i="1" s="1"/>
  <c r="U161" i="1" s="1"/>
  <c r="V161" i="1" s="1"/>
  <c r="W161" i="1" s="1"/>
  <c r="F163" i="1"/>
  <c r="G163" i="1" s="1"/>
  <c r="Z159" i="1" l="1"/>
  <c r="Y160" i="1"/>
  <c r="X161" i="1"/>
  <c r="H163" i="1"/>
  <c r="I163" i="1" s="1"/>
  <c r="J163" i="1" s="1"/>
  <c r="K163" i="1" s="1"/>
  <c r="L163" i="1" s="1"/>
  <c r="M163" i="1" s="1"/>
  <c r="N163" i="1" s="1"/>
  <c r="O163" i="1" s="1"/>
  <c r="P163" i="1" s="1"/>
  <c r="Q162" i="1"/>
  <c r="R162" i="1" s="1"/>
  <c r="S162" i="1" s="1"/>
  <c r="T162" i="1" s="1"/>
  <c r="U162" i="1" s="1"/>
  <c r="V162" i="1" s="1"/>
  <c r="W162" i="1" s="1"/>
  <c r="F164" i="1"/>
  <c r="G164" i="1" s="1"/>
  <c r="Z160" i="1" l="1"/>
  <c r="Y161" i="1"/>
  <c r="X162" i="1"/>
  <c r="H164" i="1"/>
  <c r="I164" i="1" s="1"/>
  <c r="J164" i="1" s="1"/>
  <c r="K164" i="1" s="1"/>
  <c r="L164" i="1" s="1"/>
  <c r="M164" i="1" s="1"/>
  <c r="N164" i="1" s="1"/>
  <c r="O164" i="1" s="1"/>
  <c r="P164" i="1" s="1"/>
  <c r="Q163" i="1"/>
  <c r="R163" i="1" s="1"/>
  <c r="S163" i="1" s="1"/>
  <c r="T163" i="1" s="1"/>
  <c r="U163" i="1" s="1"/>
  <c r="V163" i="1" s="1"/>
  <c r="W163" i="1" s="1"/>
  <c r="F165" i="1"/>
  <c r="G165" i="1" s="1"/>
  <c r="Z161" i="1" l="1"/>
  <c r="Y162" i="1"/>
  <c r="X163" i="1"/>
  <c r="H165" i="1"/>
  <c r="I165" i="1" s="1"/>
  <c r="J165" i="1" s="1"/>
  <c r="K165" i="1" s="1"/>
  <c r="L165" i="1" s="1"/>
  <c r="M165" i="1" s="1"/>
  <c r="N165" i="1" s="1"/>
  <c r="O165" i="1" s="1"/>
  <c r="P165" i="1" s="1"/>
  <c r="Q164" i="1"/>
  <c r="R164" i="1" s="1"/>
  <c r="S164" i="1" s="1"/>
  <c r="T164" i="1" s="1"/>
  <c r="U164" i="1" s="1"/>
  <c r="V164" i="1" s="1"/>
  <c r="W164" i="1" s="1"/>
  <c r="F166" i="1"/>
  <c r="G166" i="1" s="1"/>
  <c r="Z162" i="1" l="1"/>
  <c r="Y163" i="1"/>
  <c r="X164" i="1"/>
  <c r="H166" i="1"/>
  <c r="I166" i="1" s="1"/>
  <c r="J166" i="1" s="1"/>
  <c r="K166" i="1" s="1"/>
  <c r="L166" i="1" s="1"/>
  <c r="M166" i="1" s="1"/>
  <c r="N166" i="1" s="1"/>
  <c r="O166" i="1" s="1"/>
  <c r="P166" i="1" s="1"/>
  <c r="Q165" i="1"/>
  <c r="R165" i="1" s="1"/>
  <c r="S165" i="1" s="1"/>
  <c r="T165" i="1" s="1"/>
  <c r="U165" i="1" s="1"/>
  <c r="V165" i="1" s="1"/>
  <c r="W165" i="1" s="1"/>
  <c r="F167" i="1"/>
  <c r="G167" i="1" s="1"/>
  <c r="Z163" i="1" l="1"/>
  <c r="Y164" i="1"/>
  <c r="X165" i="1"/>
  <c r="H167" i="1"/>
  <c r="I167" i="1" s="1"/>
  <c r="J167" i="1" s="1"/>
  <c r="K167" i="1" s="1"/>
  <c r="L167" i="1" s="1"/>
  <c r="M167" i="1" s="1"/>
  <c r="N167" i="1" s="1"/>
  <c r="O167" i="1" s="1"/>
  <c r="P167" i="1" s="1"/>
  <c r="Q166" i="1"/>
  <c r="R166" i="1" s="1"/>
  <c r="S166" i="1" s="1"/>
  <c r="T166" i="1" s="1"/>
  <c r="U166" i="1" s="1"/>
  <c r="V166" i="1" s="1"/>
  <c r="W166" i="1" s="1"/>
  <c r="F168" i="1"/>
  <c r="G168" i="1" s="1"/>
  <c r="Z164" i="1" l="1"/>
  <c r="Y165" i="1"/>
  <c r="X166" i="1"/>
  <c r="H168" i="1"/>
  <c r="I168" i="1" s="1"/>
  <c r="J168" i="1" s="1"/>
  <c r="K168" i="1" s="1"/>
  <c r="L168" i="1" s="1"/>
  <c r="M168" i="1" s="1"/>
  <c r="N168" i="1" s="1"/>
  <c r="O168" i="1" s="1"/>
  <c r="P168" i="1" s="1"/>
  <c r="Q167" i="1"/>
  <c r="R167" i="1" s="1"/>
  <c r="S167" i="1" s="1"/>
  <c r="T167" i="1" s="1"/>
  <c r="U167" i="1" s="1"/>
  <c r="V167" i="1" s="1"/>
  <c r="W167" i="1" s="1"/>
  <c r="F169" i="1"/>
  <c r="G169" i="1" s="1"/>
  <c r="Z165" i="1" l="1"/>
  <c r="Y166" i="1"/>
  <c r="X167" i="1"/>
  <c r="H169" i="1"/>
  <c r="I169" i="1" s="1"/>
  <c r="J169" i="1" s="1"/>
  <c r="K169" i="1" s="1"/>
  <c r="L169" i="1" s="1"/>
  <c r="M169" i="1" s="1"/>
  <c r="N169" i="1" s="1"/>
  <c r="O169" i="1" s="1"/>
  <c r="P169" i="1" s="1"/>
  <c r="Q168" i="1"/>
  <c r="R168" i="1" s="1"/>
  <c r="S168" i="1" s="1"/>
  <c r="T168" i="1" s="1"/>
  <c r="U168" i="1" s="1"/>
  <c r="V168" i="1" s="1"/>
  <c r="W168" i="1" s="1"/>
  <c r="F170" i="1"/>
  <c r="G170" i="1" s="1"/>
  <c r="Z166" i="1" l="1"/>
  <c r="Y167" i="1"/>
  <c r="X168" i="1"/>
  <c r="H170" i="1"/>
  <c r="I170" i="1" s="1"/>
  <c r="J170" i="1" s="1"/>
  <c r="K170" i="1" s="1"/>
  <c r="L170" i="1" s="1"/>
  <c r="M170" i="1" s="1"/>
  <c r="N170" i="1" s="1"/>
  <c r="O170" i="1" s="1"/>
  <c r="P170" i="1" s="1"/>
  <c r="Q169" i="1"/>
  <c r="R169" i="1" s="1"/>
  <c r="S169" i="1" s="1"/>
  <c r="T169" i="1" s="1"/>
  <c r="U169" i="1" s="1"/>
  <c r="V169" i="1" s="1"/>
  <c r="W169" i="1" s="1"/>
  <c r="F171" i="1"/>
  <c r="G171" i="1" s="1"/>
  <c r="Z167" i="1" l="1"/>
  <c r="Y168" i="1"/>
  <c r="X169" i="1"/>
  <c r="H171" i="1"/>
  <c r="I171" i="1" s="1"/>
  <c r="J171" i="1" s="1"/>
  <c r="K171" i="1" s="1"/>
  <c r="L171" i="1" s="1"/>
  <c r="M171" i="1" s="1"/>
  <c r="N171" i="1" s="1"/>
  <c r="O171" i="1" s="1"/>
  <c r="P171" i="1" s="1"/>
  <c r="Q170" i="1"/>
  <c r="R170" i="1" s="1"/>
  <c r="S170" i="1" s="1"/>
  <c r="T170" i="1" s="1"/>
  <c r="U170" i="1" s="1"/>
  <c r="V170" i="1" s="1"/>
  <c r="W170" i="1" s="1"/>
  <c r="F172" i="1"/>
  <c r="G172" i="1" s="1"/>
  <c r="Z168" i="1" l="1"/>
  <c r="Y169" i="1"/>
  <c r="X170" i="1"/>
  <c r="H172" i="1"/>
  <c r="I172" i="1" s="1"/>
  <c r="J172" i="1" s="1"/>
  <c r="K172" i="1" s="1"/>
  <c r="L172" i="1" s="1"/>
  <c r="M172" i="1" s="1"/>
  <c r="N172" i="1" s="1"/>
  <c r="O172" i="1" s="1"/>
  <c r="P172" i="1" s="1"/>
  <c r="Q171" i="1"/>
  <c r="R171" i="1" s="1"/>
  <c r="S171" i="1" s="1"/>
  <c r="T171" i="1" s="1"/>
  <c r="U171" i="1" s="1"/>
  <c r="V171" i="1" s="1"/>
  <c r="W171" i="1" s="1"/>
  <c r="F173" i="1"/>
  <c r="G173" i="1" s="1"/>
  <c r="Z169" i="1" l="1"/>
  <c r="Y170" i="1"/>
  <c r="X171" i="1"/>
  <c r="H173" i="1"/>
  <c r="I173" i="1" s="1"/>
  <c r="J173" i="1" s="1"/>
  <c r="K173" i="1" s="1"/>
  <c r="L173" i="1" s="1"/>
  <c r="M173" i="1" s="1"/>
  <c r="N173" i="1" s="1"/>
  <c r="O173" i="1" s="1"/>
  <c r="P173" i="1" s="1"/>
  <c r="Q172" i="1"/>
  <c r="R172" i="1" s="1"/>
  <c r="S172" i="1" s="1"/>
  <c r="T172" i="1" s="1"/>
  <c r="U172" i="1" s="1"/>
  <c r="V172" i="1" s="1"/>
  <c r="W172" i="1" s="1"/>
  <c r="F174" i="1"/>
  <c r="G174" i="1" s="1"/>
  <c r="Z170" i="1" l="1"/>
  <c r="Y171" i="1"/>
  <c r="X172" i="1"/>
  <c r="H174" i="1"/>
  <c r="I174" i="1" s="1"/>
  <c r="J174" i="1" s="1"/>
  <c r="K174" i="1" s="1"/>
  <c r="L174" i="1" s="1"/>
  <c r="M174" i="1" s="1"/>
  <c r="N174" i="1" s="1"/>
  <c r="O174" i="1" s="1"/>
  <c r="P174" i="1" s="1"/>
  <c r="Q173" i="1"/>
  <c r="R173" i="1" s="1"/>
  <c r="S173" i="1" s="1"/>
  <c r="T173" i="1" s="1"/>
  <c r="U173" i="1" s="1"/>
  <c r="V173" i="1" s="1"/>
  <c r="W173" i="1" s="1"/>
  <c r="F176" i="1"/>
  <c r="G176" i="1" s="1"/>
  <c r="Z171" i="1" l="1"/>
  <c r="Y172" i="1"/>
  <c r="X173" i="1"/>
  <c r="H176" i="1"/>
  <c r="I176" i="1" s="1"/>
  <c r="J176" i="1" s="1"/>
  <c r="K176" i="1" s="1"/>
  <c r="L176" i="1" s="1"/>
  <c r="M176" i="1" s="1"/>
  <c r="N176" i="1" s="1"/>
  <c r="O176" i="1" s="1"/>
  <c r="P176" i="1" s="1"/>
  <c r="Q174" i="1"/>
  <c r="R174" i="1" s="1"/>
  <c r="S174" i="1" s="1"/>
  <c r="T174" i="1" s="1"/>
  <c r="U174" i="1" s="1"/>
  <c r="V174" i="1" s="1"/>
  <c r="W174" i="1" s="1"/>
  <c r="F177" i="1"/>
  <c r="G177" i="1" s="1"/>
  <c r="Z172" i="1" l="1"/>
  <c r="Y173" i="1"/>
  <c r="X174" i="1"/>
  <c r="H177" i="1"/>
  <c r="I177" i="1" s="1"/>
  <c r="J177" i="1" s="1"/>
  <c r="K177" i="1" s="1"/>
  <c r="L177" i="1" s="1"/>
  <c r="M177" i="1" s="1"/>
  <c r="N177" i="1" s="1"/>
  <c r="O177" i="1" s="1"/>
  <c r="P177" i="1" s="1"/>
  <c r="Q176" i="1"/>
  <c r="R176" i="1" s="1"/>
  <c r="S176" i="1" s="1"/>
  <c r="T176" i="1" s="1"/>
  <c r="U176" i="1" s="1"/>
  <c r="V176" i="1" s="1"/>
  <c r="W176" i="1" s="1"/>
  <c r="F178" i="1"/>
  <c r="G178" i="1" s="1"/>
  <c r="Z173" i="1" l="1"/>
  <c r="Y174" i="1"/>
  <c r="X176" i="1"/>
  <c r="H178" i="1"/>
  <c r="I178" i="1" s="1"/>
  <c r="J178" i="1" s="1"/>
  <c r="K178" i="1" s="1"/>
  <c r="L178" i="1" s="1"/>
  <c r="M178" i="1" s="1"/>
  <c r="N178" i="1" s="1"/>
  <c r="O178" i="1" s="1"/>
  <c r="P178" i="1" s="1"/>
  <c r="Q177" i="1"/>
  <c r="R177" i="1" s="1"/>
  <c r="S177" i="1" s="1"/>
  <c r="T177" i="1" s="1"/>
  <c r="U177" i="1" s="1"/>
  <c r="V177" i="1" s="1"/>
  <c r="W177" i="1" s="1"/>
  <c r="F179" i="1"/>
  <c r="G179" i="1" s="1"/>
  <c r="Z174" i="1" l="1"/>
  <c r="Y176" i="1"/>
  <c r="X177" i="1"/>
  <c r="H179" i="1"/>
  <c r="I179" i="1" s="1"/>
  <c r="J179" i="1" s="1"/>
  <c r="K179" i="1" s="1"/>
  <c r="L179" i="1" s="1"/>
  <c r="M179" i="1" s="1"/>
  <c r="N179" i="1" s="1"/>
  <c r="O179" i="1" s="1"/>
  <c r="P179" i="1" s="1"/>
  <c r="Q178" i="1"/>
  <c r="R178" i="1" s="1"/>
  <c r="S178" i="1" s="1"/>
  <c r="T178" i="1" s="1"/>
  <c r="U178" i="1" s="1"/>
  <c r="V178" i="1" s="1"/>
  <c r="W178" i="1" s="1"/>
  <c r="F180" i="1"/>
  <c r="G180" i="1" s="1"/>
  <c r="Z176" i="1" l="1"/>
  <c r="Y177" i="1"/>
  <c r="X178" i="1"/>
  <c r="H180" i="1"/>
  <c r="I180" i="1" s="1"/>
  <c r="J180" i="1" s="1"/>
  <c r="K180" i="1" s="1"/>
  <c r="L180" i="1" s="1"/>
  <c r="M180" i="1" s="1"/>
  <c r="N180" i="1" s="1"/>
  <c r="O180" i="1" s="1"/>
  <c r="P180" i="1" s="1"/>
  <c r="Q179" i="1"/>
  <c r="R179" i="1" s="1"/>
  <c r="S179" i="1" s="1"/>
  <c r="T179" i="1" s="1"/>
  <c r="U179" i="1" s="1"/>
  <c r="V179" i="1" s="1"/>
  <c r="W179" i="1" s="1"/>
  <c r="F198" i="1"/>
  <c r="G198" i="1" s="1"/>
  <c r="Z177" i="1" l="1"/>
  <c r="Y178" i="1"/>
  <c r="X179" i="1"/>
  <c r="H198" i="1"/>
  <c r="I198" i="1" s="1"/>
  <c r="J198" i="1" s="1"/>
  <c r="K198" i="1" s="1"/>
  <c r="L198" i="1" s="1"/>
  <c r="M198" i="1" s="1"/>
  <c r="N198" i="1" s="1"/>
  <c r="O198" i="1" s="1"/>
  <c r="P198" i="1" s="1"/>
  <c r="Q180" i="1"/>
  <c r="R180" i="1" s="1"/>
  <c r="S180" i="1" s="1"/>
  <c r="T180" i="1" s="1"/>
  <c r="U180" i="1" s="1"/>
  <c r="V180" i="1" s="1"/>
  <c r="W180" i="1" s="1"/>
  <c r="F199" i="1"/>
  <c r="G199" i="1" s="1"/>
  <c r="Z178" i="1" l="1"/>
  <c r="Y179" i="1"/>
  <c r="X180" i="1"/>
  <c r="H199" i="1"/>
  <c r="I199" i="1" s="1"/>
  <c r="J199" i="1" s="1"/>
  <c r="K199" i="1" s="1"/>
  <c r="L199" i="1" s="1"/>
  <c r="M199" i="1" s="1"/>
  <c r="N199" i="1" s="1"/>
  <c r="O199" i="1" s="1"/>
  <c r="P199" i="1" s="1"/>
  <c r="Q198" i="1"/>
  <c r="R198" i="1" s="1"/>
  <c r="S198" i="1" s="1"/>
  <c r="T198" i="1" s="1"/>
  <c r="U198" i="1" s="1"/>
  <c r="V198" i="1" s="1"/>
  <c r="W198" i="1" s="1"/>
  <c r="F200" i="1"/>
  <c r="G200" i="1" s="1"/>
  <c r="Z179" i="1" l="1"/>
  <c r="Y180" i="1"/>
  <c r="X198" i="1"/>
  <c r="H200" i="1"/>
  <c r="I200" i="1" s="1"/>
  <c r="J200" i="1" s="1"/>
  <c r="K200" i="1" s="1"/>
  <c r="L200" i="1" s="1"/>
  <c r="M200" i="1" s="1"/>
  <c r="N200" i="1" s="1"/>
  <c r="O200" i="1" s="1"/>
  <c r="P200" i="1" s="1"/>
  <c r="Q199" i="1"/>
  <c r="R199" i="1" s="1"/>
  <c r="S199" i="1" s="1"/>
  <c r="T199" i="1" s="1"/>
  <c r="U199" i="1" s="1"/>
  <c r="V199" i="1" s="1"/>
  <c r="W199" i="1" s="1"/>
  <c r="F201" i="1"/>
  <c r="G201" i="1" s="1"/>
  <c r="Z180" i="1" l="1"/>
  <c r="Y198" i="1"/>
  <c r="Z198" i="1" s="1"/>
  <c r="X199" i="1"/>
  <c r="H201" i="1"/>
  <c r="I201" i="1" s="1"/>
  <c r="J201" i="1" s="1"/>
  <c r="K201" i="1" s="1"/>
  <c r="L201" i="1" s="1"/>
  <c r="M201" i="1" s="1"/>
  <c r="N201" i="1" s="1"/>
  <c r="O201" i="1" s="1"/>
  <c r="P201" i="1" s="1"/>
  <c r="Q200" i="1"/>
  <c r="R200" i="1" s="1"/>
  <c r="S200" i="1" s="1"/>
  <c r="T200" i="1" s="1"/>
  <c r="U200" i="1" s="1"/>
  <c r="V200" i="1" s="1"/>
  <c r="W200" i="1" s="1"/>
  <c r="F202" i="1"/>
  <c r="G202" i="1" s="1"/>
  <c r="Y199" i="1" l="1"/>
  <c r="Z199" i="1" s="1"/>
  <c r="X200" i="1"/>
  <c r="H202" i="1"/>
  <c r="I202" i="1" s="1"/>
  <c r="J202" i="1" s="1"/>
  <c r="K202" i="1" s="1"/>
  <c r="L202" i="1" s="1"/>
  <c r="M202" i="1" s="1"/>
  <c r="N202" i="1" s="1"/>
  <c r="O202" i="1" s="1"/>
  <c r="P202" i="1" s="1"/>
  <c r="Q201" i="1"/>
  <c r="R201" i="1" s="1"/>
  <c r="S201" i="1" s="1"/>
  <c r="T201" i="1" s="1"/>
  <c r="U201" i="1" s="1"/>
  <c r="V201" i="1" s="1"/>
  <c r="W201" i="1" s="1"/>
  <c r="F203" i="1"/>
  <c r="G203" i="1" s="1"/>
  <c r="Y200" i="1" l="1"/>
  <c r="Z200" i="1" s="1"/>
  <c r="X201" i="1"/>
  <c r="H203" i="1"/>
  <c r="I203" i="1" s="1"/>
  <c r="J203" i="1" s="1"/>
  <c r="K203" i="1" s="1"/>
  <c r="L203" i="1" s="1"/>
  <c r="M203" i="1" s="1"/>
  <c r="N203" i="1" s="1"/>
  <c r="O203" i="1" s="1"/>
  <c r="P203" i="1" s="1"/>
  <c r="Q202" i="1"/>
  <c r="R202" i="1" s="1"/>
  <c r="S202" i="1" s="1"/>
  <c r="T202" i="1" s="1"/>
  <c r="U202" i="1" s="1"/>
  <c r="V202" i="1" s="1"/>
  <c r="W202" i="1" s="1"/>
  <c r="F204" i="1"/>
  <c r="G204" i="1" s="1"/>
  <c r="Y201" i="1" l="1"/>
  <c r="Z201" i="1" s="1"/>
  <c r="X202" i="1"/>
  <c r="H204" i="1"/>
  <c r="I204" i="1" s="1"/>
  <c r="J204" i="1" s="1"/>
  <c r="K204" i="1" s="1"/>
  <c r="L204" i="1" s="1"/>
  <c r="M204" i="1" s="1"/>
  <c r="N204" i="1" s="1"/>
  <c r="O204" i="1" s="1"/>
  <c r="P204" i="1" s="1"/>
  <c r="Q203" i="1"/>
  <c r="R203" i="1" s="1"/>
  <c r="S203" i="1" s="1"/>
  <c r="T203" i="1" s="1"/>
  <c r="U203" i="1" s="1"/>
  <c r="V203" i="1" s="1"/>
  <c r="W203" i="1" s="1"/>
  <c r="F205" i="1"/>
  <c r="G205" i="1" s="1"/>
  <c r="Y202" i="1" l="1"/>
  <c r="Z202" i="1" s="1"/>
  <c r="X203" i="1"/>
  <c r="H205" i="1"/>
  <c r="I205" i="1" s="1"/>
  <c r="J205" i="1" s="1"/>
  <c r="K205" i="1" s="1"/>
  <c r="L205" i="1" s="1"/>
  <c r="M205" i="1" s="1"/>
  <c r="N205" i="1" s="1"/>
  <c r="O205" i="1" s="1"/>
  <c r="P205" i="1" s="1"/>
  <c r="Q204" i="1"/>
  <c r="R204" i="1" s="1"/>
  <c r="S204" i="1" s="1"/>
  <c r="T204" i="1" s="1"/>
  <c r="U204" i="1" s="1"/>
  <c r="V204" i="1" s="1"/>
  <c r="W204" i="1" s="1"/>
  <c r="F206" i="1"/>
  <c r="G206" i="1" s="1"/>
  <c r="Y203" i="1" l="1"/>
  <c r="Z203" i="1" s="1"/>
  <c r="X204" i="1"/>
  <c r="H206" i="1"/>
  <c r="I206" i="1" s="1"/>
  <c r="J206" i="1" s="1"/>
  <c r="K206" i="1" s="1"/>
  <c r="L206" i="1" s="1"/>
  <c r="M206" i="1" s="1"/>
  <c r="N206" i="1" s="1"/>
  <c r="O206" i="1" s="1"/>
  <c r="P206" i="1" s="1"/>
  <c r="Q205" i="1"/>
  <c r="R205" i="1" s="1"/>
  <c r="S205" i="1" s="1"/>
  <c r="T205" i="1" s="1"/>
  <c r="U205" i="1" s="1"/>
  <c r="V205" i="1" s="1"/>
  <c r="W205" i="1" s="1"/>
  <c r="F207" i="1"/>
  <c r="G207" i="1" s="1"/>
  <c r="Y204" i="1" l="1"/>
  <c r="Z204" i="1" s="1"/>
  <c r="X205" i="1"/>
  <c r="H207" i="1"/>
  <c r="I207" i="1" s="1"/>
  <c r="J207" i="1" s="1"/>
  <c r="K207" i="1" s="1"/>
  <c r="L207" i="1" s="1"/>
  <c r="M207" i="1" s="1"/>
  <c r="N207" i="1" s="1"/>
  <c r="O207" i="1" s="1"/>
  <c r="P207" i="1" s="1"/>
  <c r="Q206" i="1"/>
  <c r="R206" i="1" s="1"/>
  <c r="S206" i="1" s="1"/>
  <c r="T206" i="1" s="1"/>
  <c r="U206" i="1" s="1"/>
  <c r="V206" i="1" s="1"/>
  <c r="W206" i="1" s="1"/>
  <c r="F208" i="1"/>
  <c r="G208" i="1" s="1"/>
  <c r="Y205" i="1" l="1"/>
  <c r="Z205" i="1" s="1"/>
  <c r="X206" i="1"/>
  <c r="H208" i="1"/>
  <c r="I208" i="1" s="1"/>
  <c r="J208" i="1" s="1"/>
  <c r="K208" i="1" s="1"/>
  <c r="L208" i="1" s="1"/>
  <c r="M208" i="1" s="1"/>
  <c r="N208" i="1" s="1"/>
  <c r="O208" i="1" s="1"/>
  <c r="P208" i="1" s="1"/>
  <c r="Q207" i="1"/>
  <c r="R207" i="1" s="1"/>
  <c r="S207" i="1" s="1"/>
  <c r="T207" i="1" s="1"/>
  <c r="U207" i="1" s="1"/>
  <c r="V207" i="1" s="1"/>
  <c r="W207" i="1" s="1"/>
  <c r="F209" i="1"/>
  <c r="G209" i="1" s="1"/>
  <c r="Y206" i="1" l="1"/>
  <c r="Z206" i="1" s="1"/>
  <c r="X207" i="1"/>
  <c r="H209" i="1"/>
  <c r="I209" i="1" s="1"/>
  <c r="J209" i="1" s="1"/>
  <c r="K209" i="1" s="1"/>
  <c r="L209" i="1" s="1"/>
  <c r="M209" i="1" s="1"/>
  <c r="N209" i="1" s="1"/>
  <c r="O209" i="1" s="1"/>
  <c r="P209" i="1" s="1"/>
  <c r="Q208" i="1"/>
  <c r="R208" i="1" s="1"/>
  <c r="S208" i="1" s="1"/>
  <c r="T208" i="1" s="1"/>
  <c r="U208" i="1" s="1"/>
  <c r="V208" i="1" s="1"/>
  <c r="W208" i="1" s="1"/>
  <c r="F210" i="1"/>
  <c r="G210" i="1" s="1"/>
  <c r="Y207" i="1" l="1"/>
  <c r="Z207" i="1" s="1"/>
  <c r="X208" i="1"/>
  <c r="H210" i="1"/>
  <c r="I210" i="1" s="1"/>
  <c r="J210" i="1" s="1"/>
  <c r="K210" i="1" s="1"/>
  <c r="L210" i="1" s="1"/>
  <c r="M210" i="1" s="1"/>
  <c r="N210" i="1" s="1"/>
  <c r="O210" i="1" s="1"/>
  <c r="P210" i="1" s="1"/>
  <c r="Q209" i="1"/>
  <c r="R209" i="1" s="1"/>
  <c r="S209" i="1" s="1"/>
  <c r="T209" i="1" s="1"/>
  <c r="U209" i="1" s="1"/>
  <c r="V209" i="1" s="1"/>
  <c r="W209" i="1" s="1"/>
  <c r="F211" i="1"/>
  <c r="G211" i="1" s="1"/>
  <c r="Y208" i="1" l="1"/>
  <c r="Z208" i="1" s="1"/>
  <c r="X209" i="1"/>
  <c r="H211" i="1"/>
  <c r="I211" i="1" s="1"/>
  <c r="J211" i="1" s="1"/>
  <c r="K211" i="1" s="1"/>
  <c r="L211" i="1" s="1"/>
  <c r="M211" i="1" s="1"/>
  <c r="N211" i="1" s="1"/>
  <c r="O211" i="1" s="1"/>
  <c r="P211" i="1" s="1"/>
  <c r="Q210" i="1"/>
  <c r="R210" i="1" s="1"/>
  <c r="S210" i="1" s="1"/>
  <c r="T210" i="1" s="1"/>
  <c r="U210" i="1" s="1"/>
  <c r="V210" i="1" s="1"/>
  <c r="W210" i="1" s="1"/>
  <c r="F212" i="1"/>
  <c r="G212" i="1" s="1"/>
  <c r="Y209" i="1" l="1"/>
  <c r="Z209" i="1" s="1"/>
  <c r="X210" i="1"/>
  <c r="H212" i="1"/>
  <c r="I212" i="1" s="1"/>
  <c r="J212" i="1" s="1"/>
  <c r="K212" i="1" s="1"/>
  <c r="L212" i="1" s="1"/>
  <c r="M212" i="1" s="1"/>
  <c r="N212" i="1" s="1"/>
  <c r="O212" i="1" s="1"/>
  <c r="P212" i="1" s="1"/>
  <c r="Q211" i="1"/>
  <c r="R211" i="1" s="1"/>
  <c r="S211" i="1" s="1"/>
  <c r="T211" i="1" s="1"/>
  <c r="U211" i="1" s="1"/>
  <c r="V211" i="1" s="1"/>
  <c r="W211" i="1" s="1"/>
  <c r="F213" i="1"/>
  <c r="G213" i="1" s="1"/>
  <c r="Y210" i="1" l="1"/>
  <c r="Z210" i="1" s="1"/>
  <c r="X211" i="1"/>
  <c r="H213" i="1"/>
  <c r="I213" i="1" s="1"/>
  <c r="J213" i="1" s="1"/>
  <c r="K213" i="1" s="1"/>
  <c r="L213" i="1" s="1"/>
  <c r="M213" i="1" s="1"/>
  <c r="N213" i="1" s="1"/>
  <c r="O213" i="1" s="1"/>
  <c r="P213" i="1" s="1"/>
  <c r="Q212" i="1"/>
  <c r="R212" i="1" s="1"/>
  <c r="S212" i="1" s="1"/>
  <c r="T212" i="1" s="1"/>
  <c r="U212" i="1" s="1"/>
  <c r="V212" i="1" s="1"/>
  <c r="W212" i="1" s="1"/>
  <c r="F214" i="1"/>
  <c r="G214" i="1" s="1"/>
  <c r="Y211" i="1" l="1"/>
  <c r="Z211" i="1" s="1"/>
  <c r="X212" i="1"/>
  <c r="H214" i="1"/>
  <c r="I214" i="1" s="1"/>
  <c r="J214" i="1" s="1"/>
  <c r="K214" i="1" s="1"/>
  <c r="L214" i="1" s="1"/>
  <c r="M214" i="1" s="1"/>
  <c r="N214" i="1" s="1"/>
  <c r="O214" i="1" s="1"/>
  <c r="P214" i="1" s="1"/>
  <c r="Q213" i="1"/>
  <c r="R213" i="1" s="1"/>
  <c r="S213" i="1" s="1"/>
  <c r="T213" i="1" s="1"/>
  <c r="U213" i="1" s="1"/>
  <c r="V213" i="1" s="1"/>
  <c r="W213" i="1" s="1"/>
  <c r="F215" i="1"/>
  <c r="G215" i="1" s="1"/>
  <c r="Y212" i="1" l="1"/>
  <c r="Z212" i="1" s="1"/>
  <c r="X213" i="1"/>
  <c r="H215" i="1"/>
  <c r="I215" i="1" s="1"/>
  <c r="J215" i="1" s="1"/>
  <c r="K215" i="1" s="1"/>
  <c r="L215" i="1" s="1"/>
  <c r="M215" i="1" s="1"/>
  <c r="N215" i="1" s="1"/>
  <c r="O215" i="1" s="1"/>
  <c r="P215" i="1" s="1"/>
  <c r="Q214" i="1"/>
  <c r="R214" i="1" s="1"/>
  <c r="S214" i="1" s="1"/>
  <c r="T214" i="1" s="1"/>
  <c r="U214" i="1" s="1"/>
  <c r="V214" i="1" s="1"/>
  <c r="W214" i="1" s="1"/>
  <c r="F216" i="1"/>
  <c r="G216" i="1" s="1"/>
  <c r="Y213" i="1" l="1"/>
  <c r="Z213" i="1" s="1"/>
  <c r="X214" i="1"/>
  <c r="H216" i="1"/>
  <c r="I216" i="1" s="1"/>
  <c r="J216" i="1" s="1"/>
  <c r="K216" i="1" s="1"/>
  <c r="L216" i="1" s="1"/>
  <c r="M216" i="1" s="1"/>
  <c r="N216" i="1" s="1"/>
  <c r="O216" i="1" s="1"/>
  <c r="P216" i="1" s="1"/>
  <c r="Q215" i="1"/>
  <c r="R215" i="1" s="1"/>
  <c r="S215" i="1" s="1"/>
  <c r="T215" i="1" s="1"/>
  <c r="U215" i="1" s="1"/>
  <c r="V215" i="1" s="1"/>
  <c r="W215" i="1" s="1"/>
  <c r="F217" i="1"/>
  <c r="G217" i="1" s="1"/>
  <c r="Y214" i="1" l="1"/>
  <c r="Z214" i="1" s="1"/>
  <c r="X215" i="1"/>
  <c r="H217" i="1"/>
  <c r="I217" i="1" s="1"/>
  <c r="J217" i="1" s="1"/>
  <c r="K217" i="1" s="1"/>
  <c r="L217" i="1" s="1"/>
  <c r="M217" i="1" s="1"/>
  <c r="N217" i="1" s="1"/>
  <c r="O217" i="1" s="1"/>
  <c r="P217" i="1" s="1"/>
  <c r="Q216" i="1"/>
  <c r="R216" i="1" s="1"/>
  <c r="S216" i="1" s="1"/>
  <c r="T216" i="1" s="1"/>
  <c r="U216" i="1" s="1"/>
  <c r="V216" i="1" s="1"/>
  <c r="W216" i="1" s="1"/>
  <c r="F218" i="1"/>
  <c r="G218" i="1" s="1"/>
  <c r="Y215" i="1" l="1"/>
  <c r="Z215" i="1" s="1"/>
  <c r="X216" i="1"/>
  <c r="H218" i="1"/>
  <c r="I218" i="1" s="1"/>
  <c r="J218" i="1" s="1"/>
  <c r="K218" i="1" s="1"/>
  <c r="L218" i="1" s="1"/>
  <c r="M218" i="1" s="1"/>
  <c r="N218" i="1" s="1"/>
  <c r="O218" i="1" s="1"/>
  <c r="P218" i="1" s="1"/>
  <c r="Q217" i="1"/>
  <c r="R217" i="1" s="1"/>
  <c r="S217" i="1" s="1"/>
  <c r="T217" i="1" s="1"/>
  <c r="U217" i="1" s="1"/>
  <c r="V217" i="1" s="1"/>
  <c r="W217" i="1" s="1"/>
  <c r="F219" i="1"/>
  <c r="G219" i="1" s="1"/>
  <c r="Y216" i="1" l="1"/>
  <c r="Z216" i="1" s="1"/>
  <c r="X217" i="1"/>
  <c r="H219" i="1"/>
  <c r="I219" i="1" s="1"/>
  <c r="J219" i="1" s="1"/>
  <c r="K219" i="1" s="1"/>
  <c r="L219" i="1" s="1"/>
  <c r="M219" i="1" s="1"/>
  <c r="N219" i="1" s="1"/>
  <c r="O219" i="1" s="1"/>
  <c r="P219" i="1" s="1"/>
  <c r="Q218" i="1"/>
  <c r="R218" i="1" s="1"/>
  <c r="S218" i="1" s="1"/>
  <c r="T218" i="1" s="1"/>
  <c r="U218" i="1" s="1"/>
  <c r="V218" i="1" s="1"/>
  <c r="W218" i="1" s="1"/>
  <c r="F221" i="1"/>
  <c r="G221" i="1" s="1"/>
  <c r="Y217" i="1" l="1"/>
  <c r="Z217" i="1" s="1"/>
  <c r="X218" i="1"/>
  <c r="H221" i="1"/>
  <c r="I221" i="1" s="1"/>
  <c r="J221" i="1" s="1"/>
  <c r="K221" i="1" s="1"/>
  <c r="L221" i="1" s="1"/>
  <c r="M221" i="1" s="1"/>
  <c r="N221" i="1" s="1"/>
  <c r="O221" i="1" s="1"/>
  <c r="P221" i="1" s="1"/>
  <c r="Q219" i="1"/>
  <c r="R219" i="1" s="1"/>
  <c r="S219" i="1" s="1"/>
  <c r="T219" i="1" s="1"/>
  <c r="U219" i="1" s="1"/>
  <c r="V219" i="1" s="1"/>
  <c r="W219" i="1" s="1"/>
  <c r="F222" i="1"/>
  <c r="G222" i="1" s="1"/>
  <c r="Y218" i="1" l="1"/>
  <c r="Z218" i="1" s="1"/>
  <c r="X219" i="1"/>
  <c r="H222" i="1"/>
  <c r="I222" i="1" s="1"/>
  <c r="J222" i="1" s="1"/>
  <c r="K222" i="1" s="1"/>
  <c r="L222" i="1" s="1"/>
  <c r="M222" i="1" s="1"/>
  <c r="N222" i="1" s="1"/>
  <c r="O222" i="1" s="1"/>
  <c r="P222" i="1" s="1"/>
  <c r="Q221" i="1"/>
  <c r="R221" i="1" s="1"/>
  <c r="S221" i="1" s="1"/>
  <c r="T221" i="1" s="1"/>
  <c r="U221" i="1" s="1"/>
  <c r="V221" i="1" s="1"/>
  <c r="W221" i="1" s="1"/>
  <c r="F223" i="1"/>
  <c r="G223" i="1" s="1"/>
  <c r="Y219" i="1" l="1"/>
  <c r="Z219" i="1" s="1"/>
  <c r="X221" i="1"/>
  <c r="H223" i="1"/>
  <c r="I223" i="1" s="1"/>
  <c r="J223" i="1" s="1"/>
  <c r="K223" i="1" s="1"/>
  <c r="L223" i="1" s="1"/>
  <c r="M223" i="1" s="1"/>
  <c r="N223" i="1" s="1"/>
  <c r="O223" i="1" s="1"/>
  <c r="P223" i="1" s="1"/>
  <c r="Q222" i="1"/>
  <c r="R222" i="1" s="1"/>
  <c r="S222" i="1" s="1"/>
  <c r="T222" i="1" s="1"/>
  <c r="U222" i="1" s="1"/>
  <c r="V222" i="1" s="1"/>
  <c r="W222" i="1" s="1"/>
  <c r="F224" i="1"/>
  <c r="G224" i="1" s="1"/>
  <c r="Y221" i="1" l="1"/>
  <c r="Z221" i="1" s="1"/>
  <c r="X222" i="1"/>
  <c r="H224" i="1"/>
  <c r="I224" i="1" s="1"/>
  <c r="J224" i="1" s="1"/>
  <c r="K224" i="1" s="1"/>
  <c r="L224" i="1" s="1"/>
  <c r="M224" i="1" s="1"/>
  <c r="N224" i="1" s="1"/>
  <c r="O224" i="1" s="1"/>
  <c r="P224" i="1" s="1"/>
  <c r="Q223" i="1"/>
  <c r="R223" i="1" s="1"/>
  <c r="S223" i="1" s="1"/>
  <c r="T223" i="1" s="1"/>
  <c r="U223" i="1" s="1"/>
  <c r="V223" i="1" s="1"/>
  <c r="W223" i="1" s="1"/>
  <c r="F225" i="1"/>
  <c r="G225" i="1" s="1"/>
  <c r="Y222" i="1" l="1"/>
  <c r="Z222" i="1" s="1"/>
  <c r="X223" i="1"/>
  <c r="H225" i="1"/>
  <c r="I225" i="1" s="1"/>
  <c r="J225" i="1" s="1"/>
  <c r="K225" i="1" s="1"/>
  <c r="L225" i="1" s="1"/>
  <c r="M225" i="1" s="1"/>
  <c r="N225" i="1" s="1"/>
  <c r="O225" i="1" s="1"/>
  <c r="P225" i="1" s="1"/>
  <c r="Q224" i="1"/>
  <c r="R224" i="1" s="1"/>
  <c r="S224" i="1" s="1"/>
  <c r="T224" i="1" s="1"/>
  <c r="U224" i="1" s="1"/>
  <c r="V224" i="1" s="1"/>
  <c r="W224" i="1" s="1"/>
  <c r="F226" i="1"/>
  <c r="G226" i="1" s="1"/>
  <c r="Y223" i="1" l="1"/>
  <c r="Z223" i="1" s="1"/>
  <c r="X224" i="1"/>
  <c r="H226" i="1"/>
  <c r="I226" i="1" s="1"/>
  <c r="J226" i="1" s="1"/>
  <c r="K226" i="1" s="1"/>
  <c r="L226" i="1" s="1"/>
  <c r="M226" i="1" s="1"/>
  <c r="N226" i="1" s="1"/>
  <c r="O226" i="1" s="1"/>
  <c r="P226" i="1" s="1"/>
  <c r="Q225" i="1"/>
  <c r="R225" i="1" s="1"/>
  <c r="S225" i="1" s="1"/>
  <c r="T225" i="1" s="1"/>
  <c r="U225" i="1" s="1"/>
  <c r="V225" i="1" s="1"/>
  <c r="W225" i="1" s="1"/>
  <c r="F227" i="1"/>
  <c r="G227" i="1" s="1"/>
  <c r="Y224" i="1" l="1"/>
  <c r="Z224" i="1" s="1"/>
  <c r="X225" i="1"/>
  <c r="H227" i="1"/>
  <c r="I227" i="1" s="1"/>
  <c r="J227" i="1" s="1"/>
  <c r="K227" i="1" s="1"/>
  <c r="L227" i="1" s="1"/>
  <c r="M227" i="1" s="1"/>
  <c r="N227" i="1" s="1"/>
  <c r="O227" i="1" s="1"/>
  <c r="P227" i="1" s="1"/>
  <c r="Q226" i="1"/>
  <c r="R226" i="1" s="1"/>
  <c r="S226" i="1" s="1"/>
  <c r="T226" i="1" s="1"/>
  <c r="U226" i="1" s="1"/>
  <c r="V226" i="1" s="1"/>
  <c r="W226" i="1" s="1"/>
  <c r="F228" i="1"/>
  <c r="G228" i="1" s="1"/>
  <c r="Y225" i="1" l="1"/>
  <c r="Z225" i="1" s="1"/>
  <c r="X226" i="1"/>
  <c r="H228" i="1"/>
  <c r="I228" i="1" s="1"/>
  <c r="J228" i="1" s="1"/>
  <c r="K228" i="1" s="1"/>
  <c r="L228" i="1" s="1"/>
  <c r="M228" i="1" s="1"/>
  <c r="N228" i="1" s="1"/>
  <c r="O228" i="1" s="1"/>
  <c r="P228" i="1" s="1"/>
  <c r="Q227" i="1"/>
  <c r="R227" i="1" s="1"/>
  <c r="S227" i="1" s="1"/>
  <c r="T227" i="1" s="1"/>
  <c r="U227" i="1" s="1"/>
  <c r="V227" i="1" s="1"/>
  <c r="W227" i="1" s="1"/>
  <c r="F229" i="1"/>
  <c r="G229" i="1" s="1"/>
  <c r="Y226" i="1" l="1"/>
  <c r="Z226" i="1" s="1"/>
  <c r="X227" i="1"/>
  <c r="H229" i="1"/>
  <c r="I229" i="1" s="1"/>
  <c r="J229" i="1" s="1"/>
  <c r="K229" i="1" s="1"/>
  <c r="L229" i="1" s="1"/>
  <c r="M229" i="1" s="1"/>
  <c r="N229" i="1" s="1"/>
  <c r="O229" i="1" s="1"/>
  <c r="P229" i="1" s="1"/>
  <c r="Q228" i="1"/>
  <c r="R228" i="1" s="1"/>
  <c r="S228" i="1" s="1"/>
  <c r="T228" i="1" s="1"/>
  <c r="U228" i="1" s="1"/>
  <c r="V228" i="1" s="1"/>
  <c r="W228" i="1" s="1"/>
  <c r="F230" i="1"/>
  <c r="G230" i="1" s="1"/>
  <c r="Y227" i="1" l="1"/>
  <c r="Z227" i="1" s="1"/>
  <c r="X228" i="1"/>
  <c r="H230" i="1"/>
  <c r="I230" i="1" s="1"/>
  <c r="J230" i="1" s="1"/>
  <c r="K230" i="1" s="1"/>
  <c r="L230" i="1" s="1"/>
  <c r="M230" i="1" s="1"/>
  <c r="N230" i="1" s="1"/>
  <c r="O230" i="1" s="1"/>
  <c r="P230" i="1" s="1"/>
  <c r="Q229" i="1"/>
  <c r="R229" i="1" s="1"/>
  <c r="S229" i="1" s="1"/>
  <c r="T229" i="1" s="1"/>
  <c r="U229" i="1" s="1"/>
  <c r="V229" i="1" s="1"/>
  <c r="W229" i="1" s="1"/>
  <c r="F231" i="1"/>
  <c r="G231" i="1" s="1"/>
  <c r="F232" i="1"/>
  <c r="G232" i="1" s="1"/>
  <c r="Y228" i="1" l="1"/>
  <c r="Z228" i="1" s="1"/>
  <c r="X229" i="1"/>
  <c r="H232" i="1"/>
  <c r="I232" i="1" s="1"/>
  <c r="J232" i="1" s="1"/>
  <c r="K232" i="1" s="1"/>
  <c r="L232" i="1" s="1"/>
  <c r="M232" i="1" s="1"/>
  <c r="N232" i="1" s="1"/>
  <c r="O232" i="1" s="1"/>
  <c r="P232" i="1" s="1"/>
  <c r="H231" i="1"/>
  <c r="I231" i="1" s="1"/>
  <c r="J231" i="1" s="1"/>
  <c r="K231" i="1" s="1"/>
  <c r="L231" i="1" s="1"/>
  <c r="M231" i="1" s="1"/>
  <c r="N231" i="1" s="1"/>
  <c r="O231" i="1" s="1"/>
  <c r="P231" i="1" s="1"/>
  <c r="Q230" i="1"/>
  <c r="R230" i="1" s="1"/>
  <c r="S230" i="1" s="1"/>
  <c r="T230" i="1" s="1"/>
  <c r="U230" i="1" s="1"/>
  <c r="V230" i="1" s="1"/>
  <c r="W230" i="1" s="1"/>
  <c r="Y229" i="1" l="1"/>
  <c r="Z229" i="1" s="1"/>
  <c r="X230" i="1"/>
  <c r="Q232" i="1"/>
  <c r="R232" i="1" s="1"/>
  <c r="S232" i="1" s="1"/>
  <c r="T232" i="1" s="1"/>
  <c r="U232" i="1" s="1"/>
  <c r="V232" i="1" s="1"/>
  <c r="W232" i="1" s="1"/>
  <c r="Q231" i="1"/>
  <c r="R231" i="1" s="1"/>
  <c r="S231" i="1" s="1"/>
  <c r="T231" i="1" s="1"/>
  <c r="U231" i="1" s="1"/>
  <c r="V231" i="1" s="1"/>
  <c r="W231" i="1" s="1"/>
  <c r="Y230" i="1" l="1"/>
  <c r="Z230" i="1" s="1"/>
  <c r="X231" i="1"/>
  <c r="X232" i="1"/>
  <c r="Y232" i="1" l="1"/>
  <c r="Z232" i="1" s="1"/>
  <c r="Y231" i="1"/>
  <c r="Z231" i="1" s="1"/>
</calcChain>
</file>

<file path=xl/sharedStrings.xml><?xml version="1.0" encoding="utf-8"?>
<sst xmlns="http://schemas.openxmlformats.org/spreadsheetml/2006/main" count="2573" uniqueCount="618">
  <si>
    <t>항목</t>
    <phoneticPr fontId="1" type="noConversion"/>
  </si>
  <si>
    <t>EAST_VCB_MAIN</t>
  </si>
  <si>
    <t>L1-L2</t>
    <phoneticPr fontId="1" type="noConversion"/>
  </si>
  <si>
    <t>L2-L3</t>
    <phoneticPr fontId="1" type="noConversion"/>
  </si>
  <si>
    <t>L3-L1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</si>
  <si>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</si>
  <si>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</si>
  <si>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</si>
  <si>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역률</t>
    <phoneticPr fontId="1" type="noConversion"/>
  </si>
  <si>
    <t>주파수</t>
    <phoneticPr fontId="1" type="noConversion"/>
  </si>
  <si>
    <t>유효전력</t>
    <phoneticPr fontId="1" type="noConversion"/>
  </si>
  <si>
    <t>유효전력량</t>
    <phoneticPr fontId="1" type="noConversion"/>
  </si>
  <si>
    <t>무효전력</t>
    <phoneticPr fontId="1" type="noConversion"/>
  </si>
  <si>
    <t>무효전력량</t>
    <phoneticPr fontId="1" type="noConversion"/>
  </si>
  <si>
    <t>전력피크</t>
    <phoneticPr fontId="1" type="noConversion"/>
  </si>
  <si>
    <t>On/Off</t>
    <phoneticPr fontId="1" type="noConversion"/>
  </si>
  <si>
    <t>OCR_L2</t>
    <phoneticPr fontId="1" type="noConversion"/>
  </si>
  <si>
    <t>OCR_L1</t>
    <phoneticPr fontId="1" type="noConversion"/>
  </si>
  <si>
    <t>OCR_L3</t>
    <phoneticPr fontId="1" type="noConversion"/>
  </si>
  <si>
    <t>OCGR</t>
    <phoneticPr fontId="1" type="noConversion"/>
  </si>
  <si>
    <t>OVR</t>
    <phoneticPr fontId="1" type="noConversion"/>
  </si>
  <si>
    <t>NO</t>
    <phoneticPr fontId="1" type="noConversion"/>
  </si>
  <si>
    <t>EAST_VCB_MAIN_1</t>
  </si>
  <si>
    <t>\ST</t>
    <phoneticPr fontId="1" type="noConversion"/>
  </si>
  <si>
    <t>\OCR_A</t>
    <phoneticPr fontId="1" type="noConversion"/>
  </si>
  <si>
    <t>\OCR_C</t>
    <phoneticPr fontId="1" type="noConversion"/>
  </si>
  <si>
    <t>\OCR_B</t>
    <phoneticPr fontId="1" type="noConversion"/>
  </si>
  <si>
    <t>\OCGR</t>
    <phoneticPr fontId="1" type="noConversion"/>
  </si>
  <si>
    <t>\OVR</t>
    <phoneticPr fontId="1" type="noConversion"/>
  </si>
  <si>
    <t>\V12</t>
    <phoneticPr fontId="1" type="noConversion"/>
  </si>
  <si>
    <t>\V23</t>
    <phoneticPr fontId="1" type="noConversion"/>
  </si>
  <si>
    <t>\V31</t>
    <phoneticPr fontId="1" type="noConversion"/>
  </si>
  <si>
    <t>\A1</t>
    <phoneticPr fontId="1" type="noConversion"/>
  </si>
  <si>
    <t>\A2</t>
  </si>
  <si>
    <t>\A3</t>
  </si>
  <si>
    <t>\AA</t>
    <phoneticPr fontId="1" type="noConversion"/>
  </si>
  <si>
    <t>\PF</t>
    <phoneticPr fontId="1" type="noConversion"/>
  </si>
  <si>
    <t>\HZ</t>
    <phoneticPr fontId="1" type="noConversion"/>
  </si>
  <si>
    <t>\KW</t>
    <phoneticPr fontId="1" type="noConversion"/>
  </si>
  <si>
    <t>\KHh</t>
    <phoneticPr fontId="1" type="noConversion"/>
  </si>
  <si>
    <t>\VA</t>
    <phoneticPr fontId="1" type="noConversion"/>
  </si>
  <si>
    <t>\VAH</t>
    <phoneticPr fontId="1" type="noConversion"/>
  </si>
  <si>
    <t>\PEAK</t>
    <phoneticPr fontId="1" type="noConversion"/>
  </si>
  <si>
    <t>EAST_VCB_MAIN_2</t>
  </si>
  <si>
    <t>EAST_VCB_1</t>
  </si>
  <si>
    <t>EAST_VCB_2</t>
  </si>
  <si>
    <t>EAST_VCB_3</t>
  </si>
  <si>
    <t>EAST_VCB_4</t>
  </si>
  <si>
    <t>EAST_VCB_5</t>
  </si>
  <si>
    <t>EAST_VCB_6</t>
  </si>
  <si>
    <t>EAST_VCB_7</t>
  </si>
  <si>
    <t>EAST_VCB_8</t>
  </si>
  <si>
    <t>EAST_ACB_1</t>
  </si>
  <si>
    <t>EAST_ACB_1_1</t>
  </si>
  <si>
    <t>EAST_ACB_2</t>
  </si>
  <si>
    <t>EAST_ACB_3</t>
  </si>
  <si>
    <t>EAST_ACB_3_1</t>
  </si>
  <si>
    <t>EAST_ACB_4</t>
  </si>
  <si>
    <t>EAST_ACB_5</t>
  </si>
  <si>
    <t>EAST_ACB_6</t>
  </si>
  <si>
    <t>EAST_ACB_7</t>
  </si>
  <si>
    <t>EAST_ACB_8</t>
  </si>
  <si>
    <t>EAST_ACB_8_1</t>
  </si>
  <si>
    <t>EAST_G_A</t>
  </si>
  <si>
    <t>EAST_G_B</t>
  </si>
  <si>
    <t>EAST_G_C</t>
  </si>
  <si>
    <t>EAST_AVR2_MCCB</t>
    <phoneticPr fontId="1" type="noConversion"/>
  </si>
  <si>
    <t>EAST_MBP1_ACB1</t>
    <phoneticPr fontId="1" type="noConversion"/>
  </si>
  <si>
    <t>EAST_MBP2_ACB1</t>
    <phoneticPr fontId="1" type="noConversion"/>
  </si>
  <si>
    <t>EAST_MDB_1B_1</t>
  </si>
  <si>
    <t>EAST_MDB_1B_2</t>
  </si>
  <si>
    <t>EAST_MDB_1B_3</t>
  </si>
  <si>
    <t>EAST_MDB_1B_4</t>
  </si>
  <si>
    <t>EAST_MDB_1B_5</t>
  </si>
  <si>
    <t>EAST_MDB_1B_6</t>
  </si>
  <si>
    <t>EAST_MDB_1B_7</t>
  </si>
  <si>
    <t>EAST_MDB_1C_1</t>
    <phoneticPr fontId="1" type="noConversion"/>
  </si>
  <si>
    <t>EAST_MDB_1C_2</t>
  </si>
  <si>
    <t>EAST_MDB_1C_3</t>
  </si>
  <si>
    <t>EAST_MDB_1C_4</t>
  </si>
  <si>
    <t>EAST_MDB_1C_5</t>
  </si>
  <si>
    <t>EAST_MDB_2A_1</t>
    <phoneticPr fontId="1" type="noConversion"/>
  </si>
  <si>
    <t>EAST_MDB_2A_2</t>
  </si>
  <si>
    <t>EAST_MDB_2A_3</t>
  </si>
  <si>
    <t>EAST_MDB_2A_4</t>
  </si>
  <si>
    <t>EAST_MDB_2A_5</t>
  </si>
  <si>
    <t>EAST_MDB_2B_1</t>
    <phoneticPr fontId="1" type="noConversion"/>
  </si>
  <si>
    <t>EAST_MDB_2B_2</t>
  </si>
  <si>
    <t>EAST_MDB_2B_3</t>
  </si>
  <si>
    <t>EAST_MDB_2B_4</t>
  </si>
  <si>
    <t>EAST_MDB_2B_5</t>
  </si>
  <si>
    <t>EAST_MDB_2B_6</t>
  </si>
  <si>
    <t>EAST_MDB_2B_7</t>
  </si>
  <si>
    <t>EAST_MDB_2B_8</t>
  </si>
  <si>
    <t>EAST_MDB_2B_9</t>
  </si>
  <si>
    <t>EAST_MDB_2B_10</t>
  </si>
  <si>
    <t>EAST_MDB_2C_1</t>
    <phoneticPr fontId="1" type="noConversion"/>
  </si>
  <si>
    <t>EAST_MDB_2C_2</t>
  </si>
  <si>
    <t>EAST_MDB_2C_3</t>
  </si>
  <si>
    <t>EAST_MDB_2C_4</t>
  </si>
  <si>
    <t>EAST_MDB_2C_5</t>
  </si>
  <si>
    <t>EAST_MDB_2C_6</t>
  </si>
  <si>
    <t>EAST_MDB_2C_7</t>
  </si>
  <si>
    <t>EAST_MDB_3B_1</t>
    <phoneticPr fontId="1" type="noConversion"/>
  </si>
  <si>
    <t>EAST_MDB_3B_2</t>
  </si>
  <si>
    <t>EAST_MDB_3B_3</t>
  </si>
  <si>
    <t>EAST_MDB_3B_4</t>
  </si>
  <si>
    <t>EAST_MDB_3B_5</t>
  </si>
  <si>
    <t>EAST_MDB_3B_6</t>
  </si>
  <si>
    <t>EAST_MDB_3B_7</t>
  </si>
  <si>
    <t>EAST_MDB_3B_8</t>
  </si>
  <si>
    <t>EAST_MDB_3B_9</t>
  </si>
  <si>
    <t>EAST_MDB_3B_10</t>
  </si>
  <si>
    <t>EAST_MDB_3C_1</t>
    <phoneticPr fontId="1" type="noConversion"/>
  </si>
  <si>
    <t>EAST_MDB_3C_2</t>
  </si>
  <si>
    <t>EAST_MDB_3C_3</t>
  </si>
  <si>
    <t>EAST_MDB_3C_4</t>
  </si>
  <si>
    <t>EAST_MDB_3C_5</t>
  </si>
  <si>
    <t>EAST_MDB_4A_1</t>
    <phoneticPr fontId="1" type="noConversion"/>
  </si>
  <si>
    <t>EAST_MDB_4A_2</t>
  </si>
  <si>
    <t>EAST_MDB_4A_3</t>
  </si>
  <si>
    <t>EAST_MDB_4B_1</t>
    <phoneticPr fontId="1" type="noConversion"/>
  </si>
  <si>
    <t>EAST_MDB_4B_2</t>
  </si>
  <si>
    <t>EAST_MDB_4B_3</t>
  </si>
  <si>
    <t>EAST_MDB_4B_4</t>
  </si>
  <si>
    <t>EAST_MDB_4B_5</t>
  </si>
  <si>
    <t>EAST_MDB_4B_6</t>
  </si>
  <si>
    <t>EAST_MDB_4B_7</t>
  </si>
  <si>
    <t>EAST_MDB_4B_8</t>
  </si>
  <si>
    <t>EAST_MDB_4C_1</t>
    <phoneticPr fontId="1" type="noConversion"/>
  </si>
  <si>
    <t>EAST_MDB_4C_2</t>
  </si>
  <si>
    <t>EAST_MDB_4C_3</t>
  </si>
  <si>
    <t>EAST_MDB_4C_4</t>
  </si>
  <si>
    <t>EAST_MDB_4C_5</t>
  </si>
  <si>
    <t>EAST_MDB_4C_6</t>
  </si>
  <si>
    <t>EAST_MDB_4C_7</t>
  </si>
  <si>
    <t>EAST_MDB_4C_8</t>
  </si>
  <si>
    <t>EAST_MDB_4C_9</t>
  </si>
  <si>
    <t>EAST_MDB_4C_10</t>
  </si>
  <si>
    <t>EAST_MDB_5A_1</t>
    <phoneticPr fontId="1" type="noConversion"/>
  </si>
  <si>
    <t>EAST_MDB_5A_2</t>
  </si>
  <si>
    <t>EAST_MDB_5A_3</t>
  </si>
  <si>
    <t>EAST_MDB_5A_4</t>
  </si>
  <si>
    <t>EAST_MDB_5B_1</t>
    <phoneticPr fontId="1" type="noConversion"/>
  </si>
  <si>
    <t>EAST_MDB_5B_2</t>
  </si>
  <si>
    <t>EAST_MDB_5B_3</t>
  </si>
  <si>
    <t>EAST_MDB_5B_4</t>
  </si>
  <si>
    <t>EAST_MDB_5B_5</t>
  </si>
  <si>
    <t>EAST_MDB_5B_6</t>
  </si>
  <si>
    <t>EAST_MDB_5B_7</t>
  </si>
  <si>
    <t>EAST_MDB_5B_8</t>
  </si>
  <si>
    <t>EAST_MDB_5B_9</t>
  </si>
  <si>
    <t>EAST_MDB_5B_10</t>
  </si>
  <si>
    <t>EAST_MDB_5B_11</t>
  </si>
  <si>
    <t>EAST_MDB_5B_12</t>
  </si>
  <si>
    <t>EAST_MDB_5C_1</t>
    <phoneticPr fontId="1" type="noConversion"/>
  </si>
  <si>
    <t>EAST_MDB_5C_2</t>
  </si>
  <si>
    <t>EAST_MDB_5C_3</t>
  </si>
  <si>
    <t>EAST_MDB_5C_4</t>
  </si>
  <si>
    <t>EAST_MDB_5C_5</t>
  </si>
  <si>
    <t>EAST_MDB_5C_6</t>
  </si>
  <si>
    <t>EAST_MDB_5C_7</t>
  </si>
  <si>
    <t>EAST_MDB_5C_8</t>
  </si>
  <si>
    <t>EAST_MDB_5C_9</t>
  </si>
  <si>
    <t>EAST_MDB_5C_10</t>
  </si>
  <si>
    <t>EAST_MDB_6A_1</t>
    <phoneticPr fontId="1" type="noConversion"/>
  </si>
  <si>
    <t>EAST_MDB_6A_2</t>
  </si>
  <si>
    <t>EAST_MDB_6A_3</t>
  </si>
  <si>
    <t>EAST_MDB_6A_4</t>
  </si>
  <si>
    <t>EAST_MDB_6B_1</t>
    <phoneticPr fontId="1" type="noConversion"/>
  </si>
  <si>
    <t>EAST_MDB_6B_2</t>
  </si>
  <si>
    <t>EAST_MDB_6B_3</t>
  </si>
  <si>
    <t>EAST_MDB_6B_4</t>
  </si>
  <si>
    <t>EAST_MDB_6B_5</t>
  </si>
  <si>
    <t>EAST_MDB_6B_6</t>
  </si>
  <si>
    <t>EAST_MDB_6B_7</t>
  </si>
  <si>
    <t>EAST_MDB_6B_8</t>
  </si>
  <si>
    <t>EAST_MDB_6B_9</t>
  </si>
  <si>
    <t>EAST_MDB_6B_10</t>
  </si>
  <si>
    <t>EAST_MDB_6B_11</t>
  </si>
  <si>
    <t>EAST_MDB_6C_1</t>
    <phoneticPr fontId="1" type="noConversion"/>
  </si>
  <si>
    <t>EAST_MDB_6C_2</t>
  </si>
  <si>
    <t>EAST_MDB_6C_3</t>
  </si>
  <si>
    <t>EAST_MDB_6C_4</t>
  </si>
  <si>
    <t>EAST_MDB_6C_5</t>
  </si>
  <si>
    <t>EAST_MDB_7A_1</t>
    <phoneticPr fontId="1" type="noConversion"/>
  </si>
  <si>
    <t>EAST_MDB_7A_2</t>
  </si>
  <si>
    <t>EAST_MDB_7A_3</t>
  </si>
  <si>
    <t>EAST_MDB_7A_4</t>
  </si>
  <si>
    <t>EAST_MDB_7B_1</t>
    <phoneticPr fontId="1" type="noConversion"/>
  </si>
  <si>
    <t>EAST_MDB_7B_2</t>
  </si>
  <si>
    <t>EAST_MDB_7B_3</t>
  </si>
  <si>
    <t>EAST_MDB_7B_4</t>
  </si>
  <si>
    <t>EAST_MDB_7B_5</t>
  </si>
  <si>
    <t>EAST_MDB_7B_6</t>
  </si>
  <si>
    <t>EAST_MDB_7B_7</t>
  </si>
  <si>
    <t>EAST_MDB_7B_8</t>
  </si>
  <si>
    <t>EAST_MDB_7B_9</t>
  </si>
  <si>
    <t>EAST_MDB_7B_10</t>
  </si>
  <si>
    <t>EAST_MDB_7C_1</t>
    <phoneticPr fontId="1" type="noConversion"/>
  </si>
  <si>
    <t>EAST_MDB_7C_2</t>
  </si>
  <si>
    <t>EAST_MDB_7C_3</t>
  </si>
  <si>
    <t>EAST_MDB_7C_4</t>
  </si>
  <si>
    <t>EAST_MDB_7C_5</t>
  </si>
  <si>
    <t>EAST_MDB_7C_6</t>
  </si>
  <si>
    <t>EAST_MDB_7C_7</t>
  </si>
  <si>
    <t>EAST_MDB_7C_8</t>
  </si>
  <si>
    <t>EAST_MDB_8B_1</t>
    <phoneticPr fontId="1" type="noConversion"/>
  </si>
  <si>
    <t>EAST_MDB_8B_2</t>
  </si>
  <si>
    <t>EAST_MDB_8B_3</t>
  </si>
  <si>
    <t>EAST_MDB_8B_4</t>
  </si>
  <si>
    <t>EAST_MDB_8B_5</t>
  </si>
  <si>
    <t>EAST_AVR2_1</t>
    <phoneticPr fontId="1" type="noConversion"/>
  </si>
  <si>
    <t>EAST_AVR2_2</t>
  </si>
  <si>
    <t>EAST_AVR2_3</t>
  </si>
  <si>
    <t>EAST_AVR2_4</t>
  </si>
  <si>
    <t>EAST_AVR2_5</t>
  </si>
  <si>
    <t>EAST_AVR2_6</t>
  </si>
  <si>
    <t>EAST_AVR2_7</t>
  </si>
  <si>
    <t>PLC No</t>
    <phoneticPr fontId="1" type="noConversion"/>
  </si>
  <si>
    <t>상태 (DI)</t>
    <phoneticPr fontId="1" type="noConversion"/>
  </si>
  <si>
    <t>Trip</t>
    <phoneticPr fontId="1" type="noConversion"/>
  </si>
  <si>
    <t>\TRIP</t>
    <phoneticPr fontId="1" type="noConversion"/>
  </si>
  <si>
    <t>ELD</t>
    <phoneticPr fontId="1" type="noConversion"/>
  </si>
  <si>
    <t>\ELD</t>
    <phoneticPr fontId="1" type="noConversion"/>
  </si>
  <si>
    <t>EAST_MDB_1B</t>
  </si>
  <si>
    <t>EAST_MDB_1C</t>
  </si>
  <si>
    <t>EAST_MDB_2A</t>
  </si>
  <si>
    <t>EAST_MDB_2B</t>
  </si>
  <si>
    <t>EAST_MDB_2C</t>
  </si>
  <si>
    <t>EAST_MDB_3B</t>
  </si>
  <si>
    <t>EAST_MDB_3C</t>
  </si>
  <si>
    <t>EAST_MDB_4A</t>
  </si>
  <si>
    <t>EAST_MDB_4B</t>
  </si>
  <si>
    <t>EAST_MDB_4C</t>
  </si>
  <si>
    <t>EAST_MDB_5A</t>
  </si>
  <si>
    <t>EAST_MDB_5B</t>
  </si>
  <si>
    <t>EAST_MDB_5C</t>
  </si>
  <si>
    <t>EAST_MDB_6A</t>
  </si>
  <si>
    <t>EAST_MDB_6B</t>
  </si>
  <si>
    <t>EAST_MDB_6C</t>
  </si>
  <si>
    <t>EAST_MDB_7A</t>
  </si>
  <si>
    <t>EAST_MDB_7B</t>
  </si>
  <si>
    <t>EAST_MDB_7C</t>
  </si>
  <si>
    <t>EAST_MDB_8B</t>
  </si>
  <si>
    <t>과전류</t>
    <phoneticPr fontId="1" type="noConversion"/>
  </si>
  <si>
    <t>\51G</t>
    <phoneticPr fontId="1" type="noConversion"/>
  </si>
  <si>
    <t>EAST_MBP1_ACB2</t>
    <phoneticPr fontId="1" type="noConversion"/>
  </si>
  <si>
    <t>EAST_MBP2_ACB2</t>
    <phoneticPr fontId="1" type="noConversion"/>
  </si>
  <si>
    <t>EAST_ATS</t>
  </si>
  <si>
    <t>EAST_TR_1</t>
  </si>
  <si>
    <t>EAST_TR_2</t>
  </si>
  <si>
    <t>EAST_TR_3</t>
  </si>
  <si>
    <t>EAST_TR_4</t>
  </si>
  <si>
    <t>EAST_TR_5</t>
  </si>
  <si>
    <t>EAST_TR_6</t>
  </si>
  <si>
    <t>EAST_TR_7</t>
  </si>
  <si>
    <t>EAST_TR_8</t>
  </si>
  <si>
    <t>EAST_CTTS_1</t>
  </si>
  <si>
    <t>EAST_CTTS_2</t>
  </si>
  <si>
    <t>EAST_CTTS_3</t>
  </si>
  <si>
    <t>EAST_CTTS_4</t>
  </si>
  <si>
    <t>EAST_CTTS_5</t>
  </si>
  <si>
    <t>EAST_CTTS_6</t>
  </si>
  <si>
    <t>EAST_CTTS_7</t>
  </si>
  <si>
    <t>EAST_CTTS_8</t>
  </si>
  <si>
    <t>EAST_D_TIE1</t>
  </si>
  <si>
    <t>EAST_D_TIE2</t>
  </si>
  <si>
    <t>EAST_TIE_12</t>
  </si>
  <si>
    <t>EAST_TIE_34</t>
  </si>
  <si>
    <t>EAST_TIE_56</t>
  </si>
  <si>
    <t>EAST_TIE_78</t>
  </si>
  <si>
    <t>지락
과전류</t>
    <phoneticPr fontId="1" type="noConversion"/>
  </si>
  <si>
    <t>\50_51</t>
    <phoneticPr fontId="1" type="noConversion"/>
  </si>
  <si>
    <t>Panel Name</t>
    <phoneticPr fontId="1" type="noConversion"/>
  </si>
  <si>
    <t>동관MainVCB</t>
  </si>
  <si>
    <t>EAST_ALTS</t>
  </si>
  <si>
    <t>ALTS3</t>
  </si>
  <si>
    <t>Main VCB</t>
  </si>
  <si>
    <t>7층MainVCB</t>
  </si>
  <si>
    <t>VCB(TR1)</t>
  </si>
  <si>
    <t>VCB(TR2)</t>
  </si>
  <si>
    <t>VCB(TR3)</t>
  </si>
  <si>
    <t>VCB(TR4)</t>
  </si>
  <si>
    <t>VCB(TR5)</t>
  </si>
  <si>
    <t>VCB(TR6)</t>
  </si>
  <si>
    <t>VCB(TR7)</t>
  </si>
  <si>
    <t>VCB(TR8)</t>
  </si>
  <si>
    <t>MDB_1A</t>
  </si>
  <si>
    <t>MDB_2A</t>
  </si>
  <si>
    <t>MDB_3A</t>
  </si>
  <si>
    <t>MDB_4A</t>
  </si>
  <si>
    <t>MDB_5A</t>
  </si>
  <si>
    <t>MDB_6A</t>
  </si>
  <si>
    <t>MDB_7A</t>
  </si>
  <si>
    <t>MDB_8A</t>
  </si>
  <si>
    <t>D_G1</t>
  </si>
  <si>
    <t>D_G2</t>
  </si>
  <si>
    <t>D_G3</t>
  </si>
  <si>
    <t>AVR2</t>
  </si>
  <si>
    <t>MBP1</t>
  </si>
  <si>
    <t>MBP2</t>
  </si>
  <si>
    <t>Mold_TR1</t>
  </si>
  <si>
    <t>Mold_TR2</t>
  </si>
  <si>
    <t>Mold_TR3</t>
  </si>
  <si>
    <t>Mold_TR4</t>
  </si>
  <si>
    <t>Mold_TR5</t>
  </si>
  <si>
    <t>Mold_TR6</t>
  </si>
  <si>
    <t>Mold_TR7</t>
  </si>
  <si>
    <t>Mold_TR8</t>
  </si>
  <si>
    <t>CTTS_1</t>
  </si>
  <si>
    <t>CTTS_2</t>
  </si>
  <si>
    <t>CTTS_3</t>
  </si>
  <si>
    <t>CTTS_4</t>
  </si>
  <si>
    <t>CTTS_5</t>
  </si>
  <si>
    <t>CTTS_6</t>
  </si>
  <si>
    <t>CTTS_7</t>
  </si>
  <si>
    <t>CTTS_8</t>
  </si>
  <si>
    <t>EAST_D_TIE1</t>
    <phoneticPr fontId="1" type="noConversion"/>
  </si>
  <si>
    <t>EAST_D_TIE2</t>
    <phoneticPr fontId="1" type="noConversion"/>
  </si>
  <si>
    <t>MDB_1C</t>
  </si>
  <si>
    <t>MDB_3C</t>
  </si>
  <si>
    <t>MDB_6C</t>
  </si>
  <si>
    <t>MDB_8B</t>
  </si>
  <si>
    <t>MDB_1B</t>
  </si>
  <si>
    <t>MDB_2B</t>
  </si>
  <si>
    <t>MDB_2C</t>
  </si>
  <si>
    <t>MDB_3B</t>
  </si>
  <si>
    <t>MDB_4B</t>
  </si>
  <si>
    <t>MDB_4C</t>
  </si>
  <si>
    <t>MDB_5B</t>
  </si>
  <si>
    <t>MDB_5C</t>
  </si>
  <si>
    <t>MDB_6B</t>
  </si>
  <si>
    <t>MDB_7B</t>
  </si>
  <si>
    <t>MDB_7C</t>
  </si>
  <si>
    <t>PLC01</t>
    <phoneticPr fontId="1" type="noConversion"/>
  </si>
  <si>
    <t>PLC02</t>
    <phoneticPr fontId="1" type="noConversion"/>
  </si>
  <si>
    <t>PLC03</t>
    <phoneticPr fontId="1" type="noConversion"/>
  </si>
  <si>
    <t>Alarm</t>
    <phoneticPr fontId="1" type="noConversion"/>
  </si>
  <si>
    <t>\TM</t>
    <phoneticPr fontId="1" type="noConversion"/>
  </si>
  <si>
    <t>기준 
Address</t>
    <phoneticPr fontId="1" type="noConversion"/>
  </si>
  <si>
    <t>기준
Address</t>
    <phoneticPr fontId="1" type="noConversion"/>
  </si>
  <si>
    <t>EAST_AVR2</t>
    <phoneticPr fontId="1" type="noConversion"/>
  </si>
  <si>
    <t>평균</t>
    <phoneticPr fontId="1" type="noConversion"/>
  </si>
  <si>
    <t>Tag List</t>
    <phoneticPr fontId="1" type="noConversion"/>
  </si>
  <si>
    <t>DI 개수</t>
    <phoneticPr fontId="1" type="noConversion"/>
  </si>
  <si>
    <t>AI 개수</t>
    <phoneticPr fontId="1" type="noConversion"/>
  </si>
  <si>
    <t xml:space="preserve">총 </t>
    <phoneticPr fontId="1" type="noConversion"/>
  </si>
  <si>
    <t>Project : 아산병원 통합 EPMS</t>
    <phoneticPr fontId="1" type="noConversion"/>
  </si>
  <si>
    <t>전압위상각</t>
    <phoneticPr fontId="1" type="noConversion"/>
  </si>
  <si>
    <t>전류 위상각</t>
    <phoneticPr fontId="1" type="noConversion"/>
  </si>
  <si>
    <t>Va</t>
  </si>
  <si>
    <t>Va</t>
    <phoneticPr fontId="1" type="noConversion"/>
  </si>
  <si>
    <t>Vc</t>
  </si>
  <si>
    <t>Vc</t>
    <phoneticPr fontId="1" type="noConversion"/>
  </si>
  <si>
    <t>Vb</t>
  </si>
  <si>
    <t>Vb</t>
    <phoneticPr fontId="1" type="noConversion"/>
  </si>
  <si>
    <t>Ia</t>
  </si>
  <si>
    <t>Ia</t>
    <phoneticPr fontId="1" type="noConversion"/>
  </si>
  <si>
    <t>Ib</t>
  </si>
  <si>
    <t>Ib</t>
    <phoneticPr fontId="1" type="noConversion"/>
  </si>
  <si>
    <t>Ic</t>
  </si>
  <si>
    <t>Ic</t>
    <phoneticPr fontId="1" type="noConversion"/>
  </si>
  <si>
    <t>\PI3</t>
  </si>
  <si>
    <t>\PI3</t>
    <phoneticPr fontId="1" type="noConversion"/>
  </si>
  <si>
    <t>\PI2</t>
  </si>
  <si>
    <t>\PI2</t>
    <phoneticPr fontId="1" type="noConversion"/>
  </si>
  <si>
    <t>\PI1</t>
  </si>
  <si>
    <t>\PI1</t>
    <phoneticPr fontId="1" type="noConversion"/>
  </si>
  <si>
    <t>\PV1</t>
  </si>
  <si>
    <t>\PV1</t>
    <phoneticPr fontId="1" type="noConversion"/>
  </si>
  <si>
    <t>\PV2</t>
  </si>
  <si>
    <t>\PV2</t>
    <phoneticPr fontId="1" type="noConversion"/>
  </si>
  <si>
    <t>\PV3</t>
  </si>
  <si>
    <t>\PV3</t>
    <phoneticPr fontId="1" type="noConversion"/>
  </si>
  <si>
    <t>전압 위상각</t>
    <phoneticPr fontId="1" type="noConversion"/>
  </si>
  <si>
    <t>총 
Word 수</t>
    <phoneticPr fontId="1" type="noConversion"/>
  </si>
  <si>
    <t>평균</t>
  </si>
  <si>
    <t>\VA</t>
  </si>
  <si>
    <t>L1-N</t>
  </si>
  <si>
    <t>L1-N</t>
    <phoneticPr fontId="1" type="noConversion"/>
  </si>
  <si>
    <t>L2-N</t>
  </si>
  <si>
    <t>L2-N</t>
    <phoneticPr fontId="1" type="noConversion"/>
  </si>
  <si>
    <t>L3-N</t>
  </si>
  <si>
    <t>L3-N</t>
    <phoneticPr fontId="1" type="noConversion"/>
  </si>
  <si>
    <t>\V1N</t>
  </si>
  <si>
    <t>\V1N</t>
    <phoneticPr fontId="1" type="noConversion"/>
  </si>
  <si>
    <t>\V2N</t>
  </si>
  <si>
    <t>\V2N</t>
    <phoneticPr fontId="1" type="noConversion"/>
  </si>
  <si>
    <t>\V3N</t>
  </si>
  <si>
    <t>\V3N</t>
    <phoneticPr fontId="1" type="noConversion"/>
  </si>
  <si>
    <t>전압</t>
    <phoneticPr fontId="1" type="noConversion"/>
  </si>
  <si>
    <t>TR_Alarm</t>
    <phoneticPr fontId="1" type="noConversion"/>
  </si>
  <si>
    <t>전류</t>
    <phoneticPr fontId="1" type="noConversion"/>
  </si>
  <si>
    <t>L1 고조파</t>
    <phoneticPr fontId="1" type="noConversion"/>
  </si>
  <si>
    <t>Ia THD</t>
    <phoneticPr fontId="1" type="noConversion"/>
  </si>
  <si>
    <t>Ia 3rd</t>
    <phoneticPr fontId="1" type="noConversion"/>
  </si>
  <si>
    <t>Ia 5th</t>
    <phoneticPr fontId="1" type="noConversion"/>
  </si>
  <si>
    <t>Ia 7th</t>
    <phoneticPr fontId="1" type="noConversion"/>
  </si>
  <si>
    <t>L2 고조파</t>
    <phoneticPr fontId="1" type="noConversion"/>
  </si>
  <si>
    <t>L3 고조파</t>
    <phoneticPr fontId="1" type="noConversion"/>
  </si>
  <si>
    <t>Ib THD</t>
  </si>
  <si>
    <t>Ib 3rd</t>
  </si>
  <si>
    <t>Ib 5th</t>
  </si>
  <si>
    <t>Ib 7th</t>
  </si>
  <si>
    <t>Ic THD</t>
  </si>
  <si>
    <t>Ic 3rd</t>
  </si>
  <si>
    <t>Ic 5th</t>
  </si>
  <si>
    <t>Ic 7th</t>
  </si>
  <si>
    <t>\H_A_1</t>
    <phoneticPr fontId="1" type="noConversion"/>
  </si>
  <si>
    <t>\H_A_3</t>
    <phoneticPr fontId="1" type="noConversion"/>
  </si>
  <si>
    <t>\H_A_5</t>
    <phoneticPr fontId="1" type="noConversion"/>
  </si>
  <si>
    <t>\H_A_7</t>
    <phoneticPr fontId="1" type="noConversion"/>
  </si>
  <si>
    <t>\H_B_1</t>
  </si>
  <si>
    <t>\H_B_3</t>
  </si>
  <si>
    <t>\H_B_5</t>
  </si>
  <si>
    <t>\H_B_7</t>
  </si>
  <si>
    <t>\H_C_1</t>
  </si>
  <si>
    <t>\H_C_3</t>
  </si>
  <si>
    <t>\H_C_5</t>
  </si>
  <si>
    <t>\H_C_7</t>
  </si>
  <si>
    <t>태그 명</t>
    <phoneticPr fontId="1" type="noConversion"/>
  </si>
  <si>
    <t>DB 컬럼 명</t>
    <phoneticPr fontId="1" type="noConversion"/>
  </si>
  <si>
    <t>voltage_ab</t>
  </si>
  <si>
    <t>voltage_bc</t>
  </si>
  <si>
    <t>voltage_ca</t>
    <phoneticPr fontId="1" type="noConversion"/>
  </si>
  <si>
    <t>voltage_an</t>
  </si>
  <si>
    <t>voltage_bn</t>
    <phoneticPr fontId="1" type="noConversion"/>
  </si>
  <si>
    <t>voltage_cn</t>
    <phoneticPr fontId="1" type="noConversion"/>
  </si>
  <si>
    <t>voltage_avg</t>
  </si>
  <si>
    <t>current_a</t>
  </si>
  <si>
    <t>current_b</t>
    <phoneticPr fontId="1" type="noConversion"/>
  </si>
  <si>
    <t>current_c</t>
    <phoneticPr fontId="1" type="noConversion"/>
  </si>
  <si>
    <t>current_avg</t>
    <phoneticPr fontId="1" type="noConversion"/>
  </si>
  <si>
    <t>power_factor</t>
    <phoneticPr fontId="1" type="noConversion"/>
  </si>
  <si>
    <t>frequency</t>
    <phoneticPr fontId="1" type="noConversion"/>
  </si>
  <si>
    <t>active_power_total</t>
  </si>
  <si>
    <t>active_energy</t>
  </si>
  <si>
    <t>reactive_energy</t>
  </si>
  <si>
    <t>reactive_power_total</t>
  </si>
  <si>
    <t>TABLE 명</t>
    <phoneticPr fontId="1" type="noConversion"/>
  </si>
  <si>
    <t>max_power</t>
  </si>
  <si>
    <t>thd_current_a</t>
  </si>
  <si>
    <t>thd_current_b</t>
    <phoneticPr fontId="1" type="noConversion"/>
  </si>
  <si>
    <t>thd_current_c</t>
    <phoneticPr fontId="1" type="noConversion"/>
  </si>
  <si>
    <t>current_h3_a</t>
  </si>
  <si>
    <t>current_h3_b</t>
    <phoneticPr fontId="1" type="noConversion"/>
  </si>
  <si>
    <t>current_h3_c</t>
    <phoneticPr fontId="1" type="noConversion"/>
  </si>
  <si>
    <t>current_h5_a</t>
    <phoneticPr fontId="1" type="noConversion"/>
  </si>
  <si>
    <t>current_h5_b</t>
    <phoneticPr fontId="1" type="noConversion"/>
  </si>
  <si>
    <t>current_h5_c</t>
    <phoneticPr fontId="1" type="noConversion"/>
  </si>
  <si>
    <t>current_h7_a</t>
    <phoneticPr fontId="1" type="noConversion"/>
  </si>
  <si>
    <t>current_h7_b</t>
    <phoneticPr fontId="1" type="noConversion"/>
  </si>
  <si>
    <t>current_h7_c</t>
    <phoneticPr fontId="1" type="noConversion"/>
  </si>
  <si>
    <t>voltage_phase_a</t>
  </si>
  <si>
    <t>voltage_phase_b</t>
  </si>
  <si>
    <t>voltage_phase_c</t>
    <phoneticPr fontId="1" type="noConversion"/>
  </si>
  <si>
    <t>current_phase_a</t>
  </si>
  <si>
    <t>current_phase_b</t>
    <phoneticPr fontId="1" type="noConversion"/>
  </si>
  <si>
    <t>current_phase_c</t>
    <phoneticPr fontId="1" type="noConversion"/>
  </si>
  <si>
    <t xml:space="preserve">harmonic_measurements </t>
    <phoneticPr fontId="1" type="noConversion"/>
  </si>
  <si>
    <t>L1 전류 고조파</t>
    <phoneticPr fontId="1" type="noConversion"/>
  </si>
  <si>
    <t>L2 전류 고조파</t>
    <phoneticPr fontId="1" type="noConversion"/>
  </si>
  <si>
    <t>L3 전류 고조파</t>
    <phoneticPr fontId="1" type="noConversion"/>
  </si>
  <si>
    <t>measurements</t>
    <phoneticPr fontId="1" type="noConversion"/>
  </si>
  <si>
    <t>alarm_log</t>
    <phoneticPr fontId="1" type="noConversion"/>
  </si>
  <si>
    <t>INSERT INTO alarm_log (
    meter_id, alarm_type, triggered_at, cleared_at, description
)
VALUES (
    101,                                             -- meter_id
    'Overheat',                                    -- alarm_type
    '2025-12-23 14:30:00',                     -- triggered_at
    NULL,                                           -- cleared_at (아직 해제되지 않음)
    '온도 센서 과열로 인한 알람 발생'      -- description
);</t>
    <phoneticPr fontId="1" type="noConversion"/>
  </si>
  <si>
    <t>DO</t>
    <phoneticPr fontId="1" type="noConversion"/>
  </si>
  <si>
    <t>경광등</t>
    <phoneticPr fontId="1" type="noConversion"/>
  </si>
  <si>
    <t>\LIGHT</t>
    <phoneticPr fontId="1" type="noConversion"/>
  </si>
  <si>
    <t>EAST_Light</t>
    <phoneticPr fontId="1" type="noConversion"/>
  </si>
  <si>
    <t>DCP</t>
    <phoneticPr fontId="1" type="noConversion"/>
  </si>
  <si>
    <t>선간평균</t>
    <phoneticPr fontId="1" type="noConversion"/>
  </si>
  <si>
    <t>\VVA</t>
    <phoneticPr fontId="1" type="noConversion"/>
  </si>
  <si>
    <t>상평균</t>
    <phoneticPr fontId="1" type="noConversion"/>
  </si>
  <si>
    <t>AN</t>
    <phoneticPr fontId="1" type="noConversion"/>
  </si>
  <si>
    <t>\ELD_1</t>
    <phoneticPr fontId="1" type="noConversion"/>
  </si>
  <si>
    <t>\ELD_2</t>
    <phoneticPr fontId="1" type="noConversion"/>
  </si>
  <si>
    <t>\ELD_3</t>
    <phoneticPr fontId="1" type="noConversion"/>
  </si>
  <si>
    <t>\ELD_4</t>
    <phoneticPr fontId="1" type="noConversion"/>
  </si>
  <si>
    <t>\ELD_5</t>
    <phoneticPr fontId="1" type="noConversion"/>
  </si>
  <si>
    <t>\ELD_6</t>
    <phoneticPr fontId="1" type="noConversion"/>
  </si>
  <si>
    <t>\ELD_7</t>
    <phoneticPr fontId="1" type="noConversion"/>
  </si>
  <si>
    <t>\ELD_8</t>
    <phoneticPr fontId="1" type="noConversion"/>
  </si>
  <si>
    <t>\ELD_9</t>
    <phoneticPr fontId="1" type="noConversion"/>
  </si>
  <si>
    <t>\ELD_0</t>
    <phoneticPr fontId="1" type="noConversion"/>
  </si>
  <si>
    <t>\ELD_11</t>
    <phoneticPr fontId="1" type="noConversion"/>
  </si>
  <si>
    <t>\ELD_12</t>
    <phoneticPr fontId="1" type="noConversion"/>
  </si>
  <si>
    <t>\ELD_13</t>
    <phoneticPr fontId="1" type="noConversion"/>
  </si>
  <si>
    <t>\ELD_14</t>
    <phoneticPr fontId="1" type="noConversion"/>
  </si>
  <si>
    <t>\ELD_15</t>
    <phoneticPr fontId="1" type="noConversion"/>
  </si>
  <si>
    <t>\ELD_16</t>
    <phoneticPr fontId="1" type="noConversion"/>
  </si>
  <si>
    <t>\AN</t>
    <phoneticPr fontId="1" type="noConversion"/>
  </si>
  <si>
    <t>PLC IO Address DI &amp; DO</t>
    <phoneticPr fontId="1" type="noConversion"/>
  </si>
  <si>
    <t>PLC IO Address AI</t>
    <phoneticPr fontId="1" type="noConversion"/>
  </si>
  <si>
    <t>HGMAP</t>
    <phoneticPr fontId="1" type="noConversion"/>
  </si>
  <si>
    <t>HGCAM</t>
    <phoneticPr fontId="1" type="noConversion"/>
  </si>
  <si>
    <t>특고압반</t>
    <phoneticPr fontId="1" type="noConversion"/>
  </si>
  <si>
    <t>저압반</t>
    <phoneticPr fontId="1" type="noConversion"/>
  </si>
  <si>
    <t>모델명</t>
    <phoneticPr fontId="1" type="noConversion"/>
  </si>
  <si>
    <t>용도</t>
    <phoneticPr fontId="1" type="noConversion"/>
  </si>
  <si>
    <t>계전기, 계측기 레지스터 번호</t>
    <phoneticPr fontId="1" type="noConversion"/>
  </si>
  <si>
    <t>x</t>
    <phoneticPr fontId="1" type="noConversion"/>
  </si>
  <si>
    <t>확인필요</t>
    <phoneticPr fontId="1" type="noConversion"/>
  </si>
  <si>
    <t>Ia 9th</t>
    <phoneticPr fontId="1" type="noConversion"/>
  </si>
  <si>
    <t>Ia 11th</t>
    <phoneticPr fontId="1" type="noConversion"/>
  </si>
  <si>
    <t>\H_A_9</t>
    <phoneticPr fontId="1" type="noConversion"/>
  </si>
  <si>
    <t>\H_A_11</t>
    <phoneticPr fontId="1" type="noConversion"/>
  </si>
  <si>
    <t>\H_B_11</t>
    <phoneticPr fontId="1" type="noConversion"/>
  </si>
  <si>
    <t>Ib 9th</t>
    <phoneticPr fontId="1" type="noConversion"/>
  </si>
  <si>
    <t>Ib 11th</t>
    <phoneticPr fontId="1" type="noConversion"/>
  </si>
  <si>
    <t>Ic 9th</t>
    <phoneticPr fontId="1" type="noConversion"/>
  </si>
  <si>
    <t>Ic 11th</t>
    <phoneticPr fontId="1" type="noConversion"/>
  </si>
  <si>
    <t>Ia_9th</t>
    <phoneticPr fontId="1" type="noConversion"/>
  </si>
  <si>
    <t>Ia_11th</t>
    <phoneticPr fontId="1" type="noConversion"/>
  </si>
  <si>
    <t>current_h9_a</t>
    <phoneticPr fontId="1" type="noConversion"/>
  </si>
  <si>
    <t>current_h11_a</t>
    <phoneticPr fontId="1" type="noConversion"/>
  </si>
  <si>
    <t>Ib_9th</t>
    <phoneticPr fontId="1" type="noConversion"/>
  </si>
  <si>
    <t>Ib_11th</t>
    <phoneticPr fontId="1" type="noConversion"/>
  </si>
  <si>
    <t>Ic_9th</t>
    <phoneticPr fontId="1" type="noConversion"/>
  </si>
  <si>
    <t>Ic_11th</t>
    <phoneticPr fontId="1" type="noConversion"/>
  </si>
  <si>
    <t>\H_C_11</t>
    <phoneticPr fontId="1" type="noConversion"/>
  </si>
  <si>
    <t>\H_C_9</t>
    <phoneticPr fontId="1" type="noConversion"/>
  </si>
  <si>
    <t>\H_B_9</t>
    <phoneticPr fontId="1" type="noConversion"/>
  </si>
  <si>
    <t>current_h9_b</t>
    <phoneticPr fontId="1" type="noConversion"/>
  </si>
  <si>
    <t>current_h11_b</t>
    <phoneticPr fontId="1" type="noConversion"/>
  </si>
  <si>
    <t>current_h9_c</t>
    <phoneticPr fontId="1" type="noConversion"/>
  </si>
  <si>
    <t>current_h11_c</t>
    <phoneticPr fontId="1" type="noConversion"/>
  </si>
  <si>
    <t>Ic 9th</t>
    <phoneticPr fontId="1" type="noConversion"/>
  </si>
  <si>
    <t>Ic 11th</t>
    <phoneticPr fontId="1" type="noConversion"/>
  </si>
  <si>
    <t>L1 전압 고조파</t>
  </si>
  <si>
    <t>L2 전압 고조파</t>
  </si>
  <si>
    <t>L3 전압 고조파</t>
  </si>
  <si>
    <t>Va THD</t>
  </si>
  <si>
    <t>Va 3rd</t>
  </si>
  <si>
    <t>Va 5th</t>
  </si>
  <si>
    <t>Va 7th</t>
  </si>
  <si>
    <t>Va 9th</t>
  </si>
  <si>
    <t>Va 11th</t>
  </si>
  <si>
    <t>Vb THD</t>
  </si>
  <si>
    <t>Vb 3rd</t>
  </si>
  <si>
    <t>Vb 5th</t>
  </si>
  <si>
    <t>Vb 7th</t>
  </si>
  <si>
    <t>Vb 9th</t>
  </si>
  <si>
    <t>Vb 11th</t>
  </si>
  <si>
    <t>Vc THD</t>
  </si>
  <si>
    <t>Vc 3rd</t>
  </si>
  <si>
    <t>Vc 5th</t>
  </si>
  <si>
    <t>Vc 7th</t>
  </si>
  <si>
    <t>Vc 9th</t>
  </si>
  <si>
    <t>Vc 11th</t>
  </si>
  <si>
    <t>\H_VA_1</t>
  </si>
  <si>
    <t>\H_VA_3</t>
  </si>
  <si>
    <t>\H_VA_5</t>
  </si>
  <si>
    <t>\H_VA_7</t>
  </si>
  <si>
    <t>\H_VA_9</t>
  </si>
  <si>
    <t>\H_VA_11</t>
  </si>
  <si>
    <t>\H_VB_1</t>
  </si>
  <si>
    <t>\H_VB_3</t>
  </si>
  <si>
    <t>\H_VB_5</t>
  </si>
  <si>
    <t>\H_VB_7</t>
  </si>
  <si>
    <t>\H_VB_11</t>
  </si>
  <si>
    <t>\H_VB_9</t>
    <phoneticPr fontId="1" type="noConversion"/>
  </si>
  <si>
    <t>\H_VC_1</t>
  </si>
  <si>
    <t>\H_VC_3</t>
  </si>
  <si>
    <t>\H_VC_5</t>
  </si>
  <si>
    <t>\H_VC_7</t>
  </si>
  <si>
    <t>\H_VC_9</t>
  </si>
  <si>
    <t>\H_VC_11</t>
  </si>
  <si>
    <t>\H_IA_1</t>
  </si>
  <si>
    <t>\H_IA_3</t>
  </si>
  <si>
    <t>\H_IA_5</t>
  </si>
  <si>
    <t>\H_IA_7</t>
  </si>
  <si>
    <t>\H_IA_9</t>
  </si>
  <si>
    <t>\H_IA_11</t>
  </si>
  <si>
    <t>\H_IB_1</t>
  </si>
  <si>
    <t>\H_IB_3</t>
  </si>
  <si>
    <t>\H_IB_5</t>
  </si>
  <si>
    <t>\H_IB_7</t>
  </si>
  <si>
    <t>\H_IB_11</t>
  </si>
  <si>
    <t>\H_IB_9</t>
    <phoneticPr fontId="1" type="noConversion"/>
  </si>
  <si>
    <t>\H_IC_1</t>
  </si>
  <si>
    <t>\H_IC_3</t>
  </si>
  <si>
    <t>\H_IC_5</t>
  </si>
  <si>
    <t>\H_IC_7</t>
  </si>
  <si>
    <t>\H_IC_9</t>
  </si>
  <si>
    <t>\H_IC_11</t>
  </si>
  <si>
    <t>address 간격</t>
    <phoneticPr fontId="1" type="noConversion"/>
  </si>
  <si>
    <t>과전류
(한시)</t>
    <phoneticPr fontId="1" type="noConversion"/>
  </si>
  <si>
    <t>과전류
(순시)</t>
    <phoneticPr fontId="1" type="noConversion"/>
  </si>
  <si>
    <t>EAST_MDB_4A</t>
    <phoneticPr fontId="1" type="noConversion"/>
  </si>
  <si>
    <t>EAST_MDB_4A_ELD</t>
    <phoneticPr fontId="1" type="noConversion"/>
  </si>
  <si>
    <t>EAST_MDB_4B_ELD</t>
    <phoneticPr fontId="1" type="noConversion"/>
  </si>
  <si>
    <t>EAST_MDB_4C_ELD</t>
    <phoneticPr fontId="1" type="noConversion"/>
  </si>
  <si>
    <t>EAST_MDB_1B_ELD</t>
    <phoneticPr fontId="1" type="noConversion"/>
  </si>
  <si>
    <t>EAST_MDB_1C_ELD</t>
    <phoneticPr fontId="1" type="noConversion"/>
  </si>
  <si>
    <t>EAST_MDB_2A_ELD</t>
    <phoneticPr fontId="1" type="noConversion"/>
  </si>
  <si>
    <t>On2/Off2</t>
    <phoneticPr fontId="1" type="noConversion"/>
  </si>
  <si>
    <t>On1/Off1</t>
    <phoneticPr fontId="1" type="noConversion"/>
  </si>
  <si>
    <t>\ST1</t>
    <phoneticPr fontId="1" type="noConversion"/>
  </si>
  <si>
    <t>\ST2</t>
    <phoneticPr fontId="1" type="noConversion"/>
  </si>
  <si>
    <t>EAST_MDB_2B_ELD</t>
    <phoneticPr fontId="1" type="noConversion"/>
  </si>
  <si>
    <t>EAST_MDB_2C_ELD</t>
    <phoneticPr fontId="1" type="noConversion"/>
  </si>
  <si>
    <t>EAST_MDB_3B_ELD</t>
    <phoneticPr fontId="1" type="noConversion"/>
  </si>
  <si>
    <t>EAST_MDB_3C_ELD</t>
    <phoneticPr fontId="1" type="noConversion"/>
  </si>
  <si>
    <t>EAST_MDB_5A_ELD</t>
    <phoneticPr fontId="1" type="noConversion"/>
  </si>
  <si>
    <t>EAST_MDB_5B_ELD</t>
    <phoneticPr fontId="1" type="noConversion"/>
  </si>
  <si>
    <t>EAST_MDB_5C_ELD</t>
    <phoneticPr fontId="1" type="noConversion"/>
  </si>
  <si>
    <t>EAST_MDB_6A_ELD</t>
    <phoneticPr fontId="1" type="noConversion"/>
  </si>
  <si>
    <t>EAST_MDB_6B_ELD</t>
    <phoneticPr fontId="1" type="noConversion"/>
  </si>
  <si>
    <t>EAST_MDB_6C_ELD</t>
    <phoneticPr fontId="1" type="noConversion"/>
  </si>
  <si>
    <t>EAST_MDB_7A_ELD</t>
    <phoneticPr fontId="1" type="noConversion"/>
  </si>
  <si>
    <t>EAST_MDB_7B_ELD</t>
    <phoneticPr fontId="1" type="noConversion"/>
  </si>
  <si>
    <t>EAST_MDB_7C_ELD</t>
    <phoneticPr fontId="1" type="noConversion"/>
  </si>
  <si>
    <t>EAST_MDB_8B_ELD</t>
    <phoneticPr fontId="1" type="noConversion"/>
  </si>
  <si>
    <t>EAST_AVR2_ELD</t>
    <phoneticPr fontId="1" type="noConversion"/>
  </si>
  <si>
    <t>IR</t>
    <phoneticPr fontId="1" type="noConversion"/>
  </si>
  <si>
    <t>\IR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</si>
</sst>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₩&quot;#,##0;[Red]\-&quot;₩&quot;#,##0"/>
    <numFmt numFmtId="41" formatCode="_-* #,##0_-;\-* #,##0_-;_-* &quot;-&quot;_-;_-@_-"/>
    <numFmt numFmtId="176" formatCode="00000"/>
    <numFmt numFmtId="177" formatCode="0.0"/>
  </numFmts>
  <fonts count="10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5" fillId="4" borderId="1" xfId="0" applyFont="1" applyFill="1" applyBorder="1" applyAlignment="1">
      <alignment horizontal="center" vertical="center"/>
    </xf>
    <xf numFmtId="41" fontId="0" fillId="0" borderId="1" xfId="1" applyFont="1" applyBorder="1">
      <alignment vertical="center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177" fontId="2" fillId="0" borderId="1" xfId="0" applyNumberFormat="1" applyFont="1" applyBorder="1">
      <alignment vertical="center"/>
    </xf>
    <xf numFmtId="177" fontId="2" fillId="4" borderId="1" xfId="0" applyNumberFormat="1" applyFont="1" applyFill="1" applyBorder="1">
      <alignment vertical="center"/>
    </xf>
    <xf numFmtId="0" fontId="5" fillId="4" borderId="1" xfId="0" applyFont="1" applyFill="1" applyBorder="1">
      <alignment vertical="center"/>
    </xf>
    <xf numFmtId="176" fontId="2" fillId="4" borderId="1" xfId="0" applyNumberFormat="1" applyFont="1" applyFill="1" applyBorder="1">
      <alignment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>
      <alignment vertical="center"/>
    </xf>
    <xf numFmtId="0" fontId="0" fillId="4" borderId="1" xfId="0" applyFill="1" applyBorder="1">
      <alignment vertical="center"/>
    </xf>
    <xf numFmtId="0" fontId="8" fillId="0" borderId="1" xfId="0" applyFont="1" applyBorder="1" applyAlignment="1">
      <alignment horizontal="justify" vertical="center" wrapText="1"/>
    </xf>
    <xf numFmtId="0" fontId="7" fillId="0" borderId="1" xfId="0" applyFont="1" applyBorder="1">
      <alignment vertical="center"/>
    </xf>
    <xf numFmtId="177" fontId="2" fillId="2" borderId="1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6" fontId="2" fillId="0" borderId="1" xfId="0" applyNumberFormat="1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68C3B-5E6B-43D8-8EC8-90691603C43F}">
  <sheetPr>
    <pageSetUpPr fitToPage="1"/>
  </sheetPr>
  <dimension ref="A1:AH233"/>
  <sheetViews>
    <sheetView workbookViewId="0">
      <pane xSplit="3" ySplit="7" topLeftCell="D158" activePane="bottomRight" state="frozen"/>
      <selection pane="topRight" activeCell="D1" sqref="D1"/>
      <selection pane="bottomLeft" activeCell="A8" sqref="A8"/>
      <selection pane="bottomRight" activeCell="L175" sqref="L175"/>
    </sheetView>
  </sheetViews>
  <sheetFormatPr defaultRowHeight="13.5" x14ac:dyDescent="0.25"/>
  <cols>
    <col min="1" max="1" width="7.42578125" customWidth="1"/>
    <col min="2" max="2" width="8.7109375" style="1"/>
    <col min="3" max="4" width="16.7109375" style="1" customWidth="1"/>
    <col min="15" max="15" width="11.42578125" customWidth="1"/>
    <col min="16" max="16" width="12" bestFit="1" customWidth="1"/>
    <col min="17" max="17" width="10.42578125" bestFit="1" customWidth="1"/>
    <col min="34" max="34" width="11.42578125" customWidth="1"/>
  </cols>
  <sheetData>
    <row r="1" spans="1:34" ht="20.25" x14ac:dyDescent="0.25">
      <c r="A1" s="9" t="s">
        <v>493</v>
      </c>
    </row>
    <row r="3" spans="1:34" x14ac:dyDescent="0.25">
      <c r="A3" t="s">
        <v>348</v>
      </c>
    </row>
    <row r="4" spans="1:34" ht="17.100000000000001" customHeight="1" x14ac:dyDescent="0.25">
      <c r="A4" s="48" t="s">
        <v>21</v>
      </c>
      <c r="B4" s="48" t="s">
        <v>219</v>
      </c>
      <c r="C4" s="40" t="s">
        <v>0</v>
      </c>
      <c r="D4" s="40" t="s">
        <v>274</v>
      </c>
      <c r="E4" s="41" t="s">
        <v>341</v>
      </c>
      <c r="F4" s="37" t="s">
        <v>220</v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9"/>
      <c r="AH4" s="31" t="s">
        <v>467</v>
      </c>
    </row>
    <row r="5" spans="1:34" x14ac:dyDescent="0.25">
      <c r="A5" s="48"/>
      <c r="B5" s="48"/>
      <c r="C5" s="40"/>
      <c r="D5" s="40"/>
      <c r="E5" s="41"/>
      <c r="F5" s="40" t="s">
        <v>598</v>
      </c>
      <c r="G5" s="40" t="s">
        <v>597</v>
      </c>
      <c r="H5" s="40" t="s">
        <v>221</v>
      </c>
      <c r="I5" s="40" t="s">
        <v>392</v>
      </c>
      <c r="J5" s="40" t="s">
        <v>17</v>
      </c>
      <c r="K5" s="40" t="s">
        <v>16</v>
      </c>
      <c r="L5" s="40" t="s">
        <v>18</v>
      </c>
      <c r="M5" s="40" t="s">
        <v>19</v>
      </c>
      <c r="N5" s="40" t="s">
        <v>20</v>
      </c>
      <c r="O5" s="41" t="s">
        <v>589</v>
      </c>
      <c r="P5" s="41" t="s">
        <v>588</v>
      </c>
      <c r="Q5" s="41" t="s">
        <v>272</v>
      </c>
      <c r="R5" s="42" t="s">
        <v>223</v>
      </c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4"/>
      <c r="AH5" s="49" t="s">
        <v>468</v>
      </c>
    </row>
    <row r="6" spans="1:34" x14ac:dyDescent="0.25">
      <c r="A6" s="48"/>
      <c r="B6" s="48"/>
      <c r="C6" s="40"/>
      <c r="D6" s="40"/>
      <c r="E6" s="41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5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7"/>
      <c r="AH6" s="50"/>
    </row>
    <row r="7" spans="1:34" x14ac:dyDescent="0.25">
      <c r="A7" s="48"/>
      <c r="B7" s="48"/>
      <c r="C7" s="40"/>
      <c r="D7" s="40"/>
      <c r="E7" s="41"/>
      <c r="F7" s="4" t="s">
        <v>599</v>
      </c>
      <c r="G7" s="4" t="s">
        <v>600</v>
      </c>
      <c r="H7" s="4" t="s">
        <v>222</v>
      </c>
      <c r="I7" s="4" t="s">
        <v>339</v>
      </c>
      <c r="J7" s="4" t="s">
        <v>24</v>
      </c>
      <c r="K7" s="4" t="s">
        <v>26</v>
      </c>
      <c r="L7" s="4" t="s">
        <v>25</v>
      </c>
      <c r="M7" s="4" t="s">
        <v>27</v>
      </c>
      <c r="N7" s="4" t="s">
        <v>28</v>
      </c>
      <c r="O7" s="35">
        <v>50</v>
      </c>
      <c r="P7" s="35">
        <v>51</v>
      </c>
      <c r="Q7" s="4" t="s">
        <v>246</v>
      </c>
      <c r="R7" s="4" t="s">
        <v>476</v>
      </c>
      <c r="S7" s="4" t="s">
        <v>477</v>
      </c>
      <c r="T7" s="4" t="s">
        <v>478</v>
      </c>
      <c r="U7" s="4" t="s">
        <v>479</v>
      </c>
      <c r="V7" s="4" t="s">
        <v>480</v>
      </c>
      <c r="W7" s="4" t="s">
        <v>481</v>
      </c>
      <c r="X7" s="4" t="s">
        <v>482</v>
      </c>
      <c r="Y7" s="4" t="s">
        <v>483</v>
      </c>
      <c r="Z7" s="4" t="s">
        <v>484</v>
      </c>
      <c r="AA7" s="4" t="s">
        <v>485</v>
      </c>
      <c r="AB7" s="4" t="s">
        <v>486</v>
      </c>
      <c r="AC7" s="4" t="s">
        <v>487</v>
      </c>
      <c r="AD7" s="4" t="s">
        <v>488</v>
      </c>
      <c r="AE7" s="4" t="s">
        <v>489</v>
      </c>
      <c r="AF7" s="4" t="s">
        <v>490</v>
      </c>
      <c r="AG7" s="4" t="s">
        <v>491</v>
      </c>
      <c r="AH7" s="31" t="s">
        <v>469</v>
      </c>
    </row>
    <row r="8" spans="1:34" s="15" customFormat="1" x14ac:dyDescent="0.25">
      <c r="A8" s="11">
        <v>1</v>
      </c>
      <c r="B8" s="11" t="s">
        <v>335</v>
      </c>
      <c r="C8" s="11" t="s">
        <v>52</v>
      </c>
      <c r="D8" s="11" t="s">
        <v>288</v>
      </c>
      <c r="E8" s="16">
        <f>410001</f>
        <v>410001</v>
      </c>
      <c r="F8" s="13" t="str">
        <f>$E8&amp;".1"</f>
        <v>410001.1</v>
      </c>
      <c r="G8" s="13"/>
      <c r="H8" s="13" t="str">
        <f>$E8&amp;".3"</f>
        <v>410001.3</v>
      </c>
      <c r="I8" s="13"/>
      <c r="J8" s="13"/>
      <c r="K8" s="13"/>
      <c r="L8" s="13"/>
      <c r="M8" s="13"/>
      <c r="N8" s="13"/>
      <c r="O8" s="13" t="str">
        <f>$E8&amp;".10"</f>
        <v>410001.10</v>
      </c>
      <c r="P8" s="13" t="str">
        <f>$E8&amp;".11"</f>
        <v>410001.11</v>
      </c>
      <c r="Q8" s="13" t="str">
        <f>$E8&amp;".12"</f>
        <v>410001.12</v>
      </c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6"/>
    </row>
    <row r="9" spans="1:34" x14ac:dyDescent="0.25">
      <c r="A9" s="3">
        <v>2</v>
      </c>
      <c r="B9" s="3" t="s">
        <v>335</v>
      </c>
      <c r="C9" s="8" t="s">
        <v>53</v>
      </c>
      <c r="D9" s="8" t="s">
        <v>288</v>
      </c>
      <c r="E9" s="4">
        <f>E8+1</f>
        <v>410002</v>
      </c>
      <c r="F9" s="7" t="str">
        <f t="shared" ref="F9:F72" si="0">$E9&amp;".1"</f>
        <v>410002.1</v>
      </c>
      <c r="G9" s="7"/>
      <c r="H9" s="7" t="str">
        <f t="shared" ref="H9:H72" si="1">$E9&amp;".3"</f>
        <v>410002.3</v>
      </c>
      <c r="I9" s="7"/>
      <c r="J9" s="7"/>
      <c r="K9" s="7"/>
      <c r="L9" s="7"/>
      <c r="M9" s="7"/>
      <c r="N9" s="7"/>
      <c r="O9" s="7" t="str">
        <f t="shared" ref="O9:O56" si="2">$E9&amp;".10"</f>
        <v>410002.10</v>
      </c>
      <c r="P9" s="7" t="str">
        <f t="shared" ref="P9:P56" si="3">$E9&amp;".11"</f>
        <v>410002.11</v>
      </c>
      <c r="Q9" s="7" t="str">
        <f t="shared" ref="Q9:Q56" si="4">$E9&amp;".12"</f>
        <v>410002.12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4"/>
    </row>
    <row r="10" spans="1:34" x14ac:dyDescent="0.25">
      <c r="A10" s="3">
        <v>3</v>
      </c>
      <c r="B10" s="3" t="s">
        <v>335</v>
      </c>
      <c r="C10" s="3" t="s">
        <v>250</v>
      </c>
      <c r="D10" s="3" t="s">
        <v>302</v>
      </c>
      <c r="E10" s="4">
        <f t="shared" ref="E10:E73" si="5">E9+1</f>
        <v>410003</v>
      </c>
      <c r="F10" s="7"/>
      <c r="G10" s="7"/>
      <c r="H10" s="2"/>
      <c r="I10" s="7" t="str">
        <f>$E10&amp;".4"</f>
        <v>410003.4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4"/>
    </row>
    <row r="11" spans="1:34" x14ac:dyDescent="0.25">
      <c r="A11" s="3">
        <v>4</v>
      </c>
      <c r="B11" s="3" t="s">
        <v>335</v>
      </c>
      <c r="C11" s="3" t="s">
        <v>258</v>
      </c>
      <c r="D11" s="3" t="s">
        <v>310</v>
      </c>
      <c r="E11" s="4">
        <f t="shared" si="5"/>
        <v>410004</v>
      </c>
      <c r="F11" s="7" t="str">
        <f t="shared" si="0"/>
        <v>410004.1</v>
      </c>
      <c r="G11" s="7" t="str">
        <f>$E11&amp;".2"</f>
        <v>410004.2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4"/>
    </row>
    <row r="12" spans="1:34" x14ac:dyDescent="0.25">
      <c r="A12" s="3">
        <v>5</v>
      </c>
      <c r="B12" s="3" t="s">
        <v>335</v>
      </c>
      <c r="C12" s="8" t="s">
        <v>594</v>
      </c>
      <c r="D12" s="3" t="s">
        <v>324</v>
      </c>
      <c r="E12" s="4">
        <f t="shared" si="5"/>
        <v>410005</v>
      </c>
      <c r="F12" s="2"/>
      <c r="G12" s="2"/>
      <c r="H12" s="2"/>
      <c r="I12" s="7"/>
      <c r="J12" s="2"/>
      <c r="K12" s="2"/>
      <c r="L12" s="2"/>
      <c r="M12" s="2"/>
      <c r="N12" s="2"/>
      <c r="O12" s="2"/>
      <c r="P12" s="2"/>
      <c r="Q12" s="2"/>
      <c r="R12" s="29" t="str">
        <f>$E12&amp;".1"</f>
        <v>410005.1</v>
      </c>
      <c r="S12" s="29" t="str">
        <f>$E12&amp;".2"</f>
        <v>410005.2</v>
      </c>
      <c r="T12" s="29" t="str">
        <f>$E12&amp;".3"</f>
        <v>410005.3</v>
      </c>
      <c r="U12" s="29" t="str">
        <f>$E12&amp;".4"</f>
        <v>410005.4</v>
      </c>
      <c r="V12" s="29" t="str">
        <f>$E12&amp;".5"</f>
        <v>410005.5</v>
      </c>
      <c r="W12" s="29" t="str">
        <f>$E12&amp;".6"</f>
        <v>410005.6</v>
      </c>
      <c r="X12" s="29" t="str">
        <f>$E12&amp;".7"</f>
        <v>410005.7</v>
      </c>
      <c r="Y12" s="29" t="str">
        <f>$E12&amp;".8"</f>
        <v>410005.8</v>
      </c>
      <c r="Z12" s="29" t="str">
        <f>$E12&amp;".9"</f>
        <v>410005.9</v>
      </c>
      <c r="AA12" s="29" t="str">
        <f>$E12&amp;".10"</f>
        <v>410005.10</v>
      </c>
      <c r="AB12" s="29" t="str">
        <f>$E12&amp;".11"</f>
        <v>410005.11</v>
      </c>
      <c r="AC12" s="29" t="str">
        <f>$E12&amp;".12"</f>
        <v>410005.12</v>
      </c>
      <c r="AD12" s="29" t="str">
        <f>$E12&amp;".13"</f>
        <v>410005.13</v>
      </c>
      <c r="AE12" s="29" t="str">
        <f>$E12&amp;".14"</f>
        <v>410005.14</v>
      </c>
      <c r="AF12" s="29" t="str">
        <f>$E12&amp;".16"</f>
        <v>410005.16</v>
      </c>
      <c r="AG12" s="29" t="str">
        <f>$E12&amp;".16"</f>
        <v>410005.16</v>
      </c>
      <c r="AH12" s="4"/>
    </row>
    <row r="13" spans="1:34" x14ac:dyDescent="0.25">
      <c r="A13" s="3">
        <v>6</v>
      </c>
      <c r="B13" s="3" t="s">
        <v>335</v>
      </c>
      <c r="C13" s="3" t="s">
        <v>69</v>
      </c>
      <c r="D13" s="3" t="s">
        <v>324</v>
      </c>
      <c r="E13" s="4">
        <f>E12+1</f>
        <v>410006</v>
      </c>
      <c r="F13" s="7" t="str">
        <f t="shared" si="0"/>
        <v>410006.1</v>
      </c>
      <c r="G13" s="7"/>
      <c r="H13" s="7" t="str">
        <f t="shared" si="1"/>
        <v>410006.3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4"/>
    </row>
    <row r="14" spans="1:34" x14ac:dyDescent="0.25">
      <c r="A14" s="3">
        <v>7</v>
      </c>
      <c r="B14" s="3" t="s">
        <v>335</v>
      </c>
      <c r="C14" s="3" t="s">
        <v>70</v>
      </c>
      <c r="D14" s="3" t="s">
        <v>324</v>
      </c>
      <c r="E14" s="4">
        <f t="shared" si="5"/>
        <v>410007</v>
      </c>
      <c r="F14" s="7" t="str">
        <f t="shared" si="0"/>
        <v>410007.1</v>
      </c>
      <c r="G14" s="7"/>
      <c r="H14" s="7" t="str">
        <f t="shared" si="1"/>
        <v>410007.3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4"/>
    </row>
    <row r="15" spans="1:34" x14ac:dyDescent="0.25">
      <c r="A15" s="3">
        <v>8</v>
      </c>
      <c r="B15" s="3" t="s">
        <v>335</v>
      </c>
      <c r="C15" s="3" t="s">
        <v>71</v>
      </c>
      <c r="D15" s="3" t="s">
        <v>324</v>
      </c>
      <c r="E15" s="4">
        <f t="shared" si="5"/>
        <v>410008</v>
      </c>
      <c r="F15" s="7" t="str">
        <f t="shared" si="0"/>
        <v>410008.1</v>
      </c>
      <c r="G15" s="7"/>
      <c r="H15" s="7" t="str">
        <f t="shared" si="1"/>
        <v>410008.3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4"/>
    </row>
    <row r="16" spans="1:34" x14ac:dyDescent="0.25">
      <c r="A16" s="3">
        <v>9</v>
      </c>
      <c r="B16" s="3" t="s">
        <v>335</v>
      </c>
      <c r="C16" s="3" t="s">
        <v>72</v>
      </c>
      <c r="D16" s="3" t="s">
        <v>324</v>
      </c>
      <c r="E16" s="4">
        <f t="shared" si="5"/>
        <v>410009</v>
      </c>
      <c r="F16" s="7" t="str">
        <f t="shared" si="0"/>
        <v>410009.1</v>
      </c>
      <c r="G16" s="7"/>
      <c r="H16" s="7" t="str">
        <f t="shared" si="1"/>
        <v>410009.3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4"/>
    </row>
    <row r="17" spans="1:34" x14ac:dyDescent="0.25">
      <c r="A17" s="3">
        <v>10</v>
      </c>
      <c r="B17" s="3" t="s">
        <v>335</v>
      </c>
      <c r="C17" s="3" t="s">
        <v>73</v>
      </c>
      <c r="D17" s="3" t="s">
        <v>324</v>
      </c>
      <c r="E17" s="4">
        <f t="shared" si="5"/>
        <v>410010</v>
      </c>
      <c r="F17" s="7" t="str">
        <f t="shared" si="0"/>
        <v>410010.1</v>
      </c>
      <c r="G17" s="7"/>
      <c r="H17" s="7" t="str">
        <f t="shared" si="1"/>
        <v>410010.3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4"/>
    </row>
    <row r="18" spans="1:34" x14ac:dyDescent="0.25">
      <c r="A18" s="3">
        <v>11</v>
      </c>
      <c r="B18" s="3" t="s">
        <v>335</v>
      </c>
      <c r="C18" s="3" t="s">
        <v>74</v>
      </c>
      <c r="D18" s="3" t="s">
        <v>324</v>
      </c>
      <c r="E18" s="4">
        <f t="shared" si="5"/>
        <v>410011</v>
      </c>
      <c r="F18" s="7" t="str">
        <f t="shared" si="0"/>
        <v>410011.1</v>
      </c>
      <c r="G18" s="7"/>
      <c r="H18" s="7" t="str">
        <f t="shared" si="1"/>
        <v>410011.3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4"/>
    </row>
    <row r="19" spans="1:34" x14ac:dyDescent="0.25">
      <c r="A19" s="3">
        <v>12</v>
      </c>
      <c r="B19" s="3" t="s">
        <v>335</v>
      </c>
      <c r="C19" s="3" t="s">
        <v>75</v>
      </c>
      <c r="D19" s="3" t="s">
        <v>324</v>
      </c>
      <c r="E19" s="4">
        <f t="shared" si="5"/>
        <v>410012</v>
      </c>
      <c r="F19" s="7" t="str">
        <f t="shared" si="0"/>
        <v>410012.1</v>
      </c>
      <c r="G19" s="7"/>
      <c r="H19" s="7" t="str">
        <f t="shared" si="1"/>
        <v>410012.3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4"/>
    </row>
    <row r="20" spans="1:34" x14ac:dyDescent="0.25">
      <c r="A20" s="3">
        <v>13</v>
      </c>
      <c r="B20" s="3" t="s">
        <v>335</v>
      </c>
      <c r="C20" s="8" t="s">
        <v>595</v>
      </c>
      <c r="D20" s="3" t="s">
        <v>320</v>
      </c>
      <c r="E20" s="4">
        <f t="shared" si="5"/>
        <v>410013</v>
      </c>
      <c r="F20" s="2"/>
      <c r="G20" s="2"/>
      <c r="H20" s="2"/>
      <c r="I20" s="7"/>
      <c r="J20" s="2"/>
      <c r="K20" s="2"/>
      <c r="L20" s="2"/>
      <c r="M20" s="2"/>
      <c r="N20" s="2"/>
      <c r="O20" s="2"/>
      <c r="P20" s="2"/>
      <c r="Q20" s="2"/>
      <c r="R20" s="29" t="str">
        <f t="shared" ref="R20:R80" si="6">$E20&amp;".1"</f>
        <v>410013.1</v>
      </c>
      <c r="S20" s="29" t="str">
        <f t="shared" ref="S20:S80" si="7">$E20&amp;".2"</f>
        <v>410013.2</v>
      </c>
      <c r="T20" s="29" t="str">
        <f t="shared" ref="T20:T80" si="8">$E20&amp;".3"</f>
        <v>410013.3</v>
      </c>
      <c r="U20" s="29" t="str">
        <f t="shared" ref="U20:U80" si="9">$E20&amp;".4"</f>
        <v>410013.4</v>
      </c>
      <c r="V20" s="29" t="str">
        <f t="shared" ref="V20:V80" si="10">$E20&amp;".5"</f>
        <v>410013.5</v>
      </c>
      <c r="W20" s="29" t="str">
        <f t="shared" ref="W20:W80" si="11">$E20&amp;".6"</f>
        <v>410013.6</v>
      </c>
      <c r="X20" s="29" t="str">
        <f t="shared" ref="X20:X80" si="12">$E20&amp;".7"</f>
        <v>410013.7</v>
      </c>
      <c r="Y20" s="29" t="str">
        <f t="shared" ref="Y20:Y80" si="13">$E20&amp;".8"</f>
        <v>410013.8</v>
      </c>
      <c r="Z20" s="29" t="str">
        <f t="shared" ref="Z20:Z80" si="14">$E20&amp;".9"</f>
        <v>410013.9</v>
      </c>
      <c r="AA20" s="29" t="str">
        <f t="shared" ref="AA20:AA80" si="15">$E20&amp;".10"</f>
        <v>410013.10</v>
      </c>
      <c r="AB20" s="29" t="str">
        <f t="shared" ref="AB20:AB80" si="16">$E20&amp;".11"</f>
        <v>410013.11</v>
      </c>
      <c r="AC20" s="29" t="str">
        <f t="shared" ref="AC20:AC80" si="17">$E20&amp;".12"</f>
        <v>410013.12</v>
      </c>
      <c r="AD20" s="29" t="str">
        <f t="shared" ref="AD20:AD80" si="18">$E20&amp;".13"</f>
        <v>410013.13</v>
      </c>
      <c r="AE20" s="29" t="str">
        <f t="shared" ref="AE20:AE80" si="19">$E20&amp;".14"</f>
        <v>410013.14</v>
      </c>
      <c r="AF20" s="29" t="str">
        <f t="shared" ref="AF20:AG47" si="20">$E20&amp;".16"</f>
        <v>410013.16</v>
      </c>
      <c r="AG20" s="29" t="str">
        <f t="shared" si="20"/>
        <v>410013.16</v>
      </c>
      <c r="AH20" s="4"/>
    </row>
    <row r="21" spans="1:34" x14ac:dyDescent="0.25">
      <c r="A21" s="3">
        <v>14</v>
      </c>
      <c r="B21" s="3" t="s">
        <v>335</v>
      </c>
      <c r="C21" s="3" t="s">
        <v>268</v>
      </c>
      <c r="D21" s="3" t="s">
        <v>320</v>
      </c>
      <c r="E21" s="4">
        <f>E20+1</f>
        <v>410014</v>
      </c>
      <c r="F21" s="7" t="str">
        <f t="shared" si="0"/>
        <v>410014.1</v>
      </c>
      <c r="G21" s="7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4"/>
    </row>
    <row r="22" spans="1:34" x14ac:dyDescent="0.25">
      <c r="A22" s="3">
        <v>15</v>
      </c>
      <c r="B22" s="3" t="s">
        <v>335</v>
      </c>
      <c r="C22" s="3" t="s">
        <v>76</v>
      </c>
      <c r="D22" s="3" t="s">
        <v>320</v>
      </c>
      <c r="E22" s="4">
        <f t="shared" si="5"/>
        <v>410015</v>
      </c>
      <c r="F22" s="7" t="str">
        <f t="shared" si="0"/>
        <v>410015.1</v>
      </c>
      <c r="G22" s="7"/>
      <c r="H22" s="7" t="str">
        <f t="shared" si="1"/>
        <v>410015.3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4"/>
    </row>
    <row r="23" spans="1:34" x14ac:dyDescent="0.25">
      <c r="A23" s="3">
        <v>16</v>
      </c>
      <c r="B23" s="3" t="s">
        <v>335</v>
      </c>
      <c r="C23" s="3" t="s">
        <v>77</v>
      </c>
      <c r="D23" s="3" t="s">
        <v>320</v>
      </c>
      <c r="E23" s="4">
        <f t="shared" si="5"/>
        <v>410016</v>
      </c>
      <c r="F23" s="7" t="str">
        <f t="shared" si="0"/>
        <v>410016.1</v>
      </c>
      <c r="G23" s="7"/>
      <c r="H23" s="7" t="str">
        <f t="shared" si="1"/>
        <v>410016.3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4"/>
    </row>
    <row r="24" spans="1:34" x14ac:dyDescent="0.25">
      <c r="A24" s="3">
        <v>17</v>
      </c>
      <c r="B24" s="3" t="s">
        <v>335</v>
      </c>
      <c r="C24" s="3" t="s">
        <v>78</v>
      </c>
      <c r="D24" s="3" t="s">
        <v>320</v>
      </c>
      <c r="E24" s="4">
        <f t="shared" si="5"/>
        <v>410017</v>
      </c>
      <c r="F24" s="7" t="str">
        <f t="shared" si="0"/>
        <v>410017.1</v>
      </c>
      <c r="G24" s="7"/>
      <c r="H24" s="7" t="str">
        <f t="shared" si="1"/>
        <v>410017.3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4"/>
    </row>
    <row r="25" spans="1:34" x14ac:dyDescent="0.25">
      <c r="A25" s="3">
        <v>18</v>
      </c>
      <c r="B25" s="3" t="s">
        <v>335</v>
      </c>
      <c r="C25" s="3" t="s">
        <v>79</v>
      </c>
      <c r="D25" s="3" t="s">
        <v>320</v>
      </c>
      <c r="E25" s="4">
        <f t="shared" si="5"/>
        <v>410018</v>
      </c>
      <c r="F25" s="7" t="str">
        <f t="shared" si="0"/>
        <v>410018.1</v>
      </c>
      <c r="G25" s="7"/>
      <c r="H25" s="7" t="str">
        <f t="shared" si="1"/>
        <v>410018.3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4"/>
    </row>
    <row r="26" spans="1:34" x14ac:dyDescent="0.25">
      <c r="A26" s="3">
        <v>19</v>
      </c>
      <c r="B26" s="3" t="s">
        <v>335</v>
      </c>
      <c r="C26" s="3" t="s">
        <v>80</v>
      </c>
      <c r="D26" s="3" t="s">
        <v>320</v>
      </c>
      <c r="E26" s="4">
        <f t="shared" si="5"/>
        <v>410019</v>
      </c>
      <c r="F26" s="7" t="str">
        <f t="shared" si="0"/>
        <v>410019.1</v>
      </c>
      <c r="G26" s="7"/>
      <c r="H26" s="7" t="str">
        <f t="shared" si="1"/>
        <v>410019.3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4"/>
    </row>
    <row r="27" spans="1:34" x14ac:dyDescent="0.25">
      <c r="A27" s="3">
        <v>20</v>
      </c>
      <c r="B27" s="3" t="s">
        <v>335</v>
      </c>
      <c r="C27" s="8" t="s">
        <v>54</v>
      </c>
      <c r="D27" s="8" t="s">
        <v>289</v>
      </c>
      <c r="E27" s="4">
        <f t="shared" si="5"/>
        <v>410020</v>
      </c>
      <c r="F27" s="7" t="str">
        <f t="shared" si="0"/>
        <v>410020.1</v>
      </c>
      <c r="G27" s="7"/>
      <c r="H27" s="7" t="str">
        <f t="shared" si="1"/>
        <v>410020.3</v>
      </c>
      <c r="I27" s="7"/>
      <c r="J27" s="7"/>
      <c r="K27" s="7"/>
      <c r="L27" s="7"/>
      <c r="M27" s="7"/>
      <c r="N27" s="7"/>
      <c r="O27" s="7" t="str">
        <f t="shared" si="2"/>
        <v>410020.10</v>
      </c>
      <c r="P27" s="7" t="str">
        <f t="shared" si="3"/>
        <v>410020.11</v>
      </c>
      <c r="Q27" s="7" t="str">
        <f t="shared" si="4"/>
        <v>410020.12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4"/>
    </row>
    <row r="28" spans="1:34" x14ac:dyDescent="0.25">
      <c r="A28" s="3">
        <v>21</v>
      </c>
      <c r="B28" s="3" t="s">
        <v>335</v>
      </c>
      <c r="C28" s="8" t="s">
        <v>596</v>
      </c>
      <c r="D28" s="3" t="s">
        <v>289</v>
      </c>
      <c r="E28" s="4">
        <f t="shared" si="5"/>
        <v>410021</v>
      </c>
      <c r="F28" s="2"/>
      <c r="G28" s="2"/>
      <c r="H28" s="2"/>
      <c r="I28" s="7"/>
      <c r="J28" s="2"/>
      <c r="K28" s="2"/>
      <c r="L28" s="2"/>
      <c r="M28" s="2"/>
      <c r="N28" s="2"/>
      <c r="O28" s="2"/>
      <c r="P28" s="2"/>
      <c r="Q28" s="2"/>
      <c r="R28" s="29" t="str">
        <f t="shared" si="6"/>
        <v>410021.1</v>
      </c>
      <c r="S28" s="29" t="str">
        <f t="shared" si="7"/>
        <v>410021.2</v>
      </c>
      <c r="T28" s="29" t="str">
        <f t="shared" si="8"/>
        <v>410021.3</v>
      </c>
      <c r="U28" s="29" t="str">
        <f t="shared" si="9"/>
        <v>410021.4</v>
      </c>
      <c r="V28" s="29" t="str">
        <f t="shared" si="10"/>
        <v>410021.5</v>
      </c>
      <c r="W28" s="29" t="str">
        <f t="shared" si="11"/>
        <v>410021.6</v>
      </c>
      <c r="X28" s="29" t="str">
        <f t="shared" si="12"/>
        <v>410021.7</v>
      </c>
      <c r="Y28" s="29" t="str">
        <f t="shared" si="13"/>
        <v>410021.8</v>
      </c>
      <c r="Z28" s="29" t="str">
        <f t="shared" si="14"/>
        <v>410021.9</v>
      </c>
      <c r="AA28" s="29" t="str">
        <f t="shared" si="15"/>
        <v>410021.10</v>
      </c>
      <c r="AB28" s="29" t="str">
        <f t="shared" si="16"/>
        <v>410021.11</v>
      </c>
      <c r="AC28" s="29" t="str">
        <f t="shared" si="17"/>
        <v>410021.12</v>
      </c>
      <c r="AD28" s="29" t="str">
        <f t="shared" si="18"/>
        <v>410021.13</v>
      </c>
      <c r="AE28" s="29" t="str">
        <f t="shared" si="19"/>
        <v>410021.14</v>
      </c>
      <c r="AF28" s="29" t="str">
        <f t="shared" si="20"/>
        <v>410021.16</v>
      </c>
      <c r="AG28" s="29" t="str">
        <f t="shared" si="20"/>
        <v>410021.16</v>
      </c>
      <c r="AH28" s="4"/>
    </row>
    <row r="29" spans="1:34" x14ac:dyDescent="0.25">
      <c r="A29" s="3">
        <v>22</v>
      </c>
      <c r="B29" s="3" t="s">
        <v>335</v>
      </c>
      <c r="C29" s="3" t="s">
        <v>251</v>
      </c>
      <c r="D29" s="3" t="s">
        <v>303</v>
      </c>
      <c r="E29" s="4">
        <f t="shared" si="5"/>
        <v>410022</v>
      </c>
      <c r="F29" s="7"/>
      <c r="G29" s="7"/>
      <c r="H29" s="2"/>
      <c r="I29" s="7" t="str">
        <f t="shared" ref="I29:I87" si="21">$E29&amp;".4"</f>
        <v>410022.4</v>
      </c>
      <c r="J29" s="2"/>
      <c r="K29" s="2"/>
      <c r="L29" s="2"/>
      <c r="M29" s="2"/>
      <c r="N29" s="2"/>
      <c r="O29" s="2"/>
      <c r="P29" s="2"/>
      <c r="Q29" s="2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4"/>
    </row>
    <row r="30" spans="1:34" x14ac:dyDescent="0.25">
      <c r="A30" s="3">
        <v>23</v>
      </c>
      <c r="B30" s="3" t="s">
        <v>335</v>
      </c>
      <c r="C30" s="3" t="s">
        <v>259</v>
      </c>
      <c r="D30" s="3" t="s">
        <v>311</v>
      </c>
      <c r="E30" s="4">
        <f t="shared" si="5"/>
        <v>410023</v>
      </c>
      <c r="F30" s="7" t="str">
        <f t="shared" si="0"/>
        <v>410023.1</v>
      </c>
      <c r="G30" s="7" t="str">
        <f>$E30&amp;".2"</f>
        <v>410023.2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4"/>
    </row>
    <row r="31" spans="1:34" x14ac:dyDescent="0.25">
      <c r="A31" s="3">
        <v>24</v>
      </c>
      <c r="B31" s="3" t="s">
        <v>335</v>
      </c>
      <c r="C31" s="3" t="s">
        <v>81</v>
      </c>
      <c r="D31" s="3" t="s">
        <v>289</v>
      </c>
      <c r="E31" s="4">
        <f t="shared" si="5"/>
        <v>410024</v>
      </c>
      <c r="F31" s="7" t="str">
        <f t="shared" si="0"/>
        <v>410024.1</v>
      </c>
      <c r="G31" s="7"/>
      <c r="H31" s="7" t="str">
        <f t="shared" si="1"/>
        <v>410024.3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4"/>
    </row>
    <row r="32" spans="1:34" x14ac:dyDescent="0.25">
      <c r="A32" s="3">
        <v>25</v>
      </c>
      <c r="B32" s="3" t="s">
        <v>335</v>
      </c>
      <c r="C32" s="3" t="s">
        <v>82</v>
      </c>
      <c r="D32" s="3" t="s">
        <v>289</v>
      </c>
      <c r="E32" s="4">
        <f t="shared" si="5"/>
        <v>410025</v>
      </c>
      <c r="F32" s="7" t="str">
        <f t="shared" si="0"/>
        <v>410025.1</v>
      </c>
      <c r="G32" s="7"/>
      <c r="H32" s="7" t="str">
        <f t="shared" si="1"/>
        <v>410025.3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4"/>
    </row>
    <row r="33" spans="1:34" x14ac:dyDescent="0.25">
      <c r="A33" s="3">
        <v>26</v>
      </c>
      <c r="B33" s="3" t="s">
        <v>335</v>
      </c>
      <c r="C33" s="3" t="s">
        <v>83</v>
      </c>
      <c r="D33" s="3" t="s">
        <v>289</v>
      </c>
      <c r="E33" s="4">
        <f t="shared" si="5"/>
        <v>410026</v>
      </c>
      <c r="F33" s="7" t="str">
        <f t="shared" si="0"/>
        <v>410026.1</v>
      </c>
      <c r="G33" s="7"/>
      <c r="H33" s="7" t="str">
        <f t="shared" si="1"/>
        <v>410026.3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4"/>
    </row>
    <row r="34" spans="1:34" x14ac:dyDescent="0.25">
      <c r="A34" s="3">
        <v>27</v>
      </c>
      <c r="B34" s="3" t="s">
        <v>335</v>
      </c>
      <c r="C34" s="3" t="s">
        <v>84</v>
      </c>
      <c r="D34" s="3" t="s">
        <v>289</v>
      </c>
      <c r="E34" s="4">
        <f t="shared" si="5"/>
        <v>410027</v>
      </c>
      <c r="F34" s="7" t="str">
        <f t="shared" si="0"/>
        <v>410027.1</v>
      </c>
      <c r="G34" s="7"/>
      <c r="H34" s="7" t="str">
        <f t="shared" si="1"/>
        <v>410027.3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4"/>
    </row>
    <row r="35" spans="1:34" x14ac:dyDescent="0.25">
      <c r="A35" s="3">
        <v>28</v>
      </c>
      <c r="B35" s="3" t="s">
        <v>335</v>
      </c>
      <c r="C35" s="3" t="s">
        <v>85</v>
      </c>
      <c r="D35" s="3" t="s">
        <v>289</v>
      </c>
      <c r="E35" s="4">
        <f t="shared" si="5"/>
        <v>410028</v>
      </c>
      <c r="F35" s="7" t="str">
        <f t="shared" si="0"/>
        <v>410028.1</v>
      </c>
      <c r="G35" s="7"/>
      <c r="H35" s="7" t="str">
        <f t="shared" si="1"/>
        <v>410028.3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4"/>
    </row>
    <row r="36" spans="1:34" x14ac:dyDescent="0.25">
      <c r="A36" s="3">
        <v>29</v>
      </c>
      <c r="B36" s="3" t="s">
        <v>335</v>
      </c>
      <c r="C36" s="8" t="s">
        <v>601</v>
      </c>
      <c r="D36" s="3" t="s">
        <v>325</v>
      </c>
      <c r="E36" s="4">
        <f t="shared" si="5"/>
        <v>410029</v>
      </c>
      <c r="F36" s="2"/>
      <c r="G36" s="2"/>
      <c r="H36" s="2"/>
      <c r="I36" s="7"/>
      <c r="J36" s="2"/>
      <c r="K36" s="2"/>
      <c r="L36" s="2"/>
      <c r="M36" s="2"/>
      <c r="N36" s="2"/>
      <c r="O36" s="2"/>
      <c r="P36" s="2"/>
      <c r="Q36" s="2"/>
      <c r="R36" s="29" t="str">
        <f t="shared" si="6"/>
        <v>410029.1</v>
      </c>
      <c r="S36" s="29" t="str">
        <f t="shared" si="7"/>
        <v>410029.2</v>
      </c>
      <c r="T36" s="29" t="str">
        <f t="shared" si="8"/>
        <v>410029.3</v>
      </c>
      <c r="U36" s="29" t="str">
        <f t="shared" si="9"/>
        <v>410029.4</v>
      </c>
      <c r="V36" s="29" t="str">
        <f t="shared" si="10"/>
        <v>410029.5</v>
      </c>
      <c r="W36" s="29" t="str">
        <f t="shared" si="11"/>
        <v>410029.6</v>
      </c>
      <c r="X36" s="29" t="str">
        <f t="shared" si="12"/>
        <v>410029.7</v>
      </c>
      <c r="Y36" s="29" t="str">
        <f t="shared" si="13"/>
        <v>410029.8</v>
      </c>
      <c r="Z36" s="29" t="str">
        <f t="shared" si="14"/>
        <v>410029.9</v>
      </c>
      <c r="AA36" s="29" t="str">
        <f t="shared" si="15"/>
        <v>410029.10</v>
      </c>
      <c r="AB36" s="29" t="str">
        <f t="shared" si="16"/>
        <v>410029.11</v>
      </c>
      <c r="AC36" s="29" t="str">
        <f t="shared" si="17"/>
        <v>410029.12</v>
      </c>
      <c r="AD36" s="29" t="str">
        <f t="shared" si="18"/>
        <v>410029.13</v>
      </c>
      <c r="AE36" s="29" t="str">
        <f t="shared" si="19"/>
        <v>410029.14</v>
      </c>
      <c r="AF36" s="29" t="str">
        <f t="shared" si="20"/>
        <v>410029.16</v>
      </c>
      <c r="AG36" s="29" t="str">
        <f t="shared" si="20"/>
        <v>410029.16</v>
      </c>
      <c r="AH36" s="4"/>
    </row>
    <row r="37" spans="1:34" x14ac:dyDescent="0.25">
      <c r="A37" s="3">
        <v>30</v>
      </c>
      <c r="B37" s="3" t="s">
        <v>335</v>
      </c>
      <c r="C37" s="3" t="s">
        <v>86</v>
      </c>
      <c r="D37" s="3" t="s">
        <v>325</v>
      </c>
      <c r="E37" s="4">
        <f t="shared" si="5"/>
        <v>410030</v>
      </c>
      <c r="F37" s="7" t="str">
        <f t="shared" si="0"/>
        <v>410030.1</v>
      </c>
      <c r="G37" s="7"/>
      <c r="H37" s="7" t="str">
        <f t="shared" si="1"/>
        <v>410030.3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4"/>
    </row>
    <row r="38" spans="1:34" x14ac:dyDescent="0.25">
      <c r="A38" s="3">
        <v>31</v>
      </c>
      <c r="B38" s="3" t="s">
        <v>335</v>
      </c>
      <c r="C38" s="3" t="s">
        <v>87</v>
      </c>
      <c r="D38" s="3" t="s">
        <v>325</v>
      </c>
      <c r="E38" s="4">
        <f t="shared" si="5"/>
        <v>410031</v>
      </c>
      <c r="F38" s="7" t="str">
        <f t="shared" si="0"/>
        <v>410031.1</v>
      </c>
      <c r="G38" s="7"/>
      <c r="H38" s="7" t="str">
        <f t="shared" si="1"/>
        <v>410031.3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4"/>
    </row>
    <row r="39" spans="1:34" x14ac:dyDescent="0.25">
      <c r="A39" s="3">
        <v>32</v>
      </c>
      <c r="B39" s="3" t="s">
        <v>335</v>
      </c>
      <c r="C39" s="3" t="s">
        <v>88</v>
      </c>
      <c r="D39" s="3" t="s">
        <v>325</v>
      </c>
      <c r="E39" s="4">
        <f t="shared" si="5"/>
        <v>410032</v>
      </c>
      <c r="F39" s="7" t="str">
        <f t="shared" si="0"/>
        <v>410032.1</v>
      </c>
      <c r="G39" s="7"/>
      <c r="H39" s="7" t="str">
        <f t="shared" si="1"/>
        <v>410032.3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4"/>
    </row>
    <row r="40" spans="1:34" x14ac:dyDescent="0.25">
      <c r="A40" s="3">
        <v>33</v>
      </c>
      <c r="B40" s="3" t="s">
        <v>335</v>
      </c>
      <c r="C40" s="3" t="s">
        <v>89</v>
      </c>
      <c r="D40" s="3" t="s">
        <v>325</v>
      </c>
      <c r="E40" s="4">
        <f t="shared" si="5"/>
        <v>410033</v>
      </c>
      <c r="F40" s="7" t="str">
        <f t="shared" si="0"/>
        <v>410033.1</v>
      </c>
      <c r="G40" s="7"/>
      <c r="H40" s="7" t="str">
        <f t="shared" si="1"/>
        <v>410033.3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4"/>
    </row>
    <row r="41" spans="1:34" x14ac:dyDescent="0.25">
      <c r="A41" s="3">
        <v>34</v>
      </c>
      <c r="B41" s="3" t="s">
        <v>335</v>
      </c>
      <c r="C41" s="3" t="s">
        <v>90</v>
      </c>
      <c r="D41" s="3" t="s">
        <v>325</v>
      </c>
      <c r="E41" s="4">
        <f t="shared" si="5"/>
        <v>410034</v>
      </c>
      <c r="F41" s="7" t="str">
        <f t="shared" si="0"/>
        <v>410034.1</v>
      </c>
      <c r="G41" s="7"/>
      <c r="H41" s="7" t="str">
        <f t="shared" si="1"/>
        <v>410034.3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4"/>
    </row>
    <row r="42" spans="1:34" x14ac:dyDescent="0.25">
      <c r="A42" s="3">
        <v>35</v>
      </c>
      <c r="B42" s="3" t="s">
        <v>335</v>
      </c>
      <c r="C42" s="3" t="s">
        <v>91</v>
      </c>
      <c r="D42" s="3" t="s">
        <v>325</v>
      </c>
      <c r="E42" s="4">
        <f t="shared" si="5"/>
        <v>410035</v>
      </c>
      <c r="F42" s="7" t="str">
        <f t="shared" si="0"/>
        <v>410035.1</v>
      </c>
      <c r="G42" s="7"/>
      <c r="H42" s="7" t="str">
        <f t="shared" si="1"/>
        <v>410035.3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4"/>
    </row>
    <row r="43" spans="1:34" x14ac:dyDescent="0.25">
      <c r="A43" s="3">
        <v>36</v>
      </c>
      <c r="B43" s="3" t="s">
        <v>335</v>
      </c>
      <c r="C43" s="3" t="s">
        <v>92</v>
      </c>
      <c r="D43" s="3" t="s">
        <v>325</v>
      </c>
      <c r="E43" s="4">
        <f t="shared" si="5"/>
        <v>410036</v>
      </c>
      <c r="F43" s="7" t="str">
        <f t="shared" si="0"/>
        <v>410036.1</v>
      </c>
      <c r="G43" s="7"/>
      <c r="H43" s="7" t="str">
        <f t="shared" si="1"/>
        <v>410036.3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4"/>
    </row>
    <row r="44" spans="1:34" x14ac:dyDescent="0.25">
      <c r="A44" s="3">
        <v>37</v>
      </c>
      <c r="B44" s="3" t="s">
        <v>335</v>
      </c>
      <c r="C44" s="3" t="s">
        <v>93</v>
      </c>
      <c r="D44" s="3" t="s">
        <v>325</v>
      </c>
      <c r="E44" s="4">
        <f t="shared" si="5"/>
        <v>410037</v>
      </c>
      <c r="F44" s="7" t="str">
        <f t="shared" si="0"/>
        <v>410037.1</v>
      </c>
      <c r="G44" s="7"/>
      <c r="H44" s="7" t="str">
        <f t="shared" si="1"/>
        <v>410037.3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4"/>
    </row>
    <row r="45" spans="1:34" x14ac:dyDescent="0.25">
      <c r="A45" s="3">
        <v>38</v>
      </c>
      <c r="B45" s="3" t="s">
        <v>335</v>
      </c>
      <c r="C45" s="3" t="s">
        <v>94</v>
      </c>
      <c r="D45" s="3" t="s">
        <v>325</v>
      </c>
      <c r="E45" s="4">
        <f t="shared" si="5"/>
        <v>410038</v>
      </c>
      <c r="F45" s="7" t="str">
        <f t="shared" si="0"/>
        <v>410038.1</v>
      </c>
      <c r="G45" s="7"/>
      <c r="H45" s="7" t="str">
        <f t="shared" si="1"/>
        <v>410038.3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4"/>
    </row>
    <row r="46" spans="1:34" x14ac:dyDescent="0.25">
      <c r="A46" s="3">
        <v>39</v>
      </c>
      <c r="B46" s="3" t="s">
        <v>335</v>
      </c>
      <c r="C46" s="3" t="s">
        <v>95</v>
      </c>
      <c r="D46" s="3" t="s">
        <v>325</v>
      </c>
      <c r="E46" s="4">
        <f t="shared" si="5"/>
        <v>410039</v>
      </c>
      <c r="F46" s="7" t="str">
        <f t="shared" si="0"/>
        <v>410039.1</v>
      </c>
      <c r="G46" s="7"/>
      <c r="H46" s="7" t="str">
        <f t="shared" si="1"/>
        <v>410039.3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4"/>
    </row>
    <row r="47" spans="1:34" x14ac:dyDescent="0.25">
      <c r="A47" s="3">
        <v>40</v>
      </c>
      <c r="B47" s="3" t="s">
        <v>335</v>
      </c>
      <c r="C47" s="8" t="s">
        <v>602</v>
      </c>
      <c r="D47" s="3" t="s">
        <v>326</v>
      </c>
      <c r="E47" s="4">
        <f t="shared" si="5"/>
        <v>410040</v>
      </c>
      <c r="F47" s="2"/>
      <c r="G47" s="2"/>
      <c r="H47" s="2"/>
      <c r="I47" s="7"/>
      <c r="J47" s="2"/>
      <c r="K47" s="2"/>
      <c r="L47" s="2"/>
      <c r="M47" s="2"/>
      <c r="N47" s="2"/>
      <c r="O47" s="2"/>
      <c r="P47" s="2"/>
      <c r="Q47" s="2"/>
      <c r="R47" s="29" t="str">
        <f t="shared" si="6"/>
        <v>410040.1</v>
      </c>
      <c r="S47" s="29" t="str">
        <f t="shared" si="7"/>
        <v>410040.2</v>
      </c>
      <c r="T47" s="29" t="str">
        <f t="shared" si="8"/>
        <v>410040.3</v>
      </c>
      <c r="U47" s="29" t="str">
        <f t="shared" si="9"/>
        <v>410040.4</v>
      </c>
      <c r="V47" s="29" t="str">
        <f t="shared" si="10"/>
        <v>410040.5</v>
      </c>
      <c r="W47" s="29" t="str">
        <f t="shared" si="11"/>
        <v>410040.6</v>
      </c>
      <c r="X47" s="29" t="str">
        <f t="shared" si="12"/>
        <v>410040.7</v>
      </c>
      <c r="Y47" s="29" t="str">
        <f t="shared" si="13"/>
        <v>410040.8</v>
      </c>
      <c r="Z47" s="29" t="str">
        <f t="shared" si="14"/>
        <v>410040.9</v>
      </c>
      <c r="AA47" s="29" t="str">
        <f t="shared" si="15"/>
        <v>410040.10</v>
      </c>
      <c r="AB47" s="29" t="str">
        <f t="shared" si="16"/>
        <v>410040.11</v>
      </c>
      <c r="AC47" s="29" t="str">
        <f t="shared" si="17"/>
        <v>410040.12</v>
      </c>
      <c r="AD47" s="29" t="str">
        <f t="shared" si="18"/>
        <v>410040.13</v>
      </c>
      <c r="AE47" s="29" t="str">
        <f t="shared" si="19"/>
        <v>410040.14</v>
      </c>
      <c r="AF47" s="29" t="str">
        <f t="shared" si="20"/>
        <v>410040.16</v>
      </c>
      <c r="AG47" s="29" t="str">
        <f t="shared" si="20"/>
        <v>410040.16</v>
      </c>
      <c r="AH47" s="4"/>
    </row>
    <row r="48" spans="1:34" x14ac:dyDescent="0.25">
      <c r="A48" s="3">
        <v>41</v>
      </c>
      <c r="B48" s="3" t="s">
        <v>335</v>
      </c>
      <c r="C48" s="3" t="s">
        <v>96</v>
      </c>
      <c r="D48" s="3" t="s">
        <v>326</v>
      </c>
      <c r="E48" s="4">
        <f t="shared" si="5"/>
        <v>410041</v>
      </c>
      <c r="F48" s="7" t="str">
        <f t="shared" si="0"/>
        <v>410041.1</v>
      </c>
      <c r="G48" s="7"/>
      <c r="H48" s="7" t="str">
        <f t="shared" si="1"/>
        <v>410041.3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4"/>
    </row>
    <row r="49" spans="1:34" x14ac:dyDescent="0.25">
      <c r="A49" s="3">
        <v>42</v>
      </c>
      <c r="B49" s="3" t="s">
        <v>335</v>
      </c>
      <c r="C49" s="3" t="s">
        <v>97</v>
      </c>
      <c r="D49" s="3" t="s">
        <v>326</v>
      </c>
      <c r="E49" s="4">
        <f t="shared" si="5"/>
        <v>410042</v>
      </c>
      <c r="F49" s="7" t="str">
        <f t="shared" si="0"/>
        <v>410042.1</v>
      </c>
      <c r="G49" s="7"/>
      <c r="H49" s="7" t="str">
        <f t="shared" si="1"/>
        <v>410042.3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4"/>
    </row>
    <row r="50" spans="1:34" x14ac:dyDescent="0.25">
      <c r="A50" s="3">
        <v>43</v>
      </c>
      <c r="B50" s="3" t="s">
        <v>335</v>
      </c>
      <c r="C50" s="3" t="s">
        <v>98</v>
      </c>
      <c r="D50" s="3" t="s">
        <v>326</v>
      </c>
      <c r="E50" s="4">
        <f t="shared" si="5"/>
        <v>410043</v>
      </c>
      <c r="F50" s="7" t="str">
        <f t="shared" si="0"/>
        <v>410043.1</v>
      </c>
      <c r="G50" s="7"/>
      <c r="H50" s="7" t="str">
        <f t="shared" si="1"/>
        <v>410043.3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4"/>
    </row>
    <row r="51" spans="1:34" x14ac:dyDescent="0.25">
      <c r="A51" s="3">
        <v>44</v>
      </c>
      <c r="B51" s="3" t="s">
        <v>335</v>
      </c>
      <c r="C51" s="3" t="s">
        <v>99</v>
      </c>
      <c r="D51" s="3" t="s">
        <v>326</v>
      </c>
      <c r="E51" s="4">
        <f t="shared" si="5"/>
        <v>410044</v>
      </c>
      <c r="F51" s="7" t="str">
        <f t="shared" si="0"/>
        <v>410044.1</v>
      </c>
      <c r="G51" s="7"/>
      <c r="H51" s="7" t="str">
        <f t="shared" si="1"/>
        <v>410044.3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4"/>
    </row>
    <row r="52" spans="1:34" x14ac:dyDescent="0.25">
      <c r="A52" s="3">
        <v>45</v>
      </c>
      <c r="B52" s="3" t="s">
        <v>335</v>
      </c>
      <c r="C52" s="3" t="s">
        <v>100</v>
      </c>
      <c r="D52" s="3" t="s">
        <v>326</v>
      </c>
      <c r="E52" s="4">
        <f t="shared" si="5"/>
        <v>410045</v>
      </c>
      <c r="F52" s="7" t="str">
        <f t="shared" si="0"/>
        <v>410045.1</v>
      </c>
      <c r="G52" s="7"/>
      <c r="H52" s="7" t="str">
        <f t="shared" si="1"/>
        <v>410045.3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4"/>
    </row>
    <row r="53" spans="1:34" x14ac:dyDescent="0.25">
      <c r="A53" s="3">
        <v>46</v>
      </c>
      <c r="B53" s="3" t="s">
        <v>335</v>
      </c>
      <c r="C53" s="3" t="s">
        <v>101</v>
      </c>
      <c r="D53" s="3" t="s">
        <v>326</v>
      </c>
      <c r="E53" s="4">
        <f t="shared" si="5"/>
        <v>410046</v>
      </c>
      <c r="F53" s="7" t="str">
        <f t="shared" si="0"/>
        <v>410046.1</v>
      </c>
      <c r="G53" s="7"/>
      <c r="H53" s="7" t="str">
        <f t="shared" si="1"/>
        <v>410046.3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4"/>
    </row>
    <row r="54" spans="1:34" x14ac:dyDescent="0.25">
      <c r="A54" s="3">
        <v>47</v>
      </c>
      <c r="B54" s="3" t="s">
        <v>335</v>
      </c>
      <c r="C54" s="3" t="s">
        <v>102</v>
      </c>
      <c r="D54" s="3" t="s">
        <v>326</v>
      </c>
      <c r="E54" s="4">
        <f t="shared" si="5"/>
        <v>410047</v>
      </c>
      <c r="F54" s="7" t="str">
        <f t="shared" si="0"/>
        <v>410047.1</v>
      </c>
      <c r="G54" s="7"/>
      <c r="H54" s="7" t="str">
        <f t="shared" si="1"/>
        <v>410047.3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4"/>
    </row>
    <row r="55" spans="1:34" x14ac:dyDescent="0.25">
      <c r="A55" s="3">
        <v>48</v>
      </c>
      <c r="B55" s="3" t="s">
        <v>335</v>
      </c>
      <c r="C55" s="8" t="s">
        <v>55</v>
      </c>
      <c r="D55" s="8" t="s">
        <v>290</v>
      </c>
      <c r="E55" s="4">
        <f t="shared" si="5"/>
        <v>410048</v>
      </c>
      <c r="F55" s="7" t="str">
        <f t="shared" si="0"/>
        <v>410048.1</v>
      </c>
      <c r="G55" s="7"/>
      <c r="H55" s="7" t="str">
        <f t="shared" si="1"/>
        <v>410048.3</v>
      </c>
      <c r="I55" s="7"/>
      <c r="J55" s="7"/>
      <c r="K55" s="7"/>
      <c r="L55" s="7"/>
      <c r="M55" s="7"/>
      <c r="N55" s="7"/>
      <c r="O55" s="7" t="str">
        <f t="shared" si="2"/>
        <v>410048.10</v>
      </c>
      <c r="P55" s="7" t="str">
        <f t="shared" si="3"/>
        <v>410048.11</v>
      </c>
      <c r="Q55" s="7" t="str">
        <f t="shared" si="4"/>
        <v>410048.12</v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4"/>
    </row>
    <row r="56" spans="1:34" x14ac:dyDescent="0.25">
      <c r="A56" s="3">
        <v>49</v>
      </c>
      <c r="B56" s="3" t="s">
        <v>335</v>
      </c>
      <c r="C56" s="8" t="s">
        <v>56</v>
      </c>
      <c r="D56" s="8" t="s">
        <v>290</v>
      </c>
      <c r="E56" s="4">
        <f t="shared" si="5"/>
        <v>410049</v>
      </c>
      <c r="F56" s="7" t="str">
        <f t="shared" si="0"/>
        <v>410049.1</v>
      </c>
      <c r="G56" s="7"/>
      <c r="H56" s="7" t="str">
        <f t="shared" si="1"/>
        <v>410049.3</v>
      </c>
      <c r="I56" s="7"/>
      <c r="J56" s="7"/>
      <c r="K56" s="7"/>
      <c r="L56" s="7"/>
      <c r="M56" s="7"/>
      <c r="N56" s="7"/>
      <c r="O56" s="7" t="str">
        <f t="shared" si="2"/>
        <v>410049.10</v>
      </c>
      <c r="P56" s="7" t="str">
        <f t="shared" si="3"/>
        <v>410049.11</v>
      </c>
      <c r="Q56" s="7" t="str">
        <f t="shared" si="4"/>
        <v>410049.12</v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4"/>
    </row>
    <row r="57" spans="1:34" x14ac:dyDescent="0.25">
      <c r="A57" s="3">
        <v>50</v>
      </c>
      <c r="B57" s="3" t="s">
        <v>335</v>
      </c>
      <c r="C57" s="3" t="s">
        <v>252</v>
      </c>
      <c r="D57" s="3" t="s">
        <v>304</v>
      </c>
      <c r="E57" s="4">
        <f t="shared" si="5"/>
        <v>410050</v>
      </c>
      <c r="F57" s="7"/>
      <c r="G57" s="7"/>
      <c r="H57" s="2"/>
      <c r="I57" s="7" t="str">
        <f t="shared" si="21"/>
        <v>410050.4</v>
      </c>
      <c r="J57" s="2"/>
      <c r="K57" s="2"/>
      <c r="L57" s="2"/>
      <c r="M57" s="2"/>
      <c r="N57" s="2"/>
      <c r="O57" s="2"/>
      <c r="P57" s="2"/>
      <c r="Q57" s="2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4"/>
    </row>
    <row r="58" spans="1:34" x14ac:dyDescent="0.25">
      <c r="A58" s="3">
        <v>51</v>
      </c>
      <c r="B58" s="3" t="s">
        <v>335</v>
      </c>
      <c r="C58" s="3" t="s">
        <v>260</v>
      </c>
      <c r="D58" s="3" t="s">
        <v>312</v>
      </c>
      <c r="E58" s="4">
        <f t="shared" si="5"/>
        <v>410051</v>
      </c>
      <c r="F58" s="7" t="str">
        <f t="shared" si="0"/>
        <v>410051.1</v>
      </c>
      <c r="G58" s="7" t="str">
        <f>$E58&amp;".2"</f>
        <v>410051.2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4"/>
    </row>
    <row r="59" spans="1:34" x14ac:dyDescent="0.25">
      <c r="A59" s="3">
        <v>52</v>
      </c>
      <c r="B59" s="3" t="s">
        <v>335</v>
      </c>
      <c r="C59" s="8" t="s">
        <v>603</v>
      </c>
      <c r="D59" s="3" t="s">
        <v>327</v>
      </c>
      <c r="E59" s="4">
        <f t="shared" si="5"/>
        <v>410052</v>
      </c>
      <c r="F59" s="2"/>
      <c r="G59" s="2"/>
      <c r="H59" s="2"/>
      <c r="I59" s="7"/>
      <c r="J59" s="2"/>
      <c r="K59" s="2"/>
      <c r="L59" s="2"/>
      <c r="M59" s="2"/>
      <c r="N59" s="2"/>
      <c r="O59" s="2"/>
      <c r="P59" s="2"/>
      <c r="Q59" s="2"/>
      <c r="R59" s="29" t="str">
        <f t="shared" si="6"/>
        <v>410052.1</v>
      </c>
      <c r="S59" s="29" t="str">
        <f t="shared" si="7"/>
        <v>410052.2</v>
      </c>
      <c r="T59" s="29" t="str">
        <f t="shared" si="8"/>
        <v>410052.3</v>
      </c>
      <c r="U59" s="29" t="str">
        <f t="shared" si="9"/>
        <v>410052.4</v>
      </c>
      <c r="V59" s="29" t="str">
        <f t="shared" si="10"/>
        <v>410052.5</v>
      </c>
      <c r="W59" s="29" t="str">
        <f t="shared" si="11"/>
        <v>410052.6</v>
      </c>
      <c r="X59" s="29" t="str">
        <f t="shared" si="12"/>
        <v>410052.7</v>
      </c>
      <c r="Y59" s="29" t="str">
        <f t="shared" si="13"/>
        <v>410052.8</v>
      </c>
      <c r="Z59" s="29" t="str">
        <f t="shared" si="14"/>
        <v>410052.9</v>
      </c>
      <c r="AA59" s="29" t="str">
        <f t="shared" si="15"/>
        <v>410052.10</v>
      </c>
      <c r="AB59" s="29" t="str">
        <f t="shared" si="16"/>
        <v>410052.11</v>
      </c>
      <c r="AC59" s="29" t="str">
        <f t="shared" si="17"/>
        <v>410052.12</v>
      </c>
      <c r="AD59" s="29" t="str">
        <f t="shared" si="18"/>
        <v>410052.13</v>
      </c>
      <c r="AE59" s="29" t="str">
        <f t="shared" si="19"/>
        <v>410052.14</v>
      </c>
      <c r="AF59" s="29" t="str">
        <f t="shared" ref="AF59:AG80" si="22">$E59&amp;".16"</f>
        <v>410052.16</v>
      </c>
      <c r="AG59" s="29" t="str">
        <f t="shared" si="22"/>
        <v>410052.16</v>
      </c>
      <c r="AH59" s="4"/>
    </row>
    <row r="60" spans="1:34" x14ac:dyDescent="0.25">
      <c r="A60" s="3">
        <v>53</v>
      </c>
      <c r="B60" s="3" t="s">
        <v>335</v>
      </c>
      <c r="C60" s="3" t="s">
        <v>103</v>
      </c>
      <c r="D60" s="3" t="s">
        <v>327</v>
      </c>
      <c r="E60" s="4">
        <f t="shared" si="5"/>
        <v>410053</v>
      </c>
      <c r="F60" s="7" t="str">
        <f t="shared" si="0"/>
        <v>410053.1</v>
      </c>
      <c r="G60" s="7"/>
      <c r="H60" s="7" t="str">
        <f t="shared" si="1"/>
        <v>410053.3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4"/>
    </row>
    <row r="61" spans="1:34" x14ac:dyDescent="0.25">
      <c r="A61" s="3">
        <v>54</v>
      </c>
      <c r="B61" s="3" t="s">
        <v>335</v>
      </c>
      <c r="C61" s="3" t="s">
        <v>104</v>
      </c>
      <c r="D61" s="3" t="s">
        <v>327</v>
      </c>
      <c r="E61" s="4">
        <f t="shared" si="5"/>
        <v>410054</v>
      </c>
      <c r="F61" s="7" t="str">
        <f t="shared" si="0"/>
        <v>410054.1</v>
      </c>
      <c r="G61" s="7"/>
      <c r="H61" s="7" t="str">
        <f t="shared" si="1"/>
        <v>410054.3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4"/>
    </row>
    <row r="62" spans="1:34" x14ac:dyDescent="0.25">
      <c r="A62" s="3">
        <v>55</v>
      </c>
      <c r="B62" s="3" t="s">
        <v>335</v>
      </c>
      <c r="C62" s="3" t="s">
        <v>105</v>
      </c>
      <c r="D62" s="3" t="s">
        <v>327</v>
      </c>
      <c r="E62" s="4">
        <f t="shared" si="5"/>
        <v>410055</v>
      </c>
      <c r="F62" s="7" t="str">
        <f t="shared" si="0"/>
        <v>410055.1</v>
      </c>
      <c r="G62" s="7"/>
      <c r="H62" s="7" t="str">
        <f t="shared" si="1"/>
        <v>410055.3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4"/>
    </row>
    <row r="63" spans="1:34" x14ac:dyDescent="0.25">
      <c r="A63" s="3">
        <v>56</v>
      </c>
      <c r="B63" s="3" t="s">
        <v>335</v>
      </c>
      <c r="C63" s="3" t="s">
        <v>106</v>
      </c>
      <c r="D63" s="3" t="s">
        <v>327</v>
      </c>
      <c r="E63" s="4">
        <f t="shared" si="5"/>
        <v>410056</v>
      </c>
      <c r="F63" s="7" t="str">
        <f t="shared" si="0"/>
        <v>410056.1</v>
      </c>
      <c r="G63" s="7"/>
      <c r="H63" s="7" t="str">
        <f t="shared" si="1"/>
        <v>410056.3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4"/>
    </row>
    <row r="64" spans="1:34" x14ac:dyDescent="0.25">
      <c r="A64" s="3">
        <v>57</v>
      </c>
      <c r="B64" s="3" t="s">
        <v>335</v>
      </c>
      <c r="C64" s="3" t="s">
        <v>107</v>
      </c>
      <c r="D64" s="3" t="s">
        <v>327</v>
      </c>
      <c r="E64" s="4">
        <f t="shared" si="5"/>
        <v>410057</v>
      </c>
      <c r="F64" s="7" t="str">
        <f t="shared" si="0"/>
        <v>410057.1</v>
      </c>
      <c r="G64" s="7"/>
      <c r="H64" s="7" t="str">
        <f t="shared" si="1"/>
        <v>410057.3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4"/>
    </row>
    <row r="65" spans="1:34" x14ac:dyDescent="0.25">
      <c r="A65" s="3">
        <v>58</v>
      </c>
      <c r="B65" s="3" t="s">
        <v>335</v>
      </c>
      <c r="C65" s="3" t="s">
        <v>108</v>
      </c>
      <c r="D65" s="3" t="s">
        <v>327</v>
      </c>
      <c r="E65" s="4">
        <f t="shared" si="5"/>
        <v>410058</v>
      </c>
      <c r="F65" s="7" t="str">
        <f t="shared" si="0"/>
        <v>410058.1</v>
      </c>
      <c r="G65" s="7"/>
      <c r="H65" s="7" t="str">
        <f t="shared" si="1"/>
        <v>410058.3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4"/>
    </row>
    <row r="66" spans="1:34" x14ac:dyDescent="0.25">
      <c r="A66" s="3">
        <v>59</v>
      </c>
      <c r="B66" s="3" t="s">
        <v>335</v>
      </c>
      <c r="C66" s="3" t="s">
        <v>109</v>
      </c>
      <c r="D66" s="3" t="s">
        <v>327</v>
      </c>
      <c r="E66" s="4">
        <f t="shared" si="5"/>
        <v>410059</v>
      </c>
      <c r="F66" s="7" t="str">
        <f t="shared" si="0"/>
        <v>410059.1</v>
      </c>
      <c r="G66" s="7"/>
      <c r="H66" s="7" t="str">
        <f t="shared" si="1"/>
        <v>410059.3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4"/>
    </row>
    <row r="67" spans="1:34" x14ac:dyDescent="0.25">
      <c r="A67" s="3">
        <v>60</v>
      </c>
      <c r="B67" s="3" t="s">
        <v>335</v>
      </c>
      <c r="C67" s="3" t="s">
        <v>110</v>
      </c>
      <c r="D67" s="3" t="s">
        <v>327</v>
      </c>
      <c r="E67" s="4">
        <f t="shared" si="5"/>
        <v>410060</v>
      </c>
      <c r="F67" s="7" t="str">
        <f t="shared" si="0"/>
        <v>410060.1</v>
      </c>
      <c r="G67" s="7"/>
      <c r="H67" s="7" t="str">
        <f t="shared" si="1"/>
        <v>410060.3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4"/>
    </row>
    <row r="68" spans="1:34" x14ac:dyDescent="0.25">
      <c r="A68" s="3">
        <v>61</v>
      </c>
      <c r="B68" s="3" t="s">
        <v>335</v>
      </c>
      <c r="C68" s="3" t="s">
        <v>111</v>
      </c>
      <c r="D68" s="3" t="s">
        <v>327</v>
      </c>
      <c r="E68" s="4">
        <f t="shared" si="5"/>
        <v>410061</v>
      </c>
      <c r="F68" s="7" t="str">
        <f t="shared" si="0"/>
        <v>410061.1</v>
      </c>
      <c r="G68" s="7"/>
      <c r="H68" s="7" t="str">
        <f t="shared" si="1"/>
        <v>410061.3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4"/>
    </row>
    <row r="69" spans="1:34" x14ac:dyDescent="0.25">
      <c r="A69" s="3">
        <v>62</v>
      </c>
      <c r="B69" s="3" t="s">
        <v>335</v>
      </c>
      <c r="C69" s="3" t="s">
        <v>112</v>
      </c>
      <c r="D69" s="3" t="s">
        <v>327</v>
      </c>
      <c r="E69" s="4">
        <f t="shared" si="5"/>
        <v>410062</v>
      </c>
      <c r="F69" s="7" t="str">
        <f t="shared" si="0"/>
        <v>410062.1</v>
      </c>
      <c r="G69" s="7"/>
      <c r="H69" s="7" t="str">
        <f t="shared" si="1"/>
        <v>410062.3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4"/>
    </row>
    <row r="70" spans="1:34" x14ac:dyDescent="0.25">
      <c r="A70" s="3">
        <v>63</v>
      </c>
      <c r="B70" s="3" t="s">
        <v>335</v>
      </c>
      <c r="C70" s="8" t="s">
        <v>604</v>
      </c>
      <c r="D70" s="3" t="s">
        <v>321</v>
      </c>
      <c r="E70" s="4">
        <f t="shared" si="5"/>
        <v>410063</v>
      </c>
      <c r="F70" s="2"/>
      <c r="G70" s="2"/>
      <c r="H70" s="2"/>
      <c r="I70" s="7"/>
      <c r="J70" s="2"/>
      <c r="K70" s="2"/>
      <c r="L70" s="2"/>
      <c r="M70" s="2"/>
      <c r="N70" s="2"/>
      <c r="O70" s="2"/>
      <c r="P70" s="2"/>
      <c r="Q70" s="2"/>
      <c r="R70" s="29" t="str">
        <f t="shared" si="6"/>
        <v>410063.1</v>
      </c>
      <c r="S70" s="29" t="str">
        <f t="shared" si="7"/>
        <v>410063.2</v>
      </c>
      <c r="T70" s="29" t="str">
        <f t="shared" si="8"/>
        <v>410063.3</v>
      </c>
      <c r="U70" s="29" t="str">
        <f t="shared" si="9"/>
        <v>410063.4</v>
      </c>
      <c r="V70" s="29" t="str">
        <f t="shared" si="10"/>
        <v>410063.5</v>
      </c>
      <c r="W70" s="29" t="str">
        <f t="shared" si="11"/>
        <v>410063.6</v>
      </c>
      <c r="X70" s="29" t="str">
        <f t="shared" si="12"/>
        <v>410063.7</v>
      </c>
      <c r="Y70" s="29" t="str">
        <f t="shared" si="13"/>
        <v>410063.8</v>
      </c>
      <c r="Z70" s="29" t="str">
        <f t="shared" si="14"/>
        <v>410063.9</v>
      </c>
      <c r="AA70" s="29" t="str">
        <f t="shared" si="15"/>
        <v>410063.10</v>
      </c>
      <c r="AB70" s="29" t="str">
        <f t="shared" si="16"/>
        <v>410063.11</v>
      </c>
      <c r="AC70" s="29" t="str">
        <f t="shared" si="17"/>
        <v>410063.12</v>
      </c>
      <c r="AD70" s="29" t="str">
        <f t="shared" si="18"/>
        <v>410063.13</v>
      </c>
      <c r="AE70" s="29" t="str">
        <f t="shared" si="19"/>
        <v>410063.14</v>
      </c>
      <c r="AF70" s="29" t="str">
        <f t="shared" si="22"/>
        <v>410063.16</v>
      </c>
      <c r="AG70" s="29" t="str">
        <f t="shared" si="22"/>
        <v>410063.16</v>
      </c>
      <c r="AH70" s="4"/>
    </row>
    <row r="71" spans="1:34" x14ac:dyDescent="0.25">
      <c r="A71" s="3">
        <v>64</v>
      </c>
      <c r="B71" s="3" t="s">
        <v>335</v>
      </c>
      <c r="C71" s="3" t="s">
        <v>269</v>
      </c>
      <c r="D71" s="3" t="s">
        <v>321</v>
      </c>
      <c r="E71" s="4">
        <f t="shared" si="5"/>
        <v>410064</v>
      </c>
      <c r="F71" s="7" t="str">
        <f t="shared" si="0"/>
        <v>410064.1</v>
      </c>
      <c r="G71" s="7"/>
      <c r="H71" s="2"/>
      <c r="I71" s="2"/>
      <c r="J71" s="2"/>
      <c r="K71" s="2"/>
      <c r="L71" s="2"/>
      <c r="M71" s="2"/>
      <c r="N71" s="2"/>
      <c r="O71" s="2"/>
      <c r="P71" s="2"/>
      <c r="Q71" s="2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4"/>
    </row>
    <row r="72" spans="1:34" x14ac:dyDescent="0.25">
      <c r="A72" s="3">
        <v>65</v>
      </c>
      <c r="B72" s="3" t="s">
        <v>335</v>
      </c>
      <c r="C72" s="3" t="s">
        <v>113</v>
      </c>
      <c r="D72" s="3" t="s">
        <v>321</v>
      </c>
      <c r="E72" s="4">
        <f t="shared" si="5"/>
        <v>410065</v>
      </c>
      <c r="F72" s="7" t="str">
        <f t="shared" si="0"/>
        <v>410065.1</v>
      </c>
      <c r="G72" s="7"/>
      <c r="H72" s="7" t="str">
        <f t="shared" si="1"/>
        <v>410065.3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4"/>
    </row>
    <row r="73" spans="1:34" x14ac:dyDescent="0.25">
      <c r="A73" s="3">
        <v>66</v>
      </c>
      <c r="B73" s="3" t="s">
        <v>335</v>
      </c>
      <c r="C73" s="3" t="s">
        <v>114</v>
      </c>
      <c r="D73" s="3" t="s">
        <v>321</v>
      </c>
      <c r="E73" s="4">
        <f t="shared" si="5"/>
        <v>410066</v>
      </c>
      <c r="F73" s="7" t="str">
        <f t="shared" ref="F73:F136" si="23">$E73&amp;".1"</f>
        <v>410066.1</v>
      </c>
      <c r="G73" s="7"/>
      <c r="H73" s="7" t="str">
        <f t="shared" ref="H73:H136" si="24">$E73&amp;".3"</f>
        <v>410066.3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4"/>
    </row>
    <row r="74" spans="1:34" x14ac:dyDescent="0.25">
      <c r="A74" s="3">
        <v>67</v>
      </c>
      <c r="B74" s="3" t="s">
        <v>335</v>
      </c>
      <c r="C74" s="3" t="s">
        <v>115</v>
      </c>
      <c r="D74" s="3" t="s">
        <v>321</v>
      </c>
      <c r="E74" s="4">
        <f t="shared" ref="E74:E94" si="25">E73+1</f>
        <v>410067</v>
      </c>
      <c r="F74" s="7" t="str">
        <f t="shared" si="23"/>
        <v>410067.1</v>
      </c>
      <c r="G74" s="7"/>
      <c r="H74" s="7" t="str">
        <f t="shared" si="24"/>
        <v>410067.3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4"/>
    </row>
    <row r="75" spans="1:34" x14ac:dyDescent="0.25">
      <c r="A75" s="3">
        <v>68</v>
      </c>
      <c r="B75" s="3" t="s">
        <v>335</v>
      </c>
      <c r="C75" s="3" t="s">
        <v>116</v>
      </c>
      <c r="D75" s="3" t="s">
        <v>321</v>
      </c>
      <c r="E75" s="4">
        <f t="shared" si="25"/>
        <v>410068</v>
      </c>
      <c r="F75" s="7" t="str">
        <f t="shared" si="23"/>
        <v>410068.1</v>
      </c>
      <c r="G75" s="7"/>
      <c r="H75" s="7" t="str">
        <f t="shared" si="24"/>
        <v>410068.3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4"/>
    </row>
    <row r="76" spans="1:34" x14ac:dyDescent="0.25">
      <c r="A76" s="3">
        <v>69</v>
      </c>
      <c r="B76" s="3" t="s">
        <v>335</v>
      </c>
      <c r="C76" s="3" t="s">
        <v>117</v>
      </c>
      <c r="D76" s="3" t="s">
        <v>321</v>
      </c>
      <c r="E76" s="4">
        <f t="shared" si="25"/>
        <v>410069</v>
      </c>
      <c r="F76" s="7" t="str">
        <f t="shared" si="23"/>
        <v>410069.1</v>
      </c>
      <c r="G76" s="7"/>
      <c r="H76" s="7" t="str">
        <f t="shared" si="24"/>
        <v>410069.3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4"/>
    </row>
    <row r="77" spans="1:34" x14ac:dyDescent="0.25">
      <c r="A77" s="3">
        <v>70</v>
      </c>
      <c r="B77" s="3" t="s">
        <v>335</v>
      </c>
      <c r="C77" s="8" t="s">
        <v>57</v>
      </c>
      <c r="D77" s="8" t="s">
        <v>291</v>
      </c>
      <c r="E77" s="4">
        <f t="shared" si="25"/>
        <v>410070</v>
      </c>
      <c r="F77" s="7" t="str">
        <f t="shared" si="23"/>
        <v>410070.1</v>
      </c>
      <c r="G77" s="7"/>
      <c r="H77" s="7" t="str">
        <f t="shared" si="24"/>
        <v>410070.3</v>
      </c>
      <c r="I77" s="7"/>
      <c r="J77" s="7"/>
      <c r="K77" s="7"/>
      <c r="L77" s="7"/>
      <c r="M77" s="7"/>
      <c r="N77" s="7"/>
      <c r="O77" s="7" t="str">
        <f t="shared" ref="O77:O100" si="26">$E77&amp;".10"</f>
        <v>410070.10</v>
      </c>
      <c r="P77" s="7" t="str">
        <f t="shared" ref="P77:P100" si="27">$E77&amp;".11"</f>
        <v>410070.11</v>
      </c>
      <c r="Q77" s="7" t="str">
        <f t="shared" ref="Q77:Q100" si="28">$E77&amp;".12"</f>
        <v>410070.12</v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4"/>
    </row>
    <row r="78" spans="1:34" x14ac:dyDescent="0.25">
      <c r="A78" s="3">
        <v>71</v>
      </c>
      <c r="B78" s="3" t="s">
        <v>335</v>
      </c>
      <c r="C78" s="8" t="s">
        <v>591</v>
      </c>
      <c r="D78" s="3" t="s">
        <v>291</v>
      </c>
      <c r="E78" s="4">
        <f t="shared" si="25"/>
        <v>410071</v>
      </c>
      <c r="F78" s="2"/>
      <c r="G78" s="2"/>
      <c r="H78" s="2"/>
      <c r="I78" s="7"/>
      <c r="J78" s="2"/>
      <c r="K78" s="2"/>
      <c r="L78" s="2"/>
      <c r="M78" s="2"/>
      <c r="N78" s="2"/>
      <c r="O78" s="2"/>
      <c r="P78" s="2"/>
      <c r="Q78" s="2"/>
      <c r="R78" s="30" t="str">
        <f t="shared" si="6"/>
        <v>410071.1</v>
      </c>
      <c r="S78" s="30" t="str">
        <f t="shared" si="7"/>
        <v>410071.2</v>
      </c>
      <c r="T78" s="30" t="str">
        <f t="shared" si="8"/>
        <v>410071.3</v>
      </c>
      <c r="U78" s="30" t="str">
        <f t="shared" si="9"/>
        <v>410071.4</v>
      </c>
      <c r="V78" s="30" t="str">
        <f t="shared" si="10"/>
        <v>410071.5</v>
      </c>
      <c r="W78" s="30" t="str">
        <f t="shared" si="11"/>
        <v>410071.6</v>
      </c>
      <c r="X78" s="30" t="str">
        <f t="shared" si="12"/>
        <v>410071.7</v>
      </c>
      <c r="Y78" s="30" t="str">
        <f t="shared" si="13"/>
        <v>410071.8</v>
      </c>
      <c r="Z78" s="30" t="str">
        <f t="shared" si="14"/>
        <v>410071.9</v>
      </c>
      <c r="AA78" s="30" t="str">
        <f t="shared" si="15"/>
        <v>410071.10</v>
      </c>
      <c r="AB78" s="30" t="str">
        <f t="shared" si="16"/>
        <v>410071.11</v>
      </c>
      <c r="AC78" s="30" t="str">
        <f t="shared" si="17"/>
        <v>410071.12</v>
      </c>
      <c r="AD78" s="30" t="str">
        <f t="shared" si="18"/>
        <v>410071.13</v>
      </c>
      <c r="AE78" s="30" t="str">
        <f t="shared" si="19"/>
        <v>410071.14</v>
      </c>
      <c r="AF78" s="30" t="str">
        <f t="shared" si="22"/>
        <v>410071.16</v>
      </c>
      <c r="AG78" s="30" t="str">
        <f t="shared" si="22"/>
        <v>410071.16</v>
      </c>
      <c r="AH78" s="4"/>
    </row>
    <row r="79" spans="1:34" x14ac:dyDescent="0.25">
      <c r="A79" s="3">
        <v>72</v>
      </c>
      <c r="B79" s="3" t="s">
        <v>335</v>
      </c>
      <c r="C79" s="8" t="s">
        <v>592</v>
      </c>
      <c r="D79" s="3" t="s">
        <v>328</v>
      </c>
      <c r="E79" s="4">
        <f t="shared" si="25"/>
        <v>410072</v>
      </c>
      <c r="F79" s="2"/>
      <c r="G79" s="2"/>
      <c r="H79" s="2"/>
      <c r="I79" s="7"/>
      <c r="J79" s="2"/>
      <c r="K79" s="2"/>
      <c r="L79" s="2"/>
      <c r="M79" s="2"/>
      <c r="N79" s="2"/>
      <c r="O79" s="2"/>
      <c r="P79" s="2"/>
      <c r="Q79" s="2"/>
      <c r="R79" s="30" t="str">
        <f t="shared" si="6"/>
        <v>410072.1</v>
      </c>
      <c r="S79" s="30" t="str">
        <f t="shared" si="7"/>
        <v>410072.2</v>
      </c>
      <c r="T79" s="30" t="str">
        <f t="shared" si="8"/>
        <v>410072.3</v>
      </c>
      <c r="U79" s="30" t="str">
        <f t="shared" si="9"/>
        <v>410072.4</v>
      </c>
      <c r="V79" s="30" t="str">
        <f t="shared" si="10"/>
        <v>410072.5</v>
      </c>
      <c r="W79" s="30" t="str">
        <f t="shared" si="11"/>
        <v>410072.6</v>
      </c>
      <c r="X79" s="30" t="str">
        <f t="shared" si="12"/>
        <v>410072.7</v>
      </c>
      <c r="Y79" s="30" t="str">
        <f t="shared" si="13"/>
        <v>410072.8</v>
      </c>
      <c r="Z79" s="30" t="str">
        <f t="shared" si="14"/>
        <v>410072.9</v>
      </c>
      <c r="AA79" s="30" t="str">
        <f t="shared" si="15"/>
        <v>410072.10</v>
      </c>
      <c r="AB79" s="30" t="str">
        <f t="shared" si="16"/>
        <v>410072.11</v>
      </c>
      <c r="AC79" s="30" t="str">
        <f t="shared" si="17"/>
        <v>410072.12</v>
      </c>
      <c r="AD79" s="30" t="str">
        <f t="shared" si="18"/>
        <v>410072.13</v>
      </c>
      <c r="AE79" s="30" t="str">
        <f t="shared" si="19"/>
        <v>410072.14</v>
      </c>
      <c r="AF79" s="30" t="str">
        <f t="shared" si="22"/>
        <v>410072.16</v>
      </c>
      <c r="AG79" s="30" t="str">
        <f t="shared" si="22"/>
        <v>410072.16</v>
      </c>
      <c r="AH79" s="4"/>
    </row>
    <row r="80" spans="1:34" x14ac:dyDescent="0.25">
      <c r="A80" s="3">
        <v>73</v>
      </c>
      <c r="B80" s="3" t="s">
        <v>335</v>
      </c>
      <c r="C80" s="8" t="s">
        <v>593</v>
      </c>
      <c r="D80" s="3" t="s">
        <v>329</v>
      </c>
      <c r="E80" s="4">
        <f t="shared" si="25"/>
        <v>410073</v>
      </c>
      <c r="F80" s="2"/>
      <c r="G80" s="2"/>
      <c r="H80" s="2"/>
      <c r="I80" s="7"/>
      <c r="J80" s="2"/>
      <c r="K80" s="2"/>
      <c r="L80" s="2"/>
      <c r="M80" s="2"/>
      <c r="N80" s="2"/>
      <c r="O80" s="2"/>
      <c r="P80" s="2"/>
      <c r="Q80" s="2"/>
      <c r="R80" s="30" t="str">
        <f t="shared" si="6"/>
        <v>410073.1</v>
      </c>
      <c r="S80" s="30" t="str">
        <f t="shared" si="7"/>
        <v>410073.2</v>
      </c>
      <c r="T80" s="30" t="str">
        <f t="shared" si="8"/>
        <v>410073.3</v>
      </c>
      <c r="U80" s="30" t="str">
        <f t="shared" si="9"/>
        <v>410073.4</v>
      </c>
      <c r="V80" s="30" t="str">
        <f t="shared" si="10"/>
        <v>410073.5</v>
      </c>
      <c r="W80" s="30" t="str">
        <f t="shared" si="11"/>
        <v>410073.6</v>
      </c>
      <c r="X80" s="30" t="str">
        <f t="shared" si="12"/>
        <v>410073.7</v>
      </c>
      <c r="Y80" s="30" t="str">
        <f t="shared" si="13"/>
        <v>410073.8</v>
      </c>
      <c r="Z80" s="30" t="str">
        <f t="shared" si="14"/>
        <v>410073.9</v>
      </c>
      <c r="AA80" s="30" t="str">
        <f t="shared" si="15"/>
        <v>410073.10</v>
      </c>
      <c r="AB80" s="30" t="str">
        <f t="shared" si="16"/>
        <v>410073.11</v>
      </c>
      <c r="AC80" s="30" t="str">
        <f t="shared" si="17"/>
        <v>410073.12</v>
      </c>
      <c r="AD80" s="30" t="str">
        <f t="shared" si="18"/>
        <v>410073.13</v>
      </c>
      <c r="AE80" s="30" t="str">
        <f t="shared" si="19"/>
        <v>410073.14</v>
      </c>
      <c r="AF80" s="30" t="str">
        <f t="shared" si="22"/>
        <v>410073.16</v>
      </c>
      <c r="AG80" s="30" t="str">
        <f t="shared" si="22"/>
        <v>410073.16</v>
      </c>
      <c r="AH80" s="4"/>
    </row>
    <row r="81" spans="1:34" x14ac:dyDescent="0.25">
      <c r="A81" s="3">
        <v>74</v>
      </c>
      <c r="B81" s="3" t="s">
        <v>335</v>
      </c>
      <c r="C81" s="3" t="s">
        <v>253</v>
      </c>
      <c r="D81" s="3" t="s">
        <v>305</v>
      </c>
      <c r="E81" s="4">
        <f t="shared" si="25"/>
        <v>410074</v>
      </c>
      <c r="F81" s="7"/>
      <c r="G81" s="7"/>
      <c r="H81" s="2"/>
      <c r="I81" s="7" t="str">
        <f t="shared" si="21"/>
        <v>410074.4</v>
      </c>
      <c r="J81" s="2"/>
      <c r="K81" s="2"/>
      <c r="L81" s="2"/>
      <c r="M81" s="2"/>
      <c r="N81" s="2"/>
      <c r="O81" s="2"/>
      <c r="P81" s="2"/>
      <c r="Q81" s="2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4"/>
    </row>
    <row r="82" spans="1:34" x14ac:dyDescent="0.25">
      <c r="A82" s="3">
        <v>75</v>
      </c>
      <c r="B82" s="3" t="s">
        <v>335</v>
      </c>
      <c r="C82" s="3" t="s">
        <v>261</v>
      </c>
      <c r="D82" s="3" t="s">
        <v>313</v>
      </c>
      <c r="E82" s="4">
        <f t="shared" si="25"/>
        <v>410075</v>
      </c>
      <c r="F82" s="7" t="str">
        <f t="shared" si="23"/>
        <v>410075.1</v>
      </c>
      <c r="G82" s="7" t="str">
        <f>$E82&amp;".2"</f>
        <v>410075.2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 x14ac:dyDescent="0.25">
      <c r="A83" s="3">
        <v>76</v>
      </c>
      <c r="B83" s="3" t="s">
        <v>335</v>
      </c>
      <c r="C83" s="8" t="s">
        <v>58</v>
      </c>
      <c r="D83" s="8" t="s">
        <v>292</v>
      </c>
      <c r="E83" s="4">
        <f t="shared" si="25"/>
        <v>410076</v>
      </c>
      <c r="F83" s="7" t="str">
        <f t="shared" si="23"/>
        <v>410076.1</v>
      </c>
      <c r="G83" s="7"/>
      <c r="H83" s="7" t="str">
        <f t="shared" si="24"/>
        <v>410076.3</v>
      </c>
      <c r="I83" s="7"/>
      <c r="J83" s="7"/>
      <c r="K83" s="7"/>
      <c r="L83" s="7"/>
      <c r="M83" s="7"/>
      <c r="N83" s="7"/>
      <c r="O83" s="7" t="str">
        <f t="shared" si="26"/>
        <v>410076.10</v>
      </c>
      <c r="P83" s="7" t="str">
        <f t="shared" si="27"/>
        <v>410076.11</v>
      </c>
      <c r="Q83" s="7" t="str">
        <f t="shared" si="28"/>
        <v>410076.12</v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4"/>
    </row>
    <row r="84" spans="1:34" x14ac:dyDescent="0.25">
      <c r="A84" s="3">
        <v>77</v>
      </c>
      <c r="B84" s="3" t="s">
        <v>335</v>
      </c>
      <c r="C84" s="8" t="s">
        <v>605</v>
      </c>
      <c r="D84" s="3" t="s">
        <v>292</v>
      </c>
      <c r="E84" s="4">
        <f t="shared" si="25"/>
        <v>410077</v>
      </c>
      <c r="F84" s="2"/>
      <c r="G84" s="2"/>
      <c r="H84" s="2"/>
      <c r="I84" s="7"/>
      <c r="J84" s="2"/>
      <c r="K84" s="2"/>
      <c r="L84" s="2"/>
      <c r="M84" s="2"/>
      <c r="N84" s="2"/>
      <c r="O84" s="2"/>
      <c r="P84" s="2"/>
      <c r="Q84" s="2"/>
      <c r="R84" s="30" t="str">
        <f t="shared" ref="R84:R92" si="29">$E84&amp;".1"</f>
        <v>410077.1</v>
      </c>
      <c r="S84" s="30" t="str">
        <f t="shared" ref="S84:S92" si="30">$E84&amp;".2"</f>
        <v>410077.2</v>
      </c>
      <c r="T84" s="30" t="str">
        <f t="shared" ref="T84:T92" si="31">$E84&amp;".3"</f>
        <v>410077.3</v>
      </c>
      <c r="U84" s="30" t="str">
        <f t="shared" ref="U84:U92" si="32">$E84&amp;".4"</f>
        <v>410077.4</v>
      </c>
      <c r="V84" s="30" t="str">
        <f t="shared" ref="V84:V92" si="33">$E84&amp;".5"</f>
        <v>410077.5</v>
      </c>
      <c r="W84" s="30" t="str">
        <f t="shared" ref="W84:W92" si="34">$E84&amp;".6"</f>
        <v>410077.6</v>
      </c>
      <c r="X84" s="30" t="str">
        <f t="shared" ref="X84:X92" si="35">$E84&amp;".7"</f>
        <v>410077.7</v>
      </c>
      <c r="Y84" s="30" t="str">
        <f t="shared" ref="Y84:Y92" si="36">$E84&amp;".8"</f>
        <v>410077.8</v>
      </c>
      <c r="Z84" s="30" t="str">
        <f t="shared" ref="Z84:Z92" si="37">$E84&amp;".9"</f>
        <v>410077.9</v>
      </c>
      <c r="AA84" s="30" t="str">
        <f t="shared" ref="AA84:AA92" si="38">$E84&amp;".10"</f>
        <v>410077.10</v>
      </c>
      <c r="AB84" s="30" t="str">
        <f t="shared" ref="AB84:AB92" si="39">$E84&amp;".11"</f>
        <v>410077.11</v>
      </c>
      <c r="AC84" s="30" t="str">
        <f t="shared" ref="AC84:AC92" si="40">$E84&amp;".12"</f>
        <v>410077.12</v>
      </c>
      <c r="AD84" s="30" t="str">
        <f t="shared" ref="AD84:AD92" si="41">$E84&amp;".13"</f>
        <v>410077.13</v>
      </c>
      <c r="AE84" s="30" t="str">
        <f t="shared" ref="AE84:AE92" si="42">$E84&amp;".14"</f>
        <v>410077.14</v>
      </c>
      <c r="AF84" s="30" t="str">
        <f t="shared" ref="AF84:AG92" si="43">$E84&amp;".16"</f>
        <v>410077.16</v>
      </c>
      <c r="AG84" s="30" t="str">
        <f t="shared" si="43"/>
        <v>410077.16</v>
      </c>
      <c r="AH84" s="4"/>
    </row>
    <row r="85" spans="1:34" x14ac:dyDescent="0.25">
      <c r="A85" s="3">
        <v>78</v>
      </c>
      <c r="B85" s="3" t="s">
        <v>335</v>
      </c>
      <c r="C85" s="8" t="s">
        <v>606</v>
      </c>
      <c r="D85" s="3" t="s">
        <v>330</v>
      </c>
      <c r="E85" s="4">
        <f t="shared" si="25"/>
        <v>410078</v>
      </c>
      <c r="F85" s="2"/>
      <c r="G85" s="2"/>
      <c r="H85" s="2"/>
      <c r="I85" s="7"/>
      <c r="J85" s="2"/>
      <c r="K85" s="2"/>
      <c r="L85" s="2"/>
      <c r="M85" s="2"/>
      <c r="N85" s="2"/>
      <c r="O85" s="2"/>
      <c r="P85" s="2"/>
      <c r="Q85" s="2"/>
      <c r="R85" s="30" t="str">
        <f t="shared" si="29"/>
        <v>410078.1</v>
      </c>
      <c r="S85" s="30" t="str">
        <f t="shared" si="30"/>
        <v>410078.2</v>
      </c>
      <c r="T85" s="30" t="str">
        <f t="shared" si="31"/>
        <v>410078.3</v>
      </c>
      <c r="U85" s="30" t="str">
        <f t="shared" si="32"/>
        <v>410078.4</v>
      </c>
      <c r="V85" s="30" t="str">
        <f t="shared" si="33"/>
        <v>410078.5</v>
      </c>
      <c r="W85" s="30" t="str">
        <f t="shared" si="34"/>
        <v>410078.6</v>
      </c>
      <c r="X85" s="30" t="str">
        <f t="shared" si="35"/>
        <v>410078.7</v>
      </c>
      <c r="Y85" s="30" t="str">
        <f t="shared" si="36"/>
        <v>410078.8</v>
      </c>
      <c r="Z85" s="30" t="str">
        <f t="shared" si="37"/>
        <v>410078.9</v>
      </c>
      <c r="AA85" s="30" t="str">
        <f t="shared" si="38"/>
        <v>410078.10</v>
      </c>
      <c r="AB85" s="30" t="str">
        <f t="shared" si="39"/>
        <v>410078.11</v>
      </c>
      <c r="AC85" s="30" t="str">
        <f t="shared" si="40"/>
        <v>410078.12</v>
      </c>
      <c r="AD85" s="30" t="str">
        <f t="shared" si="41"/>
        <v>410078.13</v>
      </c>
      <c r="AE85" s="30" t="str">
        <f t="shared" si="42"/>
        <v>410078.14</v>
      </c>
      <c r="AF85" s="30" t="str">
        <f t="shared" si="43"/>
        <v>410078.16</v>
      </c>
      <c r="AG85" s="30" t="str">
        <f t="shared" si="43"/>
        <v>410078.16</v>
      </c>
      <c r="AH85" s="4"/>
    </row>
    <row r="86" spans="1:34" x14ac:dyDescent="0.25">
      <c r="A86" s="3">
        <v>79</v>
      </c>
      <c r="B86" s="3" t="s">
        <v>335</v>
      </c>
      <c r="C86" s="8" t="s">
        <v>607</v>
      </c>
      <c r="D86" s="3" t="s">
        <v>331</v>
      </c>
      <c r="E86" s="4">
        <f t="shared" si="25"/>
        <v>410079</v>
      </c>
      <c r="F86" s="2"/>
      <c r="G86" s="2"/>
      <c r="H86" s="2"/>
      <c r="I86" s="7"/>
      <c r="J86" s="2"/>
      <c r="K86" s="2"/>
      <c r="L86" s="2"/>
      <c r="M86" s="2"/>
      <c r="N86" s="2"/>
      <c r="O86" s="2"/>
      <c r="P86" s="2"/>
      <c r="Q86" s="2"/>
      <c r="R86" s="30" t="str">
        <f t="shared" si="29"/>
        <v>410079.1</v>
      </c>
      <c r="S86" s="30" t="str">
        <f t="shared" si="30"/>
        <v>410079.2</v>
      </c>
      <c r="T86" s="30" t="str">
        <f t="shared" si="31"/>
        <v>410079.3</v>
      </c>
      <c r="U86" s="30" t="str">
        <f t="shared" si="32"/>
        <v>410079.4</v>
      </c>
      <c r="V86" s="30" t="str">
        <f t="shared" si="33"/>
        <v>410079.5</v>
      </c>
      <c r="W86" s="30" t="str">
        <f t="shared" si="34"/>
        <v>410079.6</v>
      </c>
      <c r="X86" s="30" t="str">
        <f t="shared" si="35"/>
        <v>410079.7</v>
      </c>
      <c r="Y86" s="30" t="str">
        <f t="shared" si="36"/>
        <v>410079.8</v>
      </c>
      <c r="Z86" s="30" t="str">
        <f t="shared" si="37"/>
        <v>410079.9</v>
      </c>
      <c r="AA86" s="30" t="str">
        <f t="shared" si="38"/>
        <v>410079.10</v>
      </c>
      <c r="AB86" s="30" t="str">
        <f t="shared" si="39"/>
        <v>410079.11</v>
      </c>
      <c r="AC86" s="30" t="str">
        <f t="shared" si="40"/>
        <v>410079.12</v>
      </c>
      <c r="AD86" s="30" t="str">
        <f t="shared" si="41"/>
        <v>410079.13</v>
      </c>
      <c r="AE86" s="30" t="str">
        <f t="shared" si="42"/>
        <v>410079.14</v>
      </c>
      <c r="AF86" s="30" t="str">
        <f t="shared" si="43"/>
        <v>410079.16</v>
      </c>
      <c r="AG86" s="30" t="str">
        <f t="shared" si="43"/>
        <v>410079.16</v>
      </c>
      <c r="AH86" s="4"/>
    </row>
    <row r="87" spans="1:34" x14ac:dyDescent="0.25">
      <c r="A87" s="3">
        <v>80</v>
      </c>
      <c r="B87" s="3" t="s">
        <v>335</v>
      </c>
      <c r="C87" s="3" t="s">
        <v>254</v>
      </c>
      <c r="D87" s="3" t="s">
        <v>306</v>
      </c>
      <c r="E87" s="4">
        <f t="shared" si="25"/>
        <v>410080</v>
      </c>
      <c r="F87" s="7"/>
      <c r="G87" s="7"/>
      <c r="H87" s="2"/>
      <c r="I87" s="7" t="str">
        <f t="shared" si="21"/>
        <v>410080.4</v>
      </c>
      <c r="J87" s="2"/>
      <c r="K87" s="2"/>
      <c r="L87" s="2"/>
      <c r="M87" s="2"/>
      <c r="N87" s="2"/>
      <c r="O87" s="2"/>
      <c r="P87" s="2"/>
      <c r="Q87" s="2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4"/>
    </row>
    <row r="88" spans="1:34" x14ac:dyDescent="0.25">
      <c r="A88" s="3">
        <v>81</v>
      </c>
      <c r="B88" s="3" t="s">
        <v>335</v>
      </c>
      <c r="C88" s="3" t="s">
        <v>262</v>
      </c>
      <c r="D88" s="3" t="s">
        <v>314</v>
      </c>
      <c r="E88" s="4">
        <f t="shared" si="25"/>
        <v>410081</v>
      </c>
      <c r="F88" s="7" t="str">
        <f t="shared" si="23"/>
        <v>410081.1</v>
      </c>
      <c r="G88" s="7" t="str">
        <f>$E88&amp;".2"</f>
        <v>410081.2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4"/>
    </row>
    <row r="89" spans="1:34" x14ac:dyDescent="0.25">
      <c r="A89" s="3">
        <v>82</v>
      </c>
      <c r="B89" s="3" t="s">
        <v>335</v>
      </c>
      <c r="C89" s="8" t="s">
        <v>59</v>
      </c>
      <c r="D89" s="8" t="s">
        <v>293</v>
      </c>
      <c r="E89" s="4">
        <f t="shared" si="25"/>
        <v>410082</v>
      </c>
      <c r="F89" s="7" t="str">
        <f t="shared" si="23"/>
        <v>410082.1</v>
      </c>
      <c r="G89" s="7"/>
      <c r="H89" s="7" t="str">
        <f t="shared" si="24"/>
        <v>410082.3</v>
      </c>
      <c r="I89" s="7"/>
      <c r="J89" s="7"/>
      <c r="K89" s="7"/>
      <c r="L89" s="7"/>
      <c r="M89" s="7"/>
      <c r="N89" s="7"/>
      <c r="O89" s="7" t="str">
        <f t="shared" si="26"/>
        <v>410082.10</v>
      </c>
      <c r="P89" s="7" t="str">
        <f t="shared" si="27"/>
        <v>410082.11</v>
      </c>
      <c r="Q89" s="7" t="str">
        <f t="shared" si="28"/>
        <v>410082.12</v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4"/>
    </row>
    <row r="90" spans="1:34" x14ac:dyDescent="0.25">
      <c r="A90" s="3">
        <v>83</v>
      </c>
      <c r="B90" s="3" t="s">
        <v>335</v>
      </c>
      <c r="C90" s="8" t="s">
        <v>608</v>
      </c>
      <c r="D90" s="3" t="s">
        <v>293</v>
      </c>
      <c r="E90" s="4">
        <f t="shared" si="25"/>
        <v>410083</v>
      </c>
      <c r="F90" s="2"/>
      <c r="G90" s="2"/>
      <c r="H90" s="2"/>
      <c r="I90" s="7"/>
      <c r="J90" s="2"/>
      <c r="K90" s="2"/>
      <c r="L90" s="2"/>
      <c r="M90" s="2"/>
      <c r="N90" s="2"/>
      <c r="O90" s="2"/>
      <c r="P90" s="2"/>
      <c r="Q90" s="2"/>
      <c r="R90" s="30" t="str">
        <f t="shared" si="29"/>
        <v>410083.1</v>
      </c>
      <c r="S90" s="30" t="str">
        <f t="shared" si="30"/>
        <v>410083.2</v>
      </c>
      <c r="T90" s="30" t="str">
        <f t="shared" si="31"/>
        <v>410083.3</v>
      </c>
      <c r="U90" s="30" t="str">
        <f t="shared" si="32"/>
        <v>410083.4</v>
      </c>
      <c r="V90" s="30" t="str">
        <f t="shared" si="33"/>
        <v>410083.5</v>
      </c>
      <c r="W90" s="30" t="str">
        <f t="shared" si="34"/>
        <v>410083.6</v>
      </c>
      <c r="X90" s="30" t="str">
        <f t="shared" si="35"/>
        <v>410083.7</v>
      </c>
      <c r="Y90" s="30" t="str">
        <f t="shared" si="36"/>
        <v>410083.8</v>
      </c>
      <c r="Z90" s="30" t="str">
        <f t="shared" si="37"/>
        <v>410083.9</v>
      </c>
      <c r="AA90" s="30" t="str">
        <f t="shared" si="38"/>
        <v>410083.10</v>
      </c>
      <c r="AB90" s="30" t="str">
        <f t="shared" si="39"/>
        <v>410083.11</v>
      </c>
      <c r="AC90" s="30" t="str">
        <f t="shared" si="40"/>
        <v>410083.12</v>
      </c>
      <c r="AD90" s="30" t="str">
        <f t="shared" si="41"/>
        <v>410083.13</v>
      </c>
      <c r="AE90" s="30" t="str">
        <f t="shared" si="42"/>
        <v>410083.14</v>
      </c>
      <c r="AF90" s="30" t="str">
        <f t="shared" si="43"/>
        <v>410083.16</v>
      </c>
      <c r="AG90" s="30" t="str">
        <f t="shared" si="43"/>
        <v>410083.16</v>
      </c>
      <c r="AH90" s="4"/>
    </row>
    <row r="91" spans="1:34" x14ac:dyDescent="0.25">
      <c r="A91" s="3">
        <v>84</v>
      </c>
      <c r="B91" s="3" t="s">
        <v>335</v>
      </c>
      <c r="C91" s="8" t="s">
        <v>609</v>
      </c>
      <c r="D91" s="3" t="s">
        <v>332</v>
      </c>
      <c r="E91" s="4">
        <f t="shared" si="25"/>
        <v>410084</v>
      </c>
      <c r="F91" s="2"/>
      <c r="G91" s="2"/>
      <c r="H91" s="2"/>
      <c r="I91" s="7"/>
      <c r="J91" s="2"/>
      <c r="K91" s="2"/>
      <c r="L91" s="2"/>
      <c r="M91" s="2"/>
      <c r="N91" s="2"/>
      <c r="O91" s="2"/>
      <c r="P91" s="2"/>
      <c r="Q91" s="2"/>
      <c r="R91" s="30" t="str">
        <f t="shared" si="29"/>
        <v>410084.1</v>
      </c>
      <c r="S91" s="30" t="str">
        <f t="shared" si="30"/>
        <v>410084.2</v>
      </c>
      <c r="T91" s="30" t="str">
        <f t="shared" si="31"/>
        <v>410084.3</v>
      </c>
      <c r="U91" s="30" t="str">
        <f t="shared" si="32"/>
        <v>410084.4</v>
      </c>
      <c r="V91" s="30" t="str">
        <f t="shared" si="33"/>
        <v>410084.5</v>
      </c>
      <c r="W91" s="30" t="str">
        <f t="shared" si="34"/>
        <v>410084.6</v>
      </c>
      <c r="X91" s="30" t="str">
        <f t="shared" si="35"/>
        <v>410084.7</v>
      </c>
      <c r="Y91" s="30" t="str">
        <f t="shared" si="36"/>
        <v>410084.8</v>
      </c>
      <c r="Z91" s="30" t="str">
        <f t="shared" si="37"/>
        <v>410084.9</v>
      </c>
      <c r="AA91" s="30" t="str">
        <f t="shared" si="38"/>
        <v>410084.10</v>
      </c>
      <c r="AB91" s="30" t="str">
        <f t="shared" si="39"/>
        <v>410084.11</v>
      </c>
      <c r="AC91" s="30" t="str">
        <f t="shared" si="40"/>
        <v>410084.12</v>
      </c>
      <c r="AD91" s="30" t="str">
        <f t="shared" si="41"/>
        <v>410084.13</v>
      </c>
      <c r="AE91" s="30" t="str">
        <f t="shared" si="42"/>
        <v>410084.14</v>
      </c>
      <c r="AF91" s="30" t="str">
        <f t="shared" si="43"/>
        <v>410084.16</v>
      </c>
      <c r="AG91" s="30" t="str">
        <f t="shared" si="43"/>
        <v>410084.16</v>
      </c>
      <c r="AH91" s="4"/>
    </row>
    <row r="92" spans="1:34" x14ac:dyDescent="0.25">
      <c r="A92" s="3">
        <v>85</v>
      </c>
      <c r="B92" s="3" t="s">
        <v>335</v>
      </c>
      <c r="C92" s="8" t="s">
        <v>610</v>
      </c>
      <c r="D92" s="3" t="s">
        <v>322</v>
      </c>
      <c r="E92" s="4">
        <f t="shared" si="25"/>
        <v>410085</v>
      </c>
      <c r="F92" s="2"/>
      <c r="G92" s="2"/>
      <c r="H92" s="2"/>
      <c r="I92" s="7"/>
      <c r="J92" s="2"/>
      <c r="K92" s="2"/>
      <c r="L92" s="2"/>
      <c r="M92" s="2"/>
      <c r="N92" s="2"/>
      <c r="O92" s="2"/>
      <c r="P92" s="2"/>
      <c r="Q92" s="2"/>
      <c r="R92" s="30" t="str">
        <f t="shared" si="29"/>
        <v>410085.1</v>
      </c>
      <c r="S92" s="30" t="str">
        <f t="shared" si="30"/>
        <v>410085.2</v>
      </c>
      <c r="T92" s="30" t="str">
        <f t="shared" si="31"/>
        <v>410085.3</v>
      </c>
      <c r="U92" s="30" t="str">
        <f t="shared" si="32"/>
        <v>410085.4</v>
      </c>
      <c r="V92" s="30" t="str">
        <f t="shared" si="33"/>
        <v>410085.5</v>
      </c>
      <c r="W92" s="30" t="str">
        <f t="shared" si="34"/>
        <v>410085.6</v>
      </c>
      <c r="X92" s="30" t="str">
        <f t="shared" si="35"/>
        <v>410085.7</v>
      </c>
      <c r="Y92" s="30" t="str">
        <f t="shared" si="36"/>
        <v>410085.8</v>
      </c>
      <c r="Z92" s="30" t="str">
        <f t="shared" si="37"/>
        <v>410085.9</v>
      </c>
      <c r="AA92" s="30" t="str">
        <f t="shared" si="38"/>
        <v>410085.10</v>
      </c>
      <c r="AB92" s="30" t="str">
        <f t="shared" si="39"/>
        <v>410085.11</v>
      </c>
      <c r="AC92" s="30" t="str">
        <f t="shared" si="40"/>
        <v>410085.12</v>
      </c>
      <c r="AD92" s="30" t="str">
        <f t="shared" si="41"/>
        <v>410085.13</v>
      </c>
      <c r="AE92" s="30" t="str">
        <f t="shared" si="42"/>
        <v>410085.14</v>
      </c>
      <c r="AF92" s="30" t="str">
        <f t="shared" si="43"/>
        <v>410085.16</v>
      </c>
      <c r="AG92" s="30" t="str">
        <f t="shared" si="43"/>
        <v>410085.16</v>
      </c>
      <c r="AH92" s="4"/>
    </row>
    <row r="93" spans="1:34" x14ac:dyDescent="0.25">
      <c r="A93" s="3">
        <v>86</v>
      </c>
      <c r="B93" s="3" t="s">
        <v>335</v>
      </c>
      <c r="C93" s="3" t="s">
        <v>255</v>
      </c>
      <c r="D93" s="3" t="s">
        <v>307</v>
      </c>
      <c r="E93" s="4">
        <f t="shared" si="25"/>
        <v>410086</v>
      </c>
      <c r="F93" s="7"/>
      <c r="G93" s="7"/>
      <c r="H93" s="2"/>
      <c r="I93" s="7" t="str">
        <f t="shared" ref="I93:I101" si="44">$E93&amp;".4"</f>
        <v>410086.4</v>
      </c>
      <c r="J93" s="2"/>
      <c r="K93" s="2"/>
      <c r="L93" s="2"/>
      <c r="M93" s="2"/>
      <c r="N93" s="2"/>
      <c r="O93" s="2"/>
      <c r="P93" s="2"/>
      <c r="Q93" s="2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4"/>
    </row>
    <row r="94" spans="1:34" x14ac:dyDescent="0.25">
      <c r="A94" s="3">
        <v>87</v>
      </c>
      <c r="B94" s="3" t="s">
        <v>335</v>
      </c>
      <c r="C94" s="3" t="s">
        <v>263</v>
      </c>
      <c r="D94" s="3" t="s">
        <v>315</v>
      </c>
      <c r="E94" s="4">
        <f t="shared" si="25"/>
        <v>410087</v>
      </c>
      <c r="F94" s="7" t="str">
        <f t="shared" si="23"/>
        <v>410087.1</v>
      </c>
      <c r="G94" s="7" t="str">
        <f>$E94&amp;".2"</f>
        <v>410087.2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4"/>
    </row>
    <row r="95" spans="1:34" s="15" customFormat="1" x14ac:dyDescent="0.25">
      <c r="A95" s="11">
        <v>1</v>
      </c>
      <c r="B95" s="11" t="s">
        <v>336</v>
      </c>
      <c r="C95" s="8" t="s">
        <v>60</v>
      </c>
      <c r="D95" s="8" t="s">
        <v>294</v>
      </c>
      <c r="E95" s="16">
        <f>E8</f>
        <v>410001</v>
      </c>
      <c r="F95" s="13" t="str">
        <f t="shared" si="23"/>
        <v>410001.1</v>
      </c>
      <c r="G95" s="13"/>
      <c r="H95" s="13" t="str">
        <f t="shared" si="24"/>
        <v>410001.3</v>
      </c>
      <c r="I95" s="13"/>
      <c r="J95" s="13"/>
      <c r="K95" s="13"/>
      <c r="L95" s="13"/>
      <c r="M95" s="13"/>
      <c r="N95" s="13"/>
      <c r="O95" s="13" t="str">
        <f t="shared" si="26"/>
        <v>410001.10</v>
      </c>
      <c r="P95" s="13" t="str">
        <f t="shared" si="27"/>
        <v>410001.11</v>
      </c>
      <c r="Q95" s="13" t="str">
        <f t="shared" si="28"/>
        <v>410001.12</v>
      </c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6"/>
    </row>
    <row r="96" spans="1:34" x14ac:dyDescent="0.25">
      <c r="A96" s="3">
        <v>2</v>
      </c>
      <c r="B96" s="3" t="s">
        <v>336</v>
      </c>
      <c r="C96" s="3" t="s">
        <v>256</v>
      </c>
      <c r="D96" s="3" t="s">
        <v>308</v>
      </c>
      <c r="E96" s="4">
        <f t="shared" ref="E96:E159" si="45">E95+1</f>
        <v>410002</v>
      </c>
      <c r="F96" s="7"/>
      <c r="G96" s="7"/>
      <c r="H96" s="2"/>
      <c r="I96" s="7" t="str">
        <f t="shared" si="44"/>
        <v>410002.4</v>
      </c>
      <c r="J96" s="2"/>
      <c r="K96" s="2"/>
      <c r="L96" s="2"/>
      <c r="M96" s="2"/>
      <c r="N96" s="2"/>
      <c r="O96" s="2"/>
      <c r="P96" s="2"/>
      <c r="Q96" s="2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4"/>
    </row>
    <row r="97" spans="1:34" x14ac:dyDescent="0.25">
      <c r="A97" s="3">
        <v>3</v>
      </c>
      <c r="B97" s="3" t="s">
        <v>336</v>
      </c>
      <c r="C97" s="3" t="s">
        <v>264</v>
      </c>
      <c r="D97" s="3" t="s">
        <v>316</v>
      </c>
      <c r="E97" s="4">
        <f t="shared" si="45"/>
        <v>410003</v>
      </c>
      <c r="F97" s="7" t="str">
        <f t="shared" si="23"/>
        <v>410003.1</v>
      </c>
      <c r="G97" s="7" t="str">
        <f>$E97&amp;".2"</f>
        <v>410003.2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4"/>
    </row>
    <row r="98" spans="1:34" x14ac:dyDescent="0.25">
      <c r="A98" s="3">
        <v>4</v>
      </c>
      <c r="B98" s="3" t="s">
        <v>336</v>
      </c>
      <c r="C98" s="3" t="s">
        <v>63</v>
      </c>
      <c r="D98" s="3" t="s">
        <v>296</v>
      </c>
      <c r="E98" s="4">
        <f t="shared" si="45"/>
        <v>410004</v>
      </c>
      <c r="F98" s="7" t="str">
        <f t="shared" si="23"/>
        <v>410004.1</v>
      </c>
      <c r="G98" s="7"/>
      <c r="H98" s="7" t="str">
        <f t="shared" si="24"/>
        <v>410004.3</v>
      </c>
      <c r="I98" s="7"/>
      <c r="J98" s="7" t="str">
        <f>$E98&amp;".5"</f>
        <v>410004.5</v>
      </c>
      <c r="K98" s="7" t="str">
        <f>$E98&amp;".6"</f>
        <v>410004.6</v>
      </c>
      <c r="L98" s="7" t="str">
        <f>$E98&amp;".7"</f>
        <v>410004.7</v>
      </c>
      <c r="M98" s="7" t="str">
        <f>$E98&amp;".8"</f>
        <v>410004.8</v>
      </c>
      <c r="N98" s="7" t="str">
        <f>$E98&amp;".9"</f>
        <v>410004.9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4"/>
    </row>
    <row r="99" spans="1:34" x14ac:dyDescent="0.25">
      <c r="A99" s="3">
        <v>5</v>
      </c>
      <c r="B99" s="3" t="s">
        <v>336</v>
      </c>
      <c r="C99" s="8" t="s">
        <v>61</v>
      </c>
      <c r="D99" s="8" t="s">
        <v>295</v>
      </c>
      <c r="E99" s="4">
        <f t="shared" si="45"/>
        <v>410005</v>
      </c>
      <c r="F99" s="7" t="str">
        <f t="shared" si="23"/>
        <v>410005.1</v>
      </c>
      <c r="G99" s="7"/>
      <c r="H99" s="7" t="str">
        <f t="shared" si="24"/>
        <v>410005.3</v>
      </c>
      <c r="I99" s="7"/>
      <c r="J99" s="7"/>
      <c r="K99" s="7"/>
      <c r="L99" s="7"/>
      <c r="M99" s="7"/>
      <c r="N99" s="7"/>
      <c r="O99" s="7" t="str">
        <f t="shared" si="26"/>
        <v>410005.10</v>
      </c>
      <c r="P99" s="7" t="str">
        <f t="shared" si="27"/>
        <v>410005.11</v>
      </c>
      <c r="Q99" s="7" t="str">
        <f t="shared" si="28"/>
        <v>410005.12</v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4"/>
    </row>
    <row r="100" spans="1:34" x14ac:dyDescent="0.25">
      <c r="A100" s="3">
        <v>6</v>
      </c>
      <c r="B100" s="3" t="s">
        <v>336</v>
      </c>
      <c r="C100" s="8" t="s">
        <v>62</v>
      </c>
      <c r="D100" s="8" t="s">
        <v>295</v>
      </c>
      <c r="E100" s="4">
        <f t="shared" si="45"/>
        <v>410006</v>
      </c>
      <c r="F100" s="7" t="str">
        <f t="shared" si="23"/>
        <v>410006.1</v>
      </c>
      <c r="G100" s="7"/>
      <c r="H100" s="7" t="str">
        <f t="shared" si="24"/>
        <v>410006.3</v>
      </c>
      <c r="I100" s="7"/>
      <c r="J100" s="7"/>
      <c r="K100" s="7"/>
      <c r="L100" s="7"/>
      <c r="M100" s="7"/>
      <c r="N100" s="7"/>
      <c r="O100" s="7" t="str">
        <f t="shared" si="26"/>
        <v>410006.10</v>
      </c>
      <c r="P100" s="7" t="str">
        <f t="shared" si="27"/>
        <v>410006.11</v>
      </c>
      <c r="Q100" s="7" t="str">
        <f t="shared" si="28"/>
        <v>410006.12</v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4"/>
    </row>
    <row r="101" spans="1:34" x14ac:dyDescent="0.25">
      <c r="A101" s="3">
        <v>7</v>
      </c>
      <c r="B101" s="3" t="s">
        <v>336</v>
      </c>
      <c r="C101" s="3" t="s">
        <v>257</v>
      </c>
      <c r="D101" s="3" t="s">
        <v>309</v>
      </c>
      <c r="E101" s="4">
        <f t="shared" si="45"/>
        <v>410007</v>
      </c>
      <c r="F101" s="7"/>
      <c r="G101" s="7"/>
      <c r="H101" s="2"/>
      <c r="I101" s="7" t="str">
        <f t="shared" si="44"/>
        <v>410007.4</v>
      </c>
      <c r="J101" s="2"/>
      <c r="K101" s="2"/>
      <c r="L101" s="2"/>
      <c r="M101" s="2"/>
      <c r="N101" s="2"/>
      <c r="O101" s="2"/>
      <c r="P101" s="2"/>
      <c r="Q101" s="2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4"/>
    </row>
    <row r="102" spans="1:34" x14ac:dyDescent="0.25">
      <c r="A102" s="3">
        <v>8</v>
      </c>
      <c r="B102" s="3" t="s">
        <v>336</v>
      </c>
      <c r="C102" s="3" t="s">
        <v>265</v>
      </c>
      <c r="D102" s="3" t="s">
        <v>317</v>
      </c>
      <c r="E102" s="4">
        <f t="shared" si="45"/>
        <v>410008</v>
      </c>
      <c r="F102" s="7" t="str">
        <f t="shared" si="23"/>
        <v>410008.1</v>
      </c>
      <c r="G102" s="7" t="str">
        <f>$E102&amp;".2"</f>
        <v>410008.2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4"/>
    </row>
    <row r="103" spans="1:34" x14ac:dyDescent="0.25">
      <c r="A103" s="3">
        <v>9</v>
      </c>
      <c r="B103" s="3" t="s">
        <v>336</v>
      </c>
      <c r="C103" s="3" t="s">
        <v>266</v>
      </c>
      <c r="D103" s="3" t="s">
        <v>318</v>
      </c>
      <c r="E103" s="4">
        <f t="shared" si="45"/>
        <v>410009</v>
      </c>
      <c r="F103" s="7" t="str">
        <f t="shared" si="23"/>
        <v>410009.1</v>
      </c>
      <c r="G103" s="7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4"/>
    </row>
    <row r="104" spans="1:34" x14ac:dyDescent="0.25">
      <c r="A104" s="3">
        <v>10</v>
      </c>
      <c r="B104" s="3" t="s">
        <v>336</v>
      </c>
      <c r="C104" s="3" t="s">
        <v>64</v>
      </c>
      <c r="D104" s="3" t="s">
        <v>297</v>
      </c>
      <c r="E104" s="4">
        <f t="shared" si="45"/>
        <v>410010</v>
      </c>
      <c r="F104" s="7" t="str">
        <f t="shared" si="23"/>
        <v>410010.1</v>
      </c>
      <c r="G104" s="7"/>
      <c r="H104" s="7" t="str">
        <f t="shared" si="24"/>
        <v>410010.3</v>
      </c>
      <c r="I104" s="7"/>
      <c r="J104" s="7" t="str">
        <f t="shared" ref="J104:J106" si="46">$E104&amp;".5"</f>
        <v>410010.5</v>
      </c>
      <c r="K104" s="7" t="str">
        <f t="shared" ref="K104:K106" si="47">$E104&amp;".6"</f>
        <v>410010.6</v>
      </c>
      <c r="L104" s="7" t="str">
        <f t="shared" ref="L104:L106" si="48">$E104&amp;".7"</f>
        <v>410010.7</v>
      </c>
      <c r="M104" s="7" t="str">
        <f t="shared" ref="M104:M106" si="49">$E104&amp;".8"</f>
        <v>410010.8</v>
      </c>
      <c r="N104" s="7" t="str">
        <f t="shared" ref="N104:N106" si="50">$E104&amp;".9"</f>
        <v>410010.9</v>
      </c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4"/>
    </row>
    <row r="105" spans="1:34" x14ac:dyDescent="0.25">
      <c r="A105" s="3">
        <v>11</v>
      </c>
      <c r="B105" s="3" t="s">
        <v>336</v>
      </c>
      <c r="C105" s="3" t="s">
        <v>267</v>
      </c>
      <c r="D105" s="3" t="s">
        <v>319</v>
      </c>
      <c r="E105" s="4">
        <f t="shared" si="45"/>
        <v>410011</v>
      </c>
      <c r="F105" s="7" t="str">
        <f t="shared" si="23"/>
        <v>410011.1</v>
      </c>
      <c r="G105" s="7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4"/>
    </row>
    <row r="106" spans="1:34" x14ac:dyDescent="0.25">
      <c r="A106" s="3">
        <v>12</v>
      </c>
      <c r="B106" s="3" t="s">
        <v>336</v>
      </c>
      <c r="C106" s="3" t="s">
        <v>65</v>
      </c>
      <c r="D106" s="3" t="s">
        <v>298</v>
      </c>
      <c r="E106" s="4">
        <f t="shared" si="45"/>
        <v>410012</v>
      </c>
      <c r="F106" s="7" t="str">
        <f t="shared" si="23"/>
        <v>410012.1</v>
      </c>
      <c r="G106" s="7"/>
      <c r="H106" s="7" t="str">
        <f t="shared" si="24"/>
        <v>410012.3</v>
      </c>
      <c r="I106" s="7"/>
      <c r="J106" s="7" t="str">
        <f t="shared" si="46"/>
        <v>410012.5</v>
      </c>
      <c r="K106" s="7" t="str">
        <f t="shared" si="47"/>
        <v>410012.6</v>
      </c>
      <c r="L106" s="7" t="str">
        <f t="shared" si="48"/>
        <v>410012.7</v>
      </c>
      <c r="M106" s="7" t="str">
        <f t="shared" si="49"/>
        <v>410012.8</v>
      </c>
      <c r="N106" s="7" t="str">
        <f t="shared" si="50"/>
        <v>410012.9</v>
      </c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4"/>
    </row>
    <row r="107" spans="1:34" x14ac:dyDescent="0.25">
      <c r="A107" s="3">
        <v>13</v>
      </c>
      <c r="B107" s="3" t="s">
        <v>336</v>
      </c>
      <c r="C107" s="3" t="s">
        <v>66</v>
      </c>
      <c r="D107" s="3" t="s">
        <v>299</v>
      </c>
      <c r="E107" s="4">
        <f t="shared" si="45"/>
        <v>410013</v>
      </c>
      <c r="F107" s="7" t="str">
        <f t="shared" si="23"/>
        <v>410013.1</v>
      </c>
      <c r="G107" s="7"/>
      <c r="H107" s="7" t="str">
        <f t="shared" si="24"/>
        <v>410013.3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4"/>
    </row>
    <row r="108" spans="1:34" x14ac:dyDescent="0.25">
      <c r="A108" s="3">
        <v>14</v>
      </c>
      <c r="B108" s="3" t="s">
        <v>336</v>
      </c>
      <c r="C108" s="3" t="s">
        <v>249</v>
      </c>
      <c r="D108" s="3" t="s">
        <v>299</v>
      </c>
      <c r="E108" s="4">
        <f t="shared" si="45"/>
        <v>410014</v>
      </c>
      <c r="F108" s="7" t="str">
        <f t="shared" si="23"/>
        <v>410014.1</v>
      </c>
      <c r="G108" s="7" t="str">
        <f>$E108&amp;".2"</f>
        <v>410014.2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4"/>
    </row>
    <row r="109" spans="1:34" x14ac:dyDescent="0.25">
      <c r="A109" s="3">
        <v>15</v>
      </c>
      <c r="B109" s="3" t="s">
        <v>336</v>
      </c>
      <c r="C109" s="3" t="s">
        <v>67</v>
      </c>
      <c r="D109" s="3" t="s">
        <v>300</v>
      </c>
      <c r="E109" s="4">
        <f t="shared" si="45"/>
        <v>410015</v>
      </c>
      <c r="F109" s="7" t="str">
        <f t="shared" si="23"/>
        <v>410015.1</v>
      </c>
      <c r="G109" s="7"/>
      <c r="H109" s="7" t="str">
        <f t="shared" si="24"/>
        <v>410015.3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4"/>
    </row>
    <row r="110" spans="1:34" x14ac:dyDescent="0.25">
      <c r="A110" s="3">
        <v>16</v>
      </c>
      <c r="B110" s="3" t="s">
        <v>336</v>
      </c>
      <c r="C110" s="3" t="s">
        <v>247</v>
      </c>
      <c r="D110" s="3" t="s">
        <v>300</v>
      </c>
      <c r="E110" s="4">
        <f t="shared" si="45"/>
        <v>410016</v>
      </c>
      <c r="F110" s="7" t="str">
        <f t="shared" si="23"/>
        <v>410016.1</v>
      </c>
      <c r="G110" s="7"/>
      <c r="H110" s="7" t="str">
        <f t="shared" si="24"/>
        <v>410016.3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4"/>
    </row>
    <row r="111" spans="1:34" x14ac:dyDescent="0.25">
      <c r="A111" s="3">
        <v>17</v>
      </c>
      <c r="B111" s="3" t="s">
        <v>336</v>
      </c>
      <c r="C111" s="3" t="s">
        <v>68</v>
      </c>
      <c r="D111" s="3" t="s">
        <v>301</v>
      </c>
      <c r="E111" s="4">
        <f t="shared" si="45"/>
        <v>410017</v>
      </c>
      <c r="F111" s="7" t="str">
        <f t="shared" si="23"/>
        <v>410017.1</v>
      </c>
      <c r="G111" s="7"/>
      <c r="H111" s="7" t="str">
        <f t="shared" si="24"/>
        <v>410017.3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4"/>
    </row>
    <row r="112" spans="1:34" x14ac:dyDescent="0.25">
      <c r="A112" s="3">
        <v>18</v>
      </c>
      <c r="B112" s="3" t="s">
        <v>336</v>
      </c>
      <c r="C112" s="3" t="s">
        <v>248</v>
      </c>
      <c r="D112" s="3" t="s">
        <v>301</v>
      </c>
      <c r="E112" s="4">
        <f t="shared" si="45"/>
        <v>410018</v>
      </c>
      <c r="F112" s="7" t="str">
        <f t="shared" si="23"/>
        <v>410018.1</v>
      </c>
      <c r="G112" s="7"/>
      <c r="H112" s="7" t="str">
        <f t="shared" si="24"/>
        <v>410018.3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4"/>
    </row>
    <row r="113" spans="1:34" x14ac:dyDescent="0.25">
      <c r="A113" s="3">
        <v>19</v>
      </c>
      <c r="B113" s="3" t="s">
        <v>336</v>
      </c>
      <c r="C113" s="3" t="s">
        <v>118</v>
      </c>
      <c r="D113" s="3" t="s">
        <v>291</v>
      </c>
      <c r="E113" s="4">
        <f t="shared" si="45"/>
        <v>410019</v>
      </c>
      <c r="F113" s="7" t="str">
        <f t="shared" si="23"/>
        <v>410019.1</v>
      </c>
      <c r="G113" s="7"/>
      <c r="H113" s="7" t="str">
        <f t="shared" si="24"/>
        <v>410019.3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4"/>
    </row>
    <row r="114" spans="1:34" x14ac:dyDescent="0.25">
      <c r="A114" s="3">
        <v>20</v>
      </c>
      <c r="B114" s="3" t="s">
        <v>336</v>
      </c>
      <c r="C114" s="3" t="s">
        <v>119</v>
      </c>
      <c r="D114" s="3" t="s">
        <v>291</v>
      </c>
      <c r="E114" s="4">
        <f t="shared" si="45"/>
        <v>410020</v>
      </c>
      <c r="F114" s="7" t="str">
        <f t="shared" si="23"/>
        <v>410020.1</v>
      </c>
      <c r="G114" s="7"/>
      <c r="H114" s="7" t="str">
        <f t="shared" si="24"/>
        <v>410020.3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4"/>
    </row>
    <row r="115" spans="1:34" x14ac:dyDescent="0.25">
      <c r="A115" s="3">
        <v>21</v>
      </c>
      <c r="B115" s="3" t="s">
        <v>336</v>
      </c>
      <c r="C115" s="3" t="s">
        <v>120</v>
      </c>
      <c r="D115" s="3" t="s">
        <v>291</v>
      </c>
      <c r="E115" s="4">
        <f t="shared" si="45"/>
        <v>410021</v>
      </c>
      <c r="F115" s="7" t="str">
        <f t="shared" si="23"/>
        <v>410021.1</v>
      </c>
      <c r="G115" s="7"/>
      <c r="H115" s="7" t="str">
        <f t="shared" si="24"/>
        <v>410021.3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4"/>
    </row>
    <row r="116" spans="1:34" x14ac:dyDescent="0.25">
      <c r="A116" s="3">
        <v>22</v>
      </c>
      <c r="B116" s="3" t="s">
        <v>336</v>
      </c>
      <c r="C116" s="3" t="s">
        <v>121</v>
      </c>
      <c r="D116" s="3" t="s">
        <v>328</v>
      </c>
      <c r="E116" s="4">
        <f t="shared" si="45"/>
        <v>410022</v>
      </c>
      <c r="F116" s="7" t="str">
        <f t="shared" si="23"/>
        <v>410022.1</v>
      </c>
      <c r="G116" s="7"/>
      <c r="H116" s="7" t="str">
        <f t="shared" si="24"/>
        <v>410022.3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4"/>
    </row>
    <row r="117" spans="1:34" x14ac:dyDescent="0.25">
      <c r="A117" s="3">
        <v>23</v>
      </c>
      <c r="B117" s="3" t="s">
        <v>336</v>
      </c>
      <c r="C117" s="3" t="s">
        <v>122</v>
      </c>
      <c r="D117" s="3" t="s">
        <v>328</v>
      </c>
      <c r="E117" s="4">
        <f t="shared" si="45"/>
        <v>410023</v>
      </c>
      <c r="F117" s="7" t="str">
        <f t="shared" si="23"/>
        <v>410023.1</v>
      </c>
      <c r="G117" s="7"/>
      <c r="H117" s="7" t="str">
        <f t="shared" si="24"/>
        <v>410023.3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4"/>
    </row>
    <row r="118" spans="1:34" x14ac:dyDescent="0.25">
      <c r="A118" s="3">
        <v>24</v>
      </c>
      <c r="B118" s="3" t="s">
        <v>336</v>
      </c>
      <c r="C118" s="3" t="s">
        <v>123</v>
      </c>
      <c r="D118" s="3" t="s">
        <v>328</v>
      </c>
      <c r="E118" s="4">
        <f t="shared" si="45"/>
        <v>410024</v>
      </c>
      <c r="F118" s="7" t="str">
        <f t="shared" si="23"/>
        <v>410024.1</v>
      </c>
      <c r="G118" s="7"/>
      <c r="H118" s="7" t="str">
        <f t="shared" si="24"/>
        <v>410024.3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4"/>
    </row>
    <row r="119" spans="1:34" x14ac:dyDescent="0.25">
      <c r="A119" s="3">
        <v>25</v>
      </c>
      <c r="B119" s="3" t="s">
        <v>336</v>
      </c>
      <c r="C119" s="3" t="s">
        <v>124</v>
      </c>
      <c r="D119" s="3" t="s">
        <v>328</v>
      </c>
      <c r="E119" s="4">
        <f t="shared" si="45"/>
        <v>410025</v>
      </c>
      <c r="F119" s="7" t="str">
        <f t="shared" si="23"/>
        <v>410025.1</v>
      </c>
      <c r="G119" s="7"/>
      <c r="H119" s="7" t="str">
        <f t="shared" si="24"/>
        <v>410025.3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4"/>
    </row>
    <row r="120" spans="1:34" x14ac:dyDescent="0.25">
      <c r="A120" s="3">
        <v>26</v>
      </c>
      <c r="B120" s="3" t="s">
        <v>336</v>
      </c>
      <c r="C120" s="3" t="s">
        <v>125</v>
      </c>
      <c r="D120" s="3" t="s">
        <v>328</v>
      </c>
      <c r="E120" s="4">
        <f t="shared" si="45"/>
        <v>410026</v>
      </c>
      <c r="F120" s="7" t="str">
        <f t="shared" si="23"/>
        <v>410026.1</v>
      </c>
      <c r="G120" s="7"/>
      <c r="H120" s="7" t="str">
        <f t="shared" si="24"/>
        <v>410026.3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4"/>
    </row>
    <row r="121" spans="1:34" x14ac:dyDescent="0.25">
      <c r="A121" s="3">
        <v>27</v>
      </c>
      <c r="B121" s="3" t="s">
        <v>336</v>
      </c>
      <c r="C121" s="3" t="s">
        <v>126</v>
      </c>
      <c r="D121" s="3" t="s">
        <v>328</v>
      </c>
      <c r="E121" s="4">
        <f t="shared" si="45"/>
        <v>410027</v>
      </c>
      <c r="F121" s="7" t="str">
        <f t="shared" si="23"/>
        <v>410027.1</v>
      </c>
      <c r="G121" s="7"/>
      <c r="H121" s="7" t="str">
        <f t="shared" si="24"/>
        <v>410027.3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4"/>
    </row>
    <row r="122" spans="1:34" x14ac:dyDescent="0.25">
      <c r="A122" s="3">
        <v>28</v>
      </c>
      <c r="B122" s="3" t="s">
        <v>336</v>
      </c>
      <c r="C122" s="3" t="s">
        <v>127</v>
      </c>
      <c r="D122" s="3" t="s">
        <v>328</v>
      </c>
      <c r="E122" s="4">
        <f t="shared" si="45"/>
        <v>410028</v>
      </c>
      <c r="F122" s="7" t="str">
        <f t="shared" si="23"/>
        <v>410028.1</v>
      </c>
      <c r="G122" s="7"/>
      <c r="H122" s="7" t="str">
        <f t="shared" si="24"/>
        <v>410028.3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4"/>
    </row>
    <row r="123" spans="1:34" x14ac:dyDescent="0.25">
      <c r="A123" s="3">
        <v>29</v>
      </c>
      <c r="B123" s="3" t="s">
        <v>336</v>
      </c>
      <c r="C123" s="3" t="s">
        <v>128</v>
      </c>
      <c r="D123" s="3" t="s">
        <v>328</v>
      </c>
      <c r="E123" s="4">
        <f t="shared" si="45"/>
        <v>410029</v>
      </c>
      <c r="F123" s="7" t="str">
        <f t="shared" si="23"/>
        <v>410029.1</v>
      </c>
      <c r="G123" s="7"/>
      <c r="H123" s="7" t="str">
        <f t="shared" si="24"/>
        <v>410029.3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4"/>
    </row>
    <row r="124" spans="1:34" x14ac:dyDescent="0.25">
      <c r="A124" s="3">
        <v>30</v>
      </c>
      <c r="B124" s="3" t="s">
        <v>336</v>
      </c>
      <c r="C124" s="3" t="s">
        <v>129</v>
      </c>
      <c r="D124" s="3" t="s">
        <v>329</v>
      </c>
      <c r="E124" s="4">
        <f t="shared" si="45"/>
        <v>410030</v>
      </c>
      <c r="F124" s="7" t="str">
        <f t="shared" si="23"/>
        <v>410030.1</v>
      </c>
      <c r="G124" s="7"/>
      <c r="H124" s="7" t="str">
        <f t="shared" si="24"/>
        <v>410030.3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4"/>
    </row>
    <row r="125" spans="1:34" x14ac:dyDescent="0.25">
      <c r="A125" s="3">
        <v>31</v>
      </c>
      <c r="B125" s="3" t="s">
        <v>336</v>
      </c>
      <c r="C125" s="3" t="s">
        <v>130</v>
      </c>
      <c r="D125" s="3" t="s">
        <v>329</v>
      </c>
      <c r="E125" s="4">
        <f t="shared" si="45"/>
        <v>410031</v>
      </c>
      <c r="F125" s="7" t="str">
        <f t="shared" si="23"/>
        <v>410031.1</v>
      </c>
      <c r="G125" s="7"/>
      <c r="H125" s="7" t="str">
        <f t="shared" si="24"/>
        <v>410031.3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4"/>
    </row>
    <row r="126" spans="1:34" x14ac:dyDescent="0.25">
      <c r="A126" s="3">
        <v>32</v>
      </c>
      <c r="B126" s="3" t="s">
        <v>336</v>
      </c>
      <c r="C126" s="3" t="s">
        <v>131</v>
      </c>
      <c r="D126" s="3" t="s">
        <v>329</v>
      </c>
      <c r="E126" s="4">
        <f t="shared" si="45"/>
        <v>410032</v>
      </c>
      <c r="F126" s="7" t="str">
        <f t="shared" si="23"/>
        <v>410032.1</v>
      </c>
      <c r="G126" s="7"/>
      <c r="H126" s="7" t="str">
        <f t="shared" si="24"/>
        <v>410032.3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4"/>
    </row>
    <row r="127" spans="1:34" x14ac:dyDescent="0.25">
      <c r="A127" s="3">
        <v>33</v>
      </c>
      <c r="B127" s="3" t="s">
        <v>336</v>
      </c>
      <c r="C127" s="3" t="s">
        <v>132</v>
      </c>
      <c r="D127" s="3" t="s">
        <v>329</v>
      </c>
      <c r="E127" s="4">
        <f t="shared" si="45"/>
        <v>410033</v>
      </c>
      <c r="F127" s="7" t="str">
        <f t="shared" si="23"/>
        <v>410033.1</v>
      </c>
      <c r="G127" s="7"/>
      <c r="H127" s="7" t="str">
        <f t="shared" si="24"/>
        <v>410033.3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4"/>
    </row>
    <row r="128" spans="1:34" x14ac:dyDescent="0.25">
      <c r="A128" s="3">
        <v>34</v>
      </c>
      <c r="B128" s="3" t="s">
        <v>336</v>
      </c>
      <c r="C128" s="3" t="s">
        <v>133</v>
      </c>
      <c r="D128" s="3" t="s">
        <v>329</v>
      </c>
      <c r="E128" s="4">
        <f t="shared" si="45"/>
        <v>410034</v>
      </c>
      <c r="F128" s="7" t="str">
        <f t="shared" si="23"/>
        <v>410034.1</v>
      </c>
      <c r="G128" s="7"/>
      <c r="H128" s="7" t="str">
        <f t="shared" si="24"/>
        <v>410034.3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4"/>
    </row>
    <row r="129" spans="1:34" x14ac:dyDescent="0.25">
      <c r="A129" s="3">
        <v>35</v>
      </c>
      <c r="B129" s="3" t="s">
        <v>336</v>
      </c>
      <c r="C129" s="3" t="s">
        <v>134</v>
      </c>
      <c r="D129" s="3" t="s">
        <v>329</v>
      </c>
      <c r="E129" s="4">
        <f t="shared" si="45"/>
        <v>410035</v>
      </c>
      <c r="F129" s="7" t="str">
        <f t="shared" si="23"/>
        <v>410035.1</v>
      </c>
      <c r="G129" s="7"/>
      <c r="H129" s="7" t="str">
        <f t="shared" si="24"/>
        <v>410035.3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4"/>
    </row>
    <row r="130" spans="1:34" x14ac:dyDescent="0.25">
      <c r="A130" s="3">
        <v>36</v>
      </c>
      <c r="B130" s="3" t="s">
        <v>336</v>
      </c>
      <c r="C130" s="3" t="s">
        <v>135</v>
      </c>
      <c r="D130" s="3" t="s">
        <v>329</v>
      </c>
      <c r="E130" s="4">
        <f t="shared" si="45"/>
        <v>410036</v>
      </c>
      <c r="F130" s="7" t="str">
        <f t="shared" si="23"/>
        <v>410036.1</v>
      </c>
      <c r="G130" s="7"/>
      <c r="H130" s="7" t="str">
        <f t="shared" si="24"/>
        <v>410036.3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4"/>
    </row>
    <row r="131" spans="1:34" x14ac:dyDescent="0.25">
      <c r="A131" s="3">
        <v>37</v>
      </c>
      <c r="B131" s="3" t="s">
        <v>336</v>
      </c>
      <c r="C131" s="3" t="s">
        <v>136</v>
      </c>
      <c r="D131" s="3" t="s">
        <v>329</v>
      </c>
      <c r="E131" s="4">
        <f t="shared" si="45"/>
        <v>410037</v>
      </c>
      <c r="F131" s="7" t="str">
        <f t="shared" si="23"/>
        <v>410037.1</v>
      </c>
      <c r="G131" s="7"/>
      <c r="H131" s="7" t="str">
        <f t="shared" si="24"/>
        <v>410037.3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4"/>
    </row>
    <row r="132" spans="1:34" x14ac:dyDescent="0.25">
      <c r="A132" s="3">
        <v>38</v>
      </c>
      <c r="B132" s="3" t="s">
        <v>336</v>
      </c>
      <c r="C132" s="3" t="s">
        <v>137</v>
      </c>
      <c r="D132" s="3" t="s">
        <v>329</v>
      </c>
      <c r="E132" s="4">
        <f t="shared" si="45"/>
        <v>410038</v>
      </c>
      <c r="F132" s="7" t="str">
        <f t="shared" si="23"/>
        <v>410038.1</v>
      </c>
      <c r="G132" s="7"/>
      <c r="H132" s="7" t="str">
        <f t="shared" si="24"/>
        <v>410038.3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4"/>
    </row>
    <row r="133" spans="1:34" x14ac:dyDescent="0.25">
      <c r="A133" s="3">
        <v>39</v>
      </c>
      <c r="B133" s="3" t="s">
        <v>336</v>
      </c>
      <c r="C133" s="3" t="s">
        <v>138</v>
      </c>
      <c r="D133" s="3" t="s">
        <v>329</v>
      </c>
      <c r="E133" s="4">
        <f t="shared" si="45"/>
        <v>410039</v>
      </c>
      <c r="F133" s="7" t="str">
        <f t="shared" si="23"/>
        <v>410039.1</v>
      </c>
      <c r="G133" s="7"/>
      <c r="H133" s="7" t="str">
        <f t="shared" si="24"/>
        <v>410039.3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4"/>
    </row>
    <row r="134" spans="1:34" x14ac:dyDescent="0.25">
      <c r="A134" s="3">
        <v>40</v>
      </c>
      <c r="B134" s="3" t="s">
        <v>336</v>
      </c>
      <c r="C134" s="3" t="s">
        <v>139</v>
      </c>
      <c r="D134" s="3" t="s">
        <v>292</v>
      </c>
      <c r="E134" s="4">
        <f t="shared" si="45"/>
        <v>410040</v>
      </c>
      <c r="F134" s="7" t="str">
        <f t="shared" si="23"/>
        <v>410040.1</v>
      </c>
      <c r="G134" s="7"/>
      <c r="H134" s="7" t="str">
        <f t="shared" si="24"/>
        <v>410040.3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4"/>
    </row>
    <row r="135" spans="1:34" x14ac:dyDescent="0.25">
      <c r="A135" s="3">
        <v>41</v>
      </c>
      <c r="B135" s="3" t="s">
        <v>336</v>
      </c>
      <c r="C135" s="3" t="s">
        <v>140</v>
      </c>
      <c r="D135" s="3" t="s">
        <v>292</v>
      </c>
      <c r="E135" s="4">
        <f t="shared" si="45"/>
        <v>410041</v>
      </c>
      <c r="F135" s="7" t="str">
        <f t="shared" si="23"/>
        <v>410041.1</v>
      </c>
      <c r="G135" s="7"/>
      <c r="H135" s="7" t="str">
        <f t="shared" si="24"/>
        <v>410041.3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4"/>
    </row>
    <row r="136" spans="1:34" x14ac:dyDescent="0.25">
      <c r="A136" s="3">
        <v>42</v>
      </c>
      <c r="B136" s="3" t="s">
        <v>336</v>
      </c>
      <c r="C136" s="3" t="s">
        <v>141</v>
      </c>
      <c r="D136" s="3" t="s">
        <v>292</v>
      </c>
      <c r="E136" s="4">
        <f t="shared" si="45"/>
        <v>410042</v>
      </c>
      <c r="F136" s="7" t="str">
        <f t="shared" si="23"/>
        <v>410042.1</v>
      </c>
      <c r="G136" s="7"/>
      <c r="H136" s="7" t="str">
        <f t="shared" si="24"/>
        <v>410042.3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4"/>
    </row>
    <row r="137" spans="1:34" x14ac:dyDescent="0.25">
      <c r="A137" s="3">
        <v>43</v>
      </c>
      <c r="B137" s="3" t="s">
        <v>336</v>
      </c>
      <c r="C137" s="3" t="s">
        <v>142</v>
      </c>
      <c r="D137" s="3" t="s">
        <v>292</v>
      </c>
      <c r="E137" s="4">
        <f t="shared" si="45"/>
        <v>410043</v>
      </c>
      <c r="F137" s="7" t="str">
        <f t="shared" ref="F137:F200" si="51">$E137&amp;".1"</f>
        <v>410043.1</v>
      </c>
      <c r="G137" s="7"/>
      <c r="H137" s="7" t="str">
        <f t="shared" ref="H137:H200" si="52">$E137&amp;".3"</f>
        <v>410043.3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4"/>
    </row>
    <row r="138" spans="1:34" x14ac:dyDescent="0.25">
      <c r="A138" s="3">
        <v>44</v>
      </c>
      <c r="B138" s="3" t="s">
        <v>336</v>
      </c>
      <c r="C138" s="3" t="s">
        <v>143</v>
      </c>
      <c r="D138" s="3" t="s">
        <v>330</v>
      </c>
      <c r="E138" s="4">
        <f t="shared" si="45"/>
        <v>410044</v>
      </c>
      <c r="F138" s="7" t="str">
        <f t="shared" si="51"/>
        <v>410044.1</v>
      </c>
      <c r="G138" s="7"/>
      <c r="H138" s="7" t="str">
        <f t="shared" si="52"/>
        <v>410044.3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4"/>
    </row>
    <row r="139" spans="1:34" x14ac:dyDescent="0.25">
      <c r="A139" s="3">
        <v>45</v>
      </c>
      <c r="B139" s="3" t="s">
        <v>336</v>
      </c>
      <c r="C139" s="3" t="s">
        <v>144</v>
      </c>
      <c r="D139" s="3" t="s">
        <v>330</v>
      </c>
      <c r="E139" s="4">
        <f t="shared" si="45"/>
        <v>410045</v>
      </c>
      <c r="F139" s="7" t="str">
        <f t="shared" si="51"/>
        <v>410045.1</v>
      </c>
      <c r="G139" s="7"/>
      <c r="H139" s="7" t="str">
        <f t="shared" si="52"/>
        <v>410045.3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4"/>
    </row>
    <row r="140" spans="1:34" x14ac:dyDescent="0.25">
      <c r="A140" s="3">
        <v>46</v>
      </c>
      <c r="B140" s="3" t="s">
        <v>336</v>
      </c>
      <c r="C140" s="3" t="s">
        <v>145</v>
      </c>
      <c r="D140" s="3" t="s">
        <v>330</v>
      </c>
      <c r="E140" s="4">
        <f t="shared" si="45"/>
        <v>410046</v>
      </c>
      <c r="F140" s="7" t="str">
        <f t="shared" si="51"/>
        <v>410046.1</v>
      </c>
      <c r="G140" s="7"/>
      <c r="H140" s="7" t="str">
        <f t="shared" si="52"/>
        <v>410046.3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4"/>
    </row>
    <row r="141" spans="1:34" x14ac:dyDescent="0.25">
      <c r="A141" s="3">
        <v>47</v>
      </c>
      <c r="B141" s="3" t="s">
        <v>336</v>
      </c>
      <c r="C141" s="3" t="s">
        <v>146</v>
      </c>
      <c r="D141" s="3" t="s">
        <v>330</v>
      </c>
      <c r="E141" s="4">
        <f t="shared" si="45"/>
        <v>410047</v>
      </c>
      <c r="F141" s="7" t="str">
        <f t="shared" si="51"/>
        <v>410047.1</v>
      </c>
      <c r="G141" s="7"/>
      <c r="H141" s="7" t="str">
        <f t="shared" si="52"/>
        <v>410047.3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4"/>
    </row>
    <row r="142" spans="1:34" x14ac:dyDescent="0.25">
      <c r="A142" s="3">
        <v>48</v>
      </c>
      <c r="B142" s="3" t="s">
        <v>336</v>
      </c>
      <c r="C142" s="3" t="s">
        <v>147</v>
      </c>
      <c r="D142" s="3" t="s">
        <v>330</v>
      </c>
      <c r="E142" s="4">
        <f t="shared" si="45"/>
        <v>410048</v>
      </c>
      <c r="F142" s="7" t="str">
        <f t="shared" si="51"/>
        <v>410048.1</v>
      </c>
      <c r="G142" s="7"/>
      <c r="H142" s="7" t="str">
        <f t="shared" si="52"/>
        <v>410048.3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4"/>
    </row>
    <row r="143" spans="1:34" x14ac:dyDescent="0.25">
      <c r="A143" s="3">
        <v>49</v>
      </c>
      <c r="B143" s="3" t="s">
        <v>336</v>
      </c>
      <c r="C143" s="3" t="s">
        <v>148</v>
      </c>
      <c r="D143" s="3" t="s">
        <v>330</v>
      </c>
      <c r="E143" s="4">
        <f t="shared" si="45"/>
        <v>410049</v>
      </c>
      <c r="F143" s="7" t="str">
        <f t="shared" si="51"/>
        <v>410049.1</v>
      </c>
      <c r="G143" s="7"/>
      <c r="H143" s="7" t="str">
        <f t="shared" si="52"/>
        <v>410049.3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4"/>
    </row>
    <row r="144" spans="1:34" x14ac:dyDescent="0.25">
      <c r="A144" s="3">
        <v>50</v>
      </c>
      <c r="B144" s="3" t="s">
        <v>336</v>
      </c>
      <c r="C144" s="3" t="s">
        <v>149</v>
      </c>
      <c r="D144" s="3" t="s">
        <v>330</v>
      </c>
      <c r="E144" s="4">
        <f t="shared" si="45"/>
        <v>410050</v>
      </c>
      <c r="F144" s="7" t="str">
        <f t="shared" si="51"/>
        <v>410050.1</v>
      </c>
      <c r="G144" s="7"/>
      <c r="H144" s="7" t="str">
        <f t="shared" si="52"/>
        <v>410050.3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4"/>
    </row>
    <row r="145" spans="1:34" x14ac:dyDescent="0.25">
      <c r="A145" s="3">
        <v>51</v>
      </c>
      <c r="B145" s="3" t="s">
        <v>336</v>
      </c>
      <c r="C145" s="3" t="s">
        <v>150</v>
      </c>
      <c r="D145" s="3" t="s">
        <v>330</v>
      </c>
      <c r="E145" s="4">
        <f t="shared" si="45"/>
        <v>410051</v>
      </c>
      <c r="F145" s="7" t="str">
        <f t="shared" si="51"/>
        <v>410051.1</v>
      </c>
      <c r="G145" s="7"/>
      <c r="H145" s="7" t="str">
        <f t="shared" si="52"/>
        <v>410051.3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4"/>
    </row>
    <row r="146" spans="1:34" x14ac:dyDescent="0.25">
      <c r="A146" s="3">
        <v>52</v>
      </c>
      <c r="B146" s="3" t="s">
        <v>336</v>
      </c>
      <c r="C146" s="3" t="s">
        <v>151</v>
      </c>
      <c r="D146" s="3" t="s">
        <v>330</v>
      </c>
      <c r="E146" s="4">
        <f t="shared" si="45"/>
        <v>410052</v>
      </c>
      <c r="F146" s="7" t="str">
        <f t="shared" si="51"/>
        <v>410052.1</v>
      </c>
      <c r="G146" s="7"/>
      <c r="H146" s="7" t="str">
        <f t="shared" si="52"/>
        <v>410052.3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4"/>
    </row>
    <row r="147" spans="1:34" x14ac:dyDescent="0.25">
      <c r="A147" s="3">
        <v>53</v>
      </c>
      <c r="B147" s="3" t="s">
        <v>336</v>
      </c>
      <c r="C147" s="3" t="s">
        <v>152</v>
      </c>
      <c r="D147" s="3" t="s">
        <v>330</v>
      </c>
      <c r="E147" s="4">
        <f t="shared" si="45"/>
        <v>410053</v>
      </c>
      <c r="F147" s="7" t="str">
        <f t="shared" si="51"/>
        <v>410053.1</v>
      </c>
      <c r="G147" s="7"/>
      <c r="H147" s="7" t="str">
        <f t="shared" si="52"/>
        <v>410053.3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4"/>
    </row>
    <row r="148" spans="1:34" x14ac:dyDescent="0.25">
      <c r="A148" s="3">
        <v>54</v>
      </c>
      <c r="B148" s="3" t="s">
        <v>336</v>
      </c>
      <c r="C148" s="3" t="s">
        <v>153</v>
      </c>
      <c r="D148" s="3" t="s">
        <v>330</v>
      </c>
      <c r="E148" s="4">
        <f t="shared" si="45"/>
        <v>410054</v>
      </c>
      <c r="F148" s="7" t="str">
        <f t="shared" si="51"/>
        <v>410054.1</v>
      </c>
      <c r="G148" s="7"/>
      <c r="H148" s="7" t="str">
        <f t="shared" si="52"/>
        <v>410054.3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4"/>
    </row>
    <row r="149" spans="1:34" x14ac:dyDescent="0.25">
      <c r="A149" s="3">
        <v>55</v>
      </c>
      <c r="B149" s="3" t="s">
        <v>336</v>
      </c>
      <c r="C149" s="3" t="s">
        <v>154</v>
      </c>
      <c r="D149" s="3" t="s">
        <v>330</v>
      </c>
      <c r="E149" s="4">
        <f t="shared" si="45"/>
        <v>410055</v>
      </c>
      <c r="F149" s="7" t="str">
        <f t="shared" si="51"/>
        <v>410055.1</v>
      </c>
      <c r="G149" s="7"/>
      <c r="H149" s="7" t="str">
        <f t="shared" si="52"/>
        <v>410055.3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4"/>
    </row>
    <row r="150" spans="1:34" x14ac:dyDescent="0.25">
      <c r="A150" s="3">
        <v>56</v>
      </c>
      <c r="B150" s="3" t="s">
        <v>336</v>
      </c>
      <c r="C150" s="3" t="s">
        <v>155</v>
      </c>
      <c r="D150" s="3" t="s">
        <v>331</v>
      </c>
      <c r="E150" s="4">
        <f t="shared" si="45"/>
        <v>410056</v>
      </c>
      <c r="F150" s="7" t="str">
        <f t="shared" si="51"/>
        <v>410056.1</v>
      </c>
      <c r="G150" s="7"/>
      <c r="H150" s="7" t="str">
        <f t="shared" si="52"/>
        <v>410056.3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4"/>
    </row>
    <row r="151" spans="1:34" x14ac:dyDescent="0.25">
      <c r="A151" s="3">
        <v>57</v>
      </c>
      <c r="B151" s="3" t="s">
        <v>336</v>
      </c>
      <c r="C151" s="3" t="s">
        <v>156</v>
      </c>
      <c r="D151" s="3" t="s">
        <v>331</v>
      </c>
      <c r="E151" s="4">
        <f t="shared" si="45"/>
        <v>410057</v>
      </c>
      <c r="F151" s="7" t="str">
        <f t="shared" si="51"/>
        <v>410057.1</v>
      </c>
      <c r="G151" s="7"/>
      <c r="H151" s="7" t="str">
        <f t="shared" si="52"/>
        <v>410057.3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4"/>
    </row>
    <row r="152" spans="1:34" x14ac:dyDescent="0.25">
      <c r="A152" s="3">
        <v>58</v>
      </c>
      <c r="B152" s="3" t="s">
        <v>336</v>
      </c>
      <c r="C152" s="3" t="s">
        <v>157</v>
      </c>
      <c r="D152" s="3" t="s">
        <v>331</v>
      </c>
      <c r="E152" s="4">
        <f t="shared" si="45"/>
        <v>410058</v>
      </c>
      <c r="F152" s="7" t="str">
        <f t="shared" si="51"/>
        <v>410058.1</v>
      </c>
      <c r="G152" s="7"/>
      <c r="H152" s="7" t="str">
        <f t="shared" si="52"/>
        <v>410058.3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4"/>
    </row>
    <row r="153" spans="1:34" x14ac:dyDescent="0.25">
      <c r="A153" s="3">
        <v>59</v>
      </c>
      <c r="B153" s="3" t="s">
        <v>336</v>
      </c>
      <c r="C153" s="3" t="s">
        <v>158</v>
      </c>
      <c r="D153" s="3" t="s">
        <v>331</v>
      </c>
      <c r="E153" s="4">
        <f t="shared" si="45"/>
        <v>410059</v>
      </c>
      <c r="F153" s="7" t="str">
        <f t="shared" si="51"/>
        <v>410059.1</v>
      </c>
      <c r="G153" s="7"/>
      <c r="H153" s="7" t="str">
        <f t="shared" si="52"/>
        <v>410059.3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4"/>
    </row>
    <row r="154" spans="1:34" x14ac:dyDescent="0.25">
      <c r="A154" s="3">
        <v>60</v>
      </c>
      <c r="B154" s="3" t="s">
        <v>336</v>
      </c>
      <c r="C154" s="3" t="s">
        <v>159</v>
      </c>
      <c r="D154" s="3" t="s">
        <v>331</v>
      </c>
      <c r="E154" s="4">
        <f t="shared" si="45"/>
        <v>410060</v>
      </c>
      <c r="F154" s="7" t="str">
        <f t="shared" si="51"/>
        <v>410060.1</v>
      </c>
      <c r="G154" s="7"/>
      <c r="H154" s="7" t="str">
        <f t="shared" si="52"/>
        <v>410060.3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4"/>
    </row>
    <row r="155" spans="1:34" x14ac:dyDescent="0.25">
      <c r="A155" s="3">
        <v>61</v>
      </c>
      <c r="B155" s="3" t="s">
        <v>336</v>
      </c>
      <c r="C155" s="3" t="s">
        <v>160</v>
      </c>
      <c r="D155" s="3" t="s">
        <v>331</v>
      </c>
      <c r="E155" s="4">
        <f t="shared" si="45"/>
        <v>410061</v>
      </c>
      <c r="F155" s="7" t="str">
        <f t="shared" si="51"/>
        <v>410061.1</v>
      </c>
      <c r="G155" s="7"/>
      <c r="H155" s="7" t="str">
        <f t="shared" si="52"/>
        <v>410061.3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4"/>
    </row>
    <row r="156" spans="1:34" x14ac:dyDescent="0.25">
      <c r="A156" s="3">
        <v>62</v>
      </c>
      <c r="B156" s="3" t="s">
        <v>336</v>
      </c>
      <c r="C156" s="3" t="s">
        <v>161</v>
      </c>
      <c r="D156" s="3" t="s">
        <v>331</v>
      </c>
      <c r="E156" s="4">
        <f t="shared" si="45"/>
        <v>410062</v>
      </c>
      <c r="F156" s="7" t="str">
        <f t="shared" si="51"/>
        <v>410062.1</v>
      </c>
      <c r="G156" s="7"/>
      <c r="H156" s="7" t="str">
        <f t="shared" si="52"/>
        <v>410062.3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4"/>
    </row>
    <row r="157" spans="1:34" x14ac:dyDescent="0.25">
      <c r="A157" s="3">
        <v>63</v>
      </c>
      <c r="B157" s="3" t="s">
        <v>336</v>
      </c>
      <c r="C157" s="3" t="s">
        <v>162</v>
      </c>
      <c r="D157" s="3" t="s">
        <v>331</v>
      </c>
      <c r="E157" s="4">
        <f t="shared" si="45"/>
        <v>410063</v>
      </c>
      <c r="F157" s="7" t="str">
        <f t="shared" si="51"/>
        <v>410063.1</v>
      </c>
      <c r="G157" s="7"/>
      <c r="H157" s="7" t="str">
        <f t="shared" si="52"/>
        <v>410063.3</v>
      </c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4"/>
    </row>
    <row r="158" spans="1:34" x14ac:dyDescent="0.25">
      <c r="A158" s="3">
        <v>64</v>
      </c>
      <c r="B158" s="3" t="s">
        <v>336</v>
      </c>
      <c r="C158" s="3" t="s">
        <v>163</v>
      </c>
      <c r="D158" s="3" t="s">
        <v>331</v>
      </c>
      <c r="E158" s="4">
        <f t="shared" si="45"/>
        <v>410064</v>
      </c>
      <c r="F158" s="7" t="str">
        <f t="shared" si="51"/>
        <v>410064.1</v>
      </c>
      <c r="G158" s="7"/>
      <c r="H158" s="7" t="str">
        <f t="shared" si="52"/>
        <v>410064.3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4"/>
    </row>
    <row r="159" spans="1:34" x14ac:dyDescent="0.25">
      <c r="A159" s="3">
        <v>65</v>
      </c>
      <c r="B159" s="3" t="s">
        <v>336</v>
      </c>
      <c r="C159" s="3" t="s">
        <v>164</v>
      </c>
      <c r="D159" s="3" t="s">
        <v>331</v>
      </c>
      <c r="E159" s="4">
        <f t="shared" si="45"/>
        <v>410065</v>
      </c>
      <c r="F159" s="7" t="str">
        <f t="shared" si="51"/>
        <v>410065.1</v>
      </c>
      <c r="G159" s="7"/>
      <c r="H159" s="7" t="str">
        <f t="shared" si="52"/>
        <v>410065.3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4"/>
    </row>
    <row r="160" spans="1:34" x14ac:dyDescent="0.25">
      <c r="A160" s="3">
        <v>66</v>
      </c>
      <c r="B160" s="3" t="s">
        <v>336</v>
      </c>
      <c r="C160" s="3" t="s">
        <v>165</v>
      </c>
      <c r="D160" s="3" t="s">
        <v>293</v>
      </c>
      <c r="E160" s="4">
        <f t="shared" ref="E160:E185" si="53">E159+1</f>
        <v>410066</v>
      </c>
      <c r="F160" s="7" t="str">
        <f t="shared" si="51"/>
        <v>410066.1</v>
      </c>
      <c r="G160" s="7"/>
      <c r="H160" s="7" t="str">
        <f t="shared" si="52"/>
        <v>410066.3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4"/>
    </row>
    <row r="161" spans="1:34" x14ac:dyDescent="0.25">
      <c r="A161" s="3">
        <v>67</v>
      </c>
      <c r="B161" s="3" t="s">
        <v>336</v>
      </c>
      <c r="C161" s="3" t="s">
        <v>166</v>
      </c>
      <c r="D161" s="3" t="s">
        <v>293</v>
      </c>
      <c r="E161" s="4">
        <f t="shared" si="53"/>
        <v>410067</v>
      </c>
      <c r="F161" s="7" t="str">
        <f t="shared" si="51"/>
        <v>410067.1</v>
      </c>
      <c r="G161" s="7"/>
      <c r="H161" s="7" t="str">
        <f t="shared" si="52"/>
        <v>410067.3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4"/>
    </row>
    <row r="162" spans="1:34" x14ac:dyDescent="0.25">
      <c r="A162" s="3">
        <v>68</v>
      </c>
      <c r="B162" s="3" t="s">
        <v>336</v>
      </c>
      <c r="C162" s="3" t="s">
        <v>167</v>
      </c>
      <c r="D162" s="3" t="s">
        <v>293</v>
      </c>
      <c r="E162" s="4">
        <f t="shared" si="53"/>
        <v>410068</v>
      </c>
      <c r="F162" s="7" t="str">
        <f t="shared" si="51"/>
        <v>410068.1</v>
      </c>
      <c r="G162" s="7"/>
      <c r="H162" s="7" t="str">
        <f t="shared" si="52"/>
        <v>410068.3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4"/>
    </row>
    <row r="163" spans="1:34" x14ac:dyDescent="0.25">
      <c r="A163" s="3">
        <v>69</v>
      </c>
      <c r="B163" s="3" t="s">
        <v>336</v>
      </c>
      <c r="C163" s="3" t="s">
        <v>168</v>
      </c>
      <c r="D163" s="3" t="s">
        <v>293</v>
      </c>
      <c r="E163" s="4">
        <f t="shared" si="53"/>
        <v>410069</v>
      </c>
      <c r="F163" s="7" t="str">
        <f t="shared" si="51"/>
        <v>410069.1</v>
      </c>
      <c r="G163" s="7"/>
      <c r="H163" s="7" t="str">
        <f t="shared" si="52"/>
        <v>410069.3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4"/>
    </row>
    <row r="164" spans="1:34" x14ac:dyDescent="0.25">
      <c r="A164" s="3">
        <v>70</v>
      </c>
      <c r="B164" s="3" t="s">
        <v>336</v>
      </c>
      <c r="C164" s="3" t="s">
        <v>169</v>
      </c>
      <c r="D164" s="3" t="s">
        <v>332</v>
      </c>
      <c r="E164" s="4">
        <f t="shared" si="53"/>
        <v>410070</v>
      </c>
      <c r="F164" s="7" t="str">
        <f t="shared" si="51"/>
        <v>410070.1</v>
      </c>
      <c r="G164" s="7"/>
      <c r="H164" s="7" t="str">
        <f t="shared" si="52"/>
        <v>410070.3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4"/>
    </row>
    <row r="165" spans="1:34" x14ac:dyDescent="0.25">
      <c r="A165" s="3">
        <v>71</v>
      </c>
      <c r="B165" s="3" t="s">
        <v>336</v>
      </c>
      <c r="C165" s="3" t="s">
        <v>170</v>
      </c>
      <c r="D165" s="3" t="s">
        <v>332</v>
      </c>
      <c r="E165" s="4">
        <f t="shared" si="53"/>
        <v>410071</v>
      </c>
      <c r="F165" s="7" t="str">
        <f t="shared" si="51"/>
        <v>410071.1</v>
      </c>
      <c r="G165" s="7"/>
      <c r="H165" s="7" t="str">
        <f t="shared" si="52"/>
        <v>410071.3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4"/>
    </row>
    <row r="166" spans="1:34" x14ac:dyDescent="0.25">
      <c r="A166" s="3">
        <v>72</v>
      </c>
      <c r="B166" s="3" t="s">
        <v>336</v>
      </c>
      <c r="C166" s="3" t="s">
        <v>171</v>
      </c>
      <c r="D166" s="3" t="s">
        <v>332</v>
      </c>
      <c r="E166" s="4">
        <f t="shared" si="53"/>
        <v>410072</v>
      </c>
      <c r="F166" s="7" t="str">
        <f t="shared" si="51"/>
        <v>410072.1</v>
      </c>
      <c r="G166" s="7"/>
      <c r="H166" s="7" t="str">
        <f t="shared" si="52"/>
        <v>410072.3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4"/>
    </row>
    <row r="167" spans="1:34" x14ac:dyDescent="0.25">
      <c r="A167" s="3">
        <v>73</v>
      </c>
      <c r="B167" s="3" t="s">
        <v>336</v>
      </c>
      <c r="C167" s="3" t="s">
        <v>172</v>
      </c>
      <c r="D167" s="3" t="s">
        <v>332</v>
      </c>
      <c r="E167" s="4">
        <f t="shared" si="53"/>
        <v>410073</v>
      </c>
      <c r="F167" s="7" t="str">
        <f t="shared" si="51"/>
        <v>410073.1</v>
      </c>
      <c r="G167" s="7"/>
      <c r="H167" s="7" t="str">
        <f t="shared" si="52"/>
        <v>410073.3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4"/>
    </row>
    <row r="168" spans="1:34" x14ac:dyDescent="0.25">
      <c r="A168" s="3">
        <v>74</v>
      </c>
      <c r="B168" s="3" t="s">
        <v>336</v>
      </c>
      <c r="C168" s="3" t="s">
        <v>173</v>
      </c>
      <c r="D168" s="3" t="s">
        <v>332</v>
      </c>
      <c r="E168" s="4">
        <f t="shared" si="53"/>
        <v>410074</v>
      </c>
      <c r="F168" s="7" t="str">
        <f t="shared" si="51"/>
        <v>410074.1</v>
      </c>
      <c r="G168" s="7"/>
      <c r="H168" s="7" t="str">
        <f t="shared" si="52"/>
        <v>410074.3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4"/>
    </row>
    <row r="169" spans="1:34" x14ac:dyDescent="0.25">
      <c r="A169" s="3">
        <v>75</v>
      </c>
      <c r="B169" s="3" t="s">
        <v>336</v>
      </c>
      <c r="C169" s="3" t="s">
        <v>174</v>
      </c>
      <c r="D169" s="3" t="s">
        <v>332</v>
      </c>
      <c r="E169" s="4">
        <f t="shared" si="53"/>
        <v>410075</v>
      </c>
      <c r="F169" s="7" t="str">
        <f t="shared" si="51"/>
        <v>410075.1</v>
      </c>
      <c r="G169" s="7"/>
      <c r="H169" s="7" t="str">
        <f t="shared" si="52"/>
        <v>410075.3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4"/>
    </row>
    <row r="170" spans="1:34" x14ac:dyDescent="0.25">
      <c r="A170" s="3">
        <v>76</v>
      </c>
      <c r="B170" s="3" t="s">
        <v>336</v>
      </c>
      <c r="C170" s="3" t="s">
        <v>175</v>
      </c>
      <c r="D170" s="3" t="s">
        <v>332</v>
      </c>
      <c r="E170" s="4">
        <f t="shared" si="53"/>
        <v>410076</v>
      </c>
      <c r="F170" s="7" t="str">
        <f t="shared" si="51"/>
        <v>410076.1</v>
      </c>
      <c r="G170" s="7"/>
      <c r="H170" s="7" t="str">
        <f t="shared" si="52"/>
        <v>410076.3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4"/>
    </row>
    <row r="171" spans="1:34" x14ac:dyDescent="0.25">
      <c r="A171" s="3">
        <v>77</v>
      </c>
      <c r="B171" s="3" t="s">
        <v>336</v>
      </c>
      <c r="C171" s="3" t="s">
        <v>176</v>
      </c>
      <c r="D171" s="3" t="s">
        <v>332</v>
      </c>
      <c r="E171" s="4">
        <f t="shared" si="53"/>
        <v>410077</v>
      </c>
      <c r="F171" s="7" t="str">
        <f t="shared" si="51"/>
        <v>410077.1</v>
      </c>
      <c r="G171" s="7"/>
      <c r="H171" s="7" t="str">
        <f t="shared" si="52"/>
        <v>410077.3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4"/>
    </row>
    <row r="172" spans="1:34" x14ac:dyDescent="0.25">
      <c r="A172" s="3">
        <v>78</v>
      </c>
      <c r="B172" s="3" t="s">
        <v>336</v>
      </c>
      <c r="C172" s="3" t="s">
        <v>177</v>
      </c>
      <c r="D172" s="3" t="s">
        <v>332</v>
      </c>
      <c r="E172" s="4">
        <f t="shared" si="53"/>
        <v>410078</v>
      </c>
      <c r="F172" s="7" t="str">
        <f t="shared" si="51"/>
        <v>410078.1</v>
      </c>
      <c r="G172" s="7"/>
      <c r="H172" s="7" t="str">
        <f t="shared" si="52"/>
        <v>410078.3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4"/>
    </row>
    <row r="173" spans="1:34" x14ac:dyDescent="0.25">
      <c r="A173" s="3">
        <v>79</v>
      </c>
      <c r="B173" s="3" t="s">
        <v>336</v>
      </c>
      <c r="C173" s="3" t="s">
        <v>178</v>
      </c>
      <c r="D173" s="3" t="s">
        <v>332</v>
      </c>
      <c r="E173" s="4">
        <f t="shared" si="53"/>
        <v>410079</v>
      </c>
      <c r="F173" s="7" t="str">
        <f t="shared" si="51"/>
        <v>410079.1</v>
      </c>
      <c r="G173" s="7"/>
      <c r="H173" s="7" t="str">
        <f t="shared" si="52"/>
        <v>410079.3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4"/>
    </row>
    <row r="174" spans="1:34" x14ac:dyDescent="0.25">
      <c r="A174" s="3">
        <v>80</v>
      </c>
      <c r="B174" s="3" t="s">
        <v>336</v>
      </c>
      <c r="C174" s="3" t="s">
        <v>179</v>
      </c>
      <c r="D174" s="3" t="s">
        <v>332</v>
      </c>
      <c r="E174" s="4">
        <f t="shared" si="53"/>
        <v>410080</v>
      </c>
      <c r="F174" s="7" t="str">
        <f t="shared" si="51"/>
        <v>410080.1</v>
      </c>
      <c r="G174" s="7"/>
      <c r="H174" s="7" t="str">
        <f t="shared" si="52"/>
        <v>410080.3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4"/>
    </row>
    <row r="175" spans="1:34" x14ac:dyDescent="0.25">
      <c r="A175" s="3">
        <v>81</v>
      </c>
      <c r="B175" s="3" t="s">
        <v>336</v>
      </c>
      <c r="C175" s="10" t="s">
        <v>270</v>
      </c>
      <c r="D175" s="10" t="s">
        <v>322</v>
      </c>
      <c r="E175" s="4">
        <f t="shared" si="53"/>
        <v>410081</v>
      </c>
      <c r="F175" s="7" t="str">
        <f t="shared" si="51"/>
        <v>410081.1</v>
      </c>
      <c r="G175" s="7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4"/>
    </row>
    <row r="176" spans="1:34" x14ac:dyDescent="0.25">
      <c r="A176" s="3">
        <v>82</v>
      </c>
      <c r="B176" s="3" t="s">
        <v>336</v>
      </c>
      <c r="C176" s="3" t="s">
        <v>180</v>
      </c>
      <c r="D176" s="3" t="s">
        <v>322</v>
      </c>
      <c r="E176" s="4">
        <f t="shared" si="53"/>
        <v>410082</v>
      </c>
      <c r="F176" s="7" t="str">
        <f t="shared" si="51"/>
        <v>410082.1</v>
      </c>
      <c r="G176" s="7"/>
      <c r="H176" s="7" t="str">
        <f t="shared" si="52"/>
        <v>410082.3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4"/>
    </row>
    <row r="177" spans="1:34" x14ac:dyDescent="0.25">
      <c r="A177" s="3">
        <v>83</v>
      </c>
      <c r="B177" s="3" t="s">
        <v>336</v>
      </c>
      <c r="C177" s="3" t="s">
        <v>181</v>
      </c>
      <c r="D177" s="3" t="s">
        <v>322</v>
      </c>
      <c r="E177" s="4">
        <f t="shared" si="53"/>
        <v>410083</v>
      </c>
      <c r="F177" s="7" t="str">
        <f t="shared" si="51"/>
        <v>410083.1</v>
      </c>
      <c r="G177" s="7"/>
      <c r="H177" s="7" t="str">
        <f t="shared" si="52"/>
        <v>410083.3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4"/>
    </row>
    <row r="178" spans="1:34" x14ac:dyDescent="0.25">
      <c r="A178" s="3">
        <v>84</v>
      </c>
      <c r="B178" s="3" t="s">
        <v>336</v>
      </c>
      <c r="C178" s="3" t="s">
        <v>182</v>
      </c>
      <c r="D178" s="3" t="s">
        <v>322</v>
      </c>
      <c r="E178" s="4">
        <f t="shared" si="53"/>
        <v>410084</v>
      </c>
      <c r="F178" s="7" t="str">
        <f t="shared" si="51"/>
        <v>410084.1</v>
      </c>
      <c r="G178" s="7"/>
      <c r="H178" s="7" t="str">
        <f t="shared" si="52"/>
        <v>410084.3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4"/>
    </row>
    <row r="179" spans="1:34" x14ac:dyDescent="0.25">
      <c r="A179" s="3">
        <v>85</v>
      </c>
      <c r="B179" s="3" t="s">
        <v>336</v>
      </c>
      <c r="C179" s="3" t="s">
        <v>183</v>
      </c>
      <c r="D179" s="3" t="s">
        <v>322</v>
      </c>
      <c r="E179" s="4">
        <f t="shared" si="53"/>
        <v>410085</v>
      </c>
      <c r="F179" s="7" t="str">
        <f t="shared" si="51"/>
        <v>410085.1</v>
      </c>
      <c r="G179" s="7"/>
      <c r="H179" s="7" t="str">
        <f t="shared" si="52"/>
        <v>410085.3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4"/>
    </row>
    <row r="180" spans="1:34" x14ac:dyDescent="0.25">
      <c r="A180" s="3">
        <v>86</v>
      </c>
      <c r="B180" s="3" t="s">
        <v>336</v>
      </c>
      <c r="C180" s="3" t="s">
        <v>184</v>
      </c>
      <c r="D180" s="3" t="s">
        <v>322</v>
      </c>
      <c r="E180" s="4">
        <f t="shared" si="53"/>
        <v>410086</v>
      </c>
      <c r="F180" s="7" t="str">
        <f t="shared" si="51"/>
        <v>410086.1</v>
      </c>
      <c r="G180" s="7"/>
      <c r="H180" s="7" t="str">
        <f t="shared" si="52"/>
        <v>410086.3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4"/>
    </row>
    <row r="181" spans="1:34" x14ac:dyDescent="0.25">
      <c r="A181" s="3">
        <v>87</v>
      </c>
      <c r="B181" s="3" t="s">
        <v>336</v>
      </c>
      <c r="C181" s="8" t="s">
        <v>611</v>
      </c>
      <c r="D181" s="3" t="s">
        <v>294</v>
      </c>
      <c r="E181" s="4">
        <f t="shared" si="53"/>
        <v>410087</v>
      </c>
      <c r="F181" s="2"/>
      <c r="G181" s="2"/>
      <c r="H181" s="2"/>
      <c r="I181" s="7"/>
      <c r="J181" s="2"/>
      <c r="K181" s="2"/>
      <c r="L181" s="2"/>
      <c r="M181" s="2"/>
      <c r="N181" s="2"/>
      <c r="O181" s="2"/>
      <c r="P181" s="2"/>
      <c r="Q181" s="2"/>
      <c r="R181" s="30" t="str">
        <f t="shared" ref="R181:R185" si="54">$E181&amp;".1"</f>
        <v>410087.1</v>
      </c>
      <c r="S181" s="30" t="str">
        <f t="shared" ref="S181:S185" si="55">$E181&amp;".2"</f>
        <v>410087.2</v>
      </c>
      <c r="T181" s="30" t="str">
        <f t="shared" ref="T181:T185" si="56">$E181&amp;".3"</f>
        <v>410087.3</v>
      </c>
      <c r="U181" s="30" t="str">
        <f t="shared" ref="U181:U185" si="57">$E181&amp;".4"</f>
        <v>410087.4</v>
      </c>
      <c r="V181" s="30" t="str">
        <f t="shared" ref="V181:V185" si="58">$E181&amp;".5"</f>
        <v>410087.5</v>
      </c>
      <c r="W181" s="30" t="str">
        <f t="shared" ref="W181:W185" si="59">$E181&amp;".6"</f>
        <v>410087.6</v>
      </c>
      <c r="X181" s="30" t="str">
        <f t="shared" ref="X181:X185" si="60">$E181&amp;".7"</f>
        <v>410087.7</v>
      </c>
      <c r="Y181" s="30" t="str">
        <f t="shared" ref="Y181:Y185" si="61">$E181&amp;".8"</f>
        <v>410087.8</v>
      </c>
      <c r="Z181" s="30" t="str">
        <f t="shared" ref="Z181:Z185" si="62">$E181&amp;".9"</f>
        <v>410087.9</v>
      </c>
      <c r="AA181" s="30" t="str">
        <f t="shared" ref="AA181:AA185" si="63">$E181&amp;".10"</f>
        <v>410087.10</v>
      </c>
      <c r="AB181" s="30" t="str">
        <f t="shared" ref="AB181:AB185" si="64">$E181&amp;".11"</f>
        <v>410087.11</v>
      </c>
      <c r="AC181" s="30" t="str">
        <f t="shared" ref="AC181:AC185" si="65">$E181&amp;".12"</f>
        <v>410087.12</v>
      </c>
      <c r="AD181" s="30" t="str">
        <f t="shared" ref="AD181:AD185" si="66">$E181&amp;".13"</f>
        <v>410087.13</v>
      </c>
      <c r="AE181" s="30" t="str">
        <f t="shared" ref="AE181:AE185" si="67">$E181&amp;".14"</f>
        <v>410087.14</v>
      </c>
      <c r="AF181" s="30" t="str">
        <f t="shared" ref="AF181:AG185" si="68">$E181&amp;".16"</f>
        <v>410087.16</v>
      </c>
      <c r="AG181" s="30" t="str">
        <f t="shared" si="68"/>
        <v>410087.16</v>
      </c>
      <c r="AH181" s="4"/>
    </row>
    <row r="182" spans="1:34" x14ac:dyDescent="0.25">
      <c r="A182" s="3">
        <v>88</v>
      </c>
      <c r="B182" s="3" t="s">
        <v>336</v>
      </c>
      <c r="C182" s="8" t="s">
        <v>612</v>
      </c>
      <c r="D182" s="3" t="s">
        <v>333</v>
      </c>
      <c r="E182" s="4">
        <f t="shared" si="53"/>
        <v>410088</v>
      </c>
      <c r="F182" s="2"/>
      <c r="G182" s="2"/>
      <c r="H182" s="2"/>
      <c r="I182" s="7"/>
      <c r="J182" s="2"/>
      <c r="K182" s="2"/>
      <c r="L182" s="2"/>
      <c r="M182" s="2"/>
      <c r="N182" s="2"/>
      <c r="O182" s="2"/>
      <c r="P182" s="2"/>
      <c r="Q182" s="2"/>
      <c r="R182" s="30" t="str">
        <f t="shared" si="54"/>
        <v>410088.1</v>
      </c>
      <c r="S182" s="30" t="str">
        <f t="shared" si="55"/>
        <v>410088.2</v>
      </c>
      <c r="T182" s="30" t="str">
        <f t="shared" si="56"/>
        <v>410088.3</v>
      </c>
      <c r="U182" s="30" t="str">
        <f t="shared" si="57"/>
        <v>410088.4</v>
      </c>
      <c r="V182" s="30" t="str">
        <f t="shared" si="58"/>
        <v>410088.5</v>
      </c>
      <c r="W182" s="30" t="str">
        <f t="shared" si="59"/>
        <v>410088.6</v>
      </c>
      <c r="X182" s="30" t="str">
        <f t="shared" si="60"/>
        <v>410088.7</v>
      </c>
      <c r="Y182" s="30" t="str">
        <f t="shared" si="61"/>
        <v>410088.8</v>
      </c>
      <c r="Z182" s="30" t="str">
        <f t="shared" si="62"/>
        <v>410088.9</v>
      </c>
      <c r="AA182" s="30" t="str">
        <f t="shared" si="63"/>
        <v>410088.10</v>
      </c>
      <c r="AB182" s="30" t="str">
        <f t="shared" si="64"/>
        <v>410088.11</v>
      </c>
      <c r="AC182" s="30" t="str">
        <f t="shared" si="65"/>
        <v>410088.12</v>
      </c>
      <c r="AD182" s="30" t="str">
        <f t="shared" si="66"/>
        <v>410088.13</v>
      </c>
      <c r="AE182" s="30" t="str">
        <f t="shared" si="67"/>
        <v>410088.14</v>
      </c>
      <c r="AF182" s="30" t="str">
        <f t="shared" si="68"/>
        <v>410088.16</v>
      </c>
      <c r="AG182" s="30" t="str">
        <f t="shared" si="68"/>
        <v>410088.16</v>
      </c>
      <c r="AH182" s="4"/>
    </row>
    <row r="183" spans="1:34" x14ac:dyDescent="0.25">
      <c r="A183" s="3">
        <v>89</v>
      </c>
      <c r="B183" s="3" t="s">
        <v>336</v>
      </c>
      <c r="C183" s="8" t="s">
        <v>613</v>
      </c>
      <c r="D183" s="3" t="s">
        <v>334</v>
      </c>
      <c r="E183" s="4">
        <f t="shared" si="53"/>
        <v>410089</v>
      </c>
      <c r="F183" s="2"/>
      <c r="G183" s="2"/>
      <c r="H183" s="2"/>
      <c r="I183" s="7"/>
      <c r="J183" s="2"/>
      <c r="K183" s="2"/>
      <c r="L183" s="2"/>
      <c r="M183" s="2"/>
      <c r="N183" s="2"/>
      <c r="O183" s="2"/>
      <c r="P183" s="2"/>
      <c r="Q183" s="2"/>
      <c r="R183" s="30" t="str">
        <f t="shared" si="54"/>
        <v>410089.1</v>
      </c>
      <c r="S183" s="30" t="str">
        <f t="shared" si="55"/>
        <v>410089.2</v>
      </c>
      <c r="T183" s="30" t="str">
        <f t="shared" si="56"/>
        <v>410089.3</v>
      </c>
      <c r="U183" s="30" t="str">
        <f t="shared" si="57"/>
        <v>410089.4</v>
      </c>
      <c r="V183" s="30" t="str">
        <f t="shared" si="58"/>
        <v>410089.5</v>
      </c>
      <c r="W183" s="30" t="str">
        <f t="shared" si="59"/>
        <v>410089.6</v>
      </c>
      <c r="X183" s="30" t="str">
        <f t="shared" si="60"/>
        <v>410089.7</v>
      </c>
      <c r="Y183" s="30" t="str">
        <f t="shared" si="61"/>
        <v>410089.8</v>
      </c>
      <c r="Z183" s="30" t="str">
        <f t="shared" si="62"/>
        <v>410089.9</v>
      </c>
      <c r="AA183" s="30" t="str">
        <f t="shared" si="63"/>
        <v>410089.10</v>
      </c>
      <c r="AB183" s="30" t="str">
        <f t="shared" si="64"/>
        <v>410089.11</v>
      </c>
      <c r="AC183" s="30" t="str">
        <f t="shared" si="65"/>
        <v>410089.12</v>
      </c>
      <c r="AD183" s="30" t="str">
        <f t="shared" si="66"/>
        <v>410089.13</v>
      </c>
      <c r="AE183" s="30" t="str">
        <f t="shared" si="67"/>
        <v>410089.14</v>
      </c>
      <c r="AF183" s="30" t="str">
        <f t="shared" si="68"/>
        <v>410089.16</v>
      </c>
      <c r="AG183" s="30" t="str">
        <f t="shared" si="68"/>
        <v>410089.16</v>
      </c>
      <c r="AH183" s="4"/>
    </row>
    <row r="184" spans="1:34" x14ac:dyDescent="0.25">
      <c r="A184" s="3">
        <v>90</v>
      </c>
      <c r="B184" s="3" t="s">
        <v>336</v>
      </c>
      <c r="C184" s="8" t="s">
        <v>614</v>
      </c>
      <c r="D184" s="3" t="s">
        <v>323</v>
      </c>
      <c r="E184" s="4">
        <f t="shared" si="53"/>
        <v>410090</v>
      </c>
      <c r="F184" s="2"/>
      <c r="G184" s="2"/>
      <c r="H184" s="2"/>
      <c r="I184" s="7"/>
      <c r="J184" s="2"/>
      <c r="K184" s="2"/>
      <c r="L184" s="2"/>
      <c r="M184" s="2"/>
      <c r="N184" s="2"/>
      <c r="O184" s="2"/>
      <c r="P184" s="2"/>
      <c r="Q184" s="2"/>
      <c r="R184" s="30" t="str">
        <f t="shared" si="54"/>
        <v>410090.1</v>
      </c>
      <c r="S184" s="30" t="str">
        <f t="shared" si="55"/>
        <v>410090.2</v>
      </c>
      <c r="T184" s="30" t="str">
        <f t="shared" si="56"/>
        <v>410090.3</v>
      </c>
      <c r="U184" s="30" t="str">
        <f t="shared" si="57"/>
        <v>410090.4</v>
      </c>
      <c r="V184" s="30" t="str">
        <f t="shared" si="58"/>
        <v>410090.5</v>
      </c>
      <c r="W184" s="30" t="str">
        <f t="shared" si="59"/>
        <v>410090.6</v>
      </c>
      <c r="X184" s="30" t="str">
        <f t="shared" si="60"/>
        <v>410090.7</v>
      </c>
      <c r="Y184" s="30" t="str">
        <f t="shared" si="61"/>
        <v>410090.8</v>
      </c>
      <c r="Z184" s="30" t="str">
        <f t="shared" si="62"/>
        <v>410090.9</v>
      </c>
      <c r="AA184" s="30" t="str">
        <f t="shared" si="63"/>
        <v>410090.10</v>
      </c>
      <c r="AB184" s="30" t="str">
        <f t="shared" si="64"/>
        <v>410090.11</v>
      </c>
      <c r="AC184" s="30" t="str">
        <f t="shared" si="65"/>
        <v>410090.12</v>
      </c>
      <c r="AD184" s="30" t="str">
        <f t="shared" si="66"/>
        <v>410090.13</v>
      </c>
      <c r="AE184" s="30" t="str">
        <f t="shared" si="67"/>
        <v>410090.14</v>
      </c>
      <c r="AF184" s="30" t="str">
        <f t="shared" si="68"/>
        <v>410090.16</v>
      </c>
      <c r="AG184" s="30" t="str">
        <f t="shared" si="68"/>
        <v>410090.16</v>
      </c>
      <c r="AH184" s="4"/>
    </row>
    <row r="185" spans="1:34" x14ac:dyDescent="0.25">
      <c r="A185" s="3">
        <v>91</v>
      </c>
      <c r="B185" s="3" t="s">
        <v>336</v>
      </c>
      <c r="C185" s="8" t="s">
        <v>615</v>
      </c>
      <c r="D185" s="3" t="s">
        <v>299</v>
      </c>
      <c r="E185" s="4">
        <f t="shared" si="53"/>
        <v>410091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30" t="str">
        <f t="shared" si="54"/>
        <v>410091.1</v>
      </c>
      <c r="S185" s="30" t="str">
        <f t="shared" si="55"/>
        <v>410091.2</v>
      </c>
      <c r="T185" s="30" t="str">
        <f t="shared" si="56"/>
        <v>410091.3</v>
      </c>
      <c r="U185" s="30" t="str">
        <f t="shared" si="57"/>
        <v>410091.4</v>
      </c>
      <c r="V185" s="30" t="str">
        <f t="shared" si="58"/>
        <v>410091.5</v>
      </c>
      <c r="W185" s="30" t="str">
        <f t="shared" si="59"/>
        <v>410091.6</v>
      </c>
      <c r="X185" s="30" t="str">
        <f t="shared" si="60"/>
        <v>410091.7</v>
      </c>
      <c r="Y185" s="30" t="str">
        <f t="shared" si="61"/>
        <v>410091.8</v>
      </c>
      <c r="Z185" s="30" t="str">
        <f t="shared" si="62"/>
        <v>410091.9</v>
      </c>
      <c r="AA185" s="30" t="str">
        <f t="shared" si="63"/>
        <v>410091.10</v>
      </c>
      <c r="AB185" s="30" t="str">
        <f t="shared" si="64"/>
        <v>410091.11</v>
      </c>
      <c r="AC185" s="30" t="str">
        <f t="shared" si="65"/>
        <v>410091.12</v>
      </c>
      <c r="AD185" s="30" t="str">
        <f t="shared" si="66"/>
        <v>410091.13</v>
      </c>
      <c r="AE185" s="30" t="str">
        <f t="shared" si="67"/>
        <v>410091.14</v>
      </c>
      <c r="AF185" s="30" t="str">
        <f t="shared" si="68"/>
        <v>410091.16</v>
      </c>
      <c r="AG185" s="30" t="str">
        <f t="shared" si="68"/>
        <v>410091.16</v>
      </c>
      <c r="AH185" s="4"/>
    </row>
    <row r="186" spans="1:34" s="15" customFormat="1" x14ac:dyDescent="0.25">
      <c r="A186" s="11">
        <v>1</v>
      </c>
      <c r="B186" s="11" t="s">
        <v>337</v>
      </c>
      <c r="C186" s="11" t="s">
        <v>1</v>
      </c>
      <c r="D186" s="11" t="s">
        <v>275</v>
      </c>
      <c r="E186" s="16">
        <f>E95</f>
        <v>410001</v>
      </c>
      <c r="F186" s="13" t="str">
        <f t="shared" si="51"/>
        <v>410001.1</v>
      </c>
      <c r="G186" s="13"/>
      <c r="H186" s="13" t="str">
        <f t="shared" si="52"/>
        <v>410001.3</v>
      </c>
      <c r="I186" s="13"/>
      <c r="J186" s="13" t="str">
        <f t="shared" ref="J186:J197" si="69">$E186&amp;".5"</f>
        <v>410001.5</v>
      </c>
      <c r="K186" s="13" t="str">
        <f t="shared" ref="K186:K197" si="70">$E186&amp;".6"</f>
        <v>410001.6</v>
      </c>
      <c r="L186" s="13" t="str">
        <f t="shared" ref="L186:L197" si="71">$E186&amp;".7"</f>
        <v>410001.7</v>
      </c>
      <c r="M186" s="13" t="str">
        <f t="shared" ref="M186:M197" si="72">$E186&amp;".8"</f>
        <v>410001.8</v>
      </c>
      <c r="N186" s="13" t="str">
        <f t="shared" ref="N186:N197" si="73">$E186&amp;".9"</f>
        <v>410001.9</v>
      </c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6"/>
    </row>
    <row r="187" spans="1:34" x14ac:dyDescent="0.25">
      <c r="A187" s="3">
        <v>2</v>
      </c>
      <c r="B187" s="3" t="s">
        <v>337</v>
      </c>
      <c r="C187" s="3" t="s">
        <v>276</v>
      </c>
      <c r="D187" s="3" t="s">
        <v>277</v>
      </c>
      <c r="E187" s="4">
        <f t="shared" ref="E187:E233" si="74">E186+1</f>
        <v>410002</v>
      </c>
      <c r="F187" s="7" t="str">
        <f t="shared" si="51"/>
        <v>410002.1</v>
      </c>
      <c r="G187" s="7" t="str">
        <f>$E187&amp;".2"</f>
        <v>410002.2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4"/>
    </row>
    <row r="188" spans="1:34" x14ac:dyDescent="0.25">
      <c r="A188" s="3">
        <v>3</v>
      </c>
      <c r="B188" s="3" t="s">
        <v>337</v>
      </c>
      <c r="C188" s="4" t="s">
        <v>22</v>
      </c>
      <c r="D188" s="4" t="s">
        <v>278</v>
      </c>
      <c r="E188" s="4">
        <f t="shared" si="74"/>
        <v>410003</v>
      </c>
      <c r="F188" s="7" t="str">
        <f t="shared" si="51"/>
        <v>410003.1</v>
      </c>
      <c r="G188" s="7"/>
      <c r="H188" s="7" t="str">
        <f t="shared" si="52"/>
        <v>410003.3</v>
      </c>
      <c r="I188" s="7"/>
      <c r="J188" s="7" t="str">
        <f t="shared" si="69"/>
        <v>410003.5</v>
      </c>
      <c r="K188" s="7" t="str">
        <f t="shared" si="70"/>
        <v>410003.6</v>
      </c>
      <c r="L188" s="7" t="str">
        <f t="shared" si="71"/>
        <v>410003.7</v>
      </c>
      <c r="M188" s="7" t="str">
        <f t="shared" si="72"/>
        <v>410003.8</v>
      </c>
      <c r="N188" s="7" t="str">
        <f t="shared" si="73"/>
        <v>410003.9</v>
      </c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4"/>
    </row>
    <row r="189" spans="1:34" x14ac:dyDescent="0.25">
      <c r="A189" s="3">
        <v>4</v>
      </c>
      <c r="B189" s="3" t="s">
        <v>337</v>
      </c>
      <c r="C189" s="3" t="s">
        <v>43</v>
      </c>
      <c r="D189" s="3" t="s">
        <v>279</v>
      </c>
      <c r="E189" s="4">
        <f t="shared" si="74"/>
        <v>410004</v>
      </c>
      <c r="F189" s="7" t="str">
        <f t="shared" si="51"/>
        <v>410004.1</v>
      </c>
      <c r="G189" s="7"/>
      <c r="H189" s="7" t="str">
        <f t="shared" si="52"/>
        <v>410004.3</v>
      </c>
      <c r="I189" s="7"/>
      <c r="J189" s="7" t="str">
        <f t="shared" si="69"/>
        <v>410004.5</v>
      </c>
      <c r="K189" s="7" t="str">
        <f t="shared" si="70"/>
        <v>410004.6</v>
      </c>
      <c r="L189" s="7" t="str">
        <f t="shared" si="71"/>
        <v>410004.7</v>
      </c>
      <c r="M189" s="7" t="str">
        <f t="shared" si="72"/>
        <v>410004.8</v>
      </c>
      <c r="N189" s="7" t="str">
        <f t="shared" si="73"/>
        <v>410004.9</v>
      </c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4"/>
    </row>
    <row r="190" spans="1:34" x14ac:dyDescent="0.25">
      <c r="A190" s="3">
        <v>5</v>
      </c>
      <c r="B190" s="3" t="s">
        <v>337</v>
      </c>
      <c r="C190" s="3" t="s">
        <v>44</v>
      </c>
      <c r="D190" s="3" t="s">
        <v>280</v>
      </c>
      <c r="E190" s="4">
        <f t="shared" si="74"/>
        <v>410005</v>
      </c>
      <c r="F190" s="7" t="str">
        <f t="shared" si="51"/>
        <v>410005.1</v>
      </c>
      <c r="G190" s="7"/>
      <c r="H190" s="7" t="str">
        <f t="shared" si="52"/>
        <v>410005.3</v>
      </c>
      <c r="I190" s="7"/>
      <c r="J190" s="7" t="str">
        <f t="shared" si="69"/>
        <v>410005.5</v>
      </c>
      <c r="K190" s="7" t="str">
        <f t="shared" si="70"/>
        <v>410005.6</v>
      </c>
      <c r="L190" s="7" t="str">
        <f t="shared" si="71"/>
        <v>410005.7</v>
      </c>
      <c r="M190" s="7" t="str">
        <f t="shared" si="72"/>
        <v>410005.8</v>
      </c>
      <c r="N190" s="7" t="str">
        <f t="shared" si="73"/>
        <v>410005.9</v>
      </c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4"/>
    </row>
    <row r="191" spans="1:34" x14ac:dyDescent="0.25">
      <c r="A191" s="3">
        <v>6</v>
      </c>
      <c r="B191" s="3" t="s">
        <v>337</v>
      </c>
      <c r="C191" s="3" t="s">
        <v>45</v>
      </c>
      <c r="D191" s="3" t="s">
        <v>281</v>
      </c>
      <c r="E191" s="4">
        <f t="shared" si="74"/>
        <v>410006</v>
      </c>
      <c r="F191" s="7" t="str">
        <f t="shared" si="51"/>
        <v>410006.1</v>
      </c>
      <c r="G191" s="7"/>
      <c r="H191" s="7" t="str">
        <f t="shared" si="52"/>
        <v>410006.3</v>
      </c>
      <c r="I191" s="7"/>
      <c r="J191" s="7" t="str">
        <f t="shared" si="69"/>
        <v>410006.5</v>
      </c>
      <c r="K191" s="7" t="str">
        <f t="shared" si="70"/>
        <v>410006.6</v>
      </c>
      <c r="L191" s="7" t="str">
        <f t="shared" si="71"/>
        <v>410006.7</v>
      </c>
      <c r="M191" s="7" t="str">
        <f t="shared" si="72"/>
        <v>410006.8</v>
      </c>
      <c r="N191" s="7" t="str">
        <f t="shared" si="73"/>
        <v>410006.9</v>
      </c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4"/>
    </row>
    <row r="192" spans="1:34" x14ac:dyDescent="0.25">
      <c r="A192" s="3">
        <v>7</v>
      </c>
      <c r="B192" s="3" t="s">
        <v>337</v>
      </c>
      <c r="C192" s="3" t="s">
        <v>46</v>
      </c>
      <c r="D192" s="3" t="s">
        <v>282</v>
      </c>
      <c r="E192" s="4">
        <f t="shared" si="74"/>
        <v>410007</v>
      </c>
      <c r="F192" s="7" t="str">
        <f t="shared" si="51"/>
        <v>410007.1</v>
      </c>
      <c r="G192" s="7"/>
      <c r="H192" s="7" t="str">
        <f t="shared" si="52"/>
        <v>410007.3</v>
      </c>
      <c r="I192" s="7"/>
      <c r="J192" s="7" t="str">
        <f t="shared" si="69"/>
        <v>410007.5</v>
      </c>
      <c r="K192" s="7" t="str">
        <f t="shared" si="70"/>
        <v>410007.6</v>
      </c>
      <c r="L192" s="7" t="str">
        <f t="shared" si="71"/>
        <v>410007.7</v>
      </c>
      <c r="M192" s="7" t="str">
        <f t="shared" si="72"/>
        <v>410007.8</v>
      </c>
      <c r="N192" s="7" t="str">
        <f t="shared" si="73"/>
        <v>410007.9</v>
      </c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4"/>
    </row>
    <row r="193" spans="1:34" x14ac:dyDescent="0.25">
      <c r="A193" s="3">
        <v>8</v>
      </c>
      <c r="B193" s="3" t="s">
        <v>337</v>
      </c>
      <c r="C193" s="3" t="s">
        <v>47</v>
      </c>
      <c r="D193" s="3" t="s">
        <v>283</v>
      </c>
      <c r="E193" s="4">
        <f t="shared" si="74"/>
        <v>410008</v>
      </c>
      <c r="F193" s="7" t="str">
        <f t="shared" si="51"/>
        <v>410008.1</v>
      </c>
      <c r="G193" s="7"/>
      <c r="H193" s="7" t="str">
        <f t="shared" si="52"/>
        <v>410008.3</v>
      </c>
      <c r="I193" s="7"/>
      <c r="J193" s="7" t="str">
        <f t="shared" si="69"/>
        <v>410008.5</v>
      </c>
      <c r="K193" s="7" t="str">
        <f t="shared" si="70"/>
        <v>410008.6</v>
      </c>
      <c r="L193" s="7" t="str">
        <f t="shared" si="71"/>
        <v>410008.7</v>
      </c>
      <c r="M193" s="7" t="str">
        <f t="shared" si="72"/>
        <v>410008.8</v>
      </c>
      <c r="N193" s="7" t="str">
        <f t="shared" si="73"/>
        <v>410008.9</v>
      </c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4"/>
    </row>
    <row r="194" spans="1:34" x14ac:dyDescent="0.25">
      <c r="A194" s="3">
        <v>9</v>
      </c>
      <c r="B194" s="3" t="s">
        <v>337</v>
      </c>
      <c r="C194" s="3" t="s">
        <v>48</v>
      </c>
      <c r="D194" s="3" t="s">
        <v>284</v>
      </c>
      <c r="E194" s="4">
        <f t="shared" si="74"/>
        <v>410009</v>
      </c>
      <c r="F194" s="7" t="str">
        <f t="shared" si="51"/>
        <v>410009.1</v>
      </c>
      <c r="G194" s="7"/>
      <c r="H194" s="7" t="str">
        <f t="shared" si="52"/>
        <v>410009.3</v>
      </c>
      <c r="I194" s="7"/>
      <c r="J194" s="7" t="str">
        <f t="shared" si="69"/>
        <v>410009.5</v>
      </c>
      <c r="K194" s="7" t="str">
        <f t="shared" si="70"/>
        <v>410009.6</v>
      </c>
      <c r="L194" s="7" t="str">
        <f t="shared" si="71"/>
        <v>410009.7</v>
      </c>
      <c r="M194" s="7" t="str">
        <f t="shared" si="72"/>
        <v>410009.8</v>
      </c>
      <c r="N194" s="7" t="str">
        <f t="shared" si="73"/>
        <v>410009.9</v>
      </c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4"/>
    </row>
    <row r="195" spans="1:34" x14ac:dyDescent="0.25">
      <c r="A195" s="3">
        <v>10</v>
      </c>
      <c r="B195" s="3" t="s">
        <v>337</v>
      </c>
      <c r="C195" s="3" t="s">
        <v>49</v>
      </c>
      <c r="D195" s="3" t="s">
        <v>285</v>
      </c>
      <c r="E195" s="4">
        <f t="shared" si="74"/>
        <v>410010</v>
      </c>
      <c r="F195" s="7" t="str">
        <f t="shared" si="51"/>
        <v>410010.1</v>
      </c>
      <c r="G195" s="7"/>
      <c r="H195" s="7" t="str">
        <f t="shared" si="52"/>
        <v>410010.3</v>
      </c>
      <c r="I195" s="7"/>
      <c r="J195" s="7" t="str">
        <f t="shared" si="69"/>
        <v>410010.5</v>
      </c>
      <c r="K195" s="7" t="str">
        <f t="shared" si="70"/>
        <v>410010.6</v>
      </c>
      <c r="L195" s="7" t="str">
        <f t="shared" si="71"/>
        <v>410010.7</v>
      </c>
      <c r="M195" s="7" t="str">
        <f t="shared" si="72"/>
        <v>410010.8</v>
      </c>
      <c r="N195" s="7" t="str">
        <f t="shared" si="73"/>
        <v>410010.9</v>
      </c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4"/>
    </row>
    <row r="196" spans="1:34" x14ac:dyDescent="0.25">
      <c r="A196" s="3">
        <v>11</v>
      </c>
      <c r="B196" s="3" t="s">
        <v>337</v>
      </c>
      <c r="C196" s="3" t="s">
        <v>50</v>
      </c>
      <c r="D196" s="3" t="s">
        <v>286</v>
      </c>
      <c r="E196" s="4">
        <f t="shared" si="74"/>
        <v>410011</v>
      </c>
      <c r="F196" s="7" t="str">
        <f t="shared" si="51"/>
        <v>410011.1</v>
      </c>
      <c r="G196" s="7"/>
      <c r="H196" s="7" t="str">
        <f t="shared" si="52"/>
        <v>410011.3</v>
      </c>
      <c r="I196" s="7"/>
      <c r="J196" s="7" t="str">
        <f t="shared" si="69"/>
        <v>410011.5</v>
      </c>
      <c r="K196" s="7" t="str">
        <f t="shared" si="70"/>
        <v>410011.6</v>
      </c>
      <c r="L196" s="7" t="str">
        <f t="shared" si="71"/>
        <v>410011.7</v>
      </c>
      <c r="M196" s="7" t="str">
        <f t="shared" si="72"/>
        <v>410011.8</v>
      </c>
      <c r="N196" s="7" t="str">
        <f t="shared" si="73"/>
        <v>410011.9</v>
      </c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4"/>
    </row>
    <row r="197" spans="1:34" x14ac:dyDescent="0.25">
      <c r="A197" s="3">
        <v>12</v>
      </c>
      <c r="B197" s="3" t="s">
        <v>337</v>
      </c>
      <c r="C197" s="3" t="s">
        <v>51</v>
      </c>
      <c r="D197" s="3" t="s">
        <v>287</v>
      </c>
      <c r="E197" s="4">
        <f t="shared" si="74"/>
        <v>410012</v>
      </c>
      <c r="F197" s="7" t="str">
        <f t="shared" si="51"/>
        <v>410012.1</v>
      </c>
      <c r="G197" s="7"/>
      <c r="H197" s="7" t="str">
        <f t="shared" si="52"/>
        <v>410012.3</v>
      </c>
      <c r="I197" s="7"/>
      <c r="J197" s="7" t="str">
        <f t="shared" si="69"/>
        <v>410012.5</v>
      </c>
      <c r="K197" s="7" t="str">
        <f t="shared" si="70"/>
        <v>410012.6</v>
      </c>
      <c r="L197" s="7" t="str">
        <f t="shared" si="71"/>
        <v>410012.7</v>
      </c>
      <c r="M197" s="7" t="str">
        <f t="shared" si="72"/>
        <v>410012.8</v>
      </c>
      <c r="N197" s="7" t="str">
        <f t="shared" si="73"/>
        <v>410012.9</v>
      </c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4"/>
    </row>
    <row r="198" spans="1:34" x14ac:dyDescent="0.25">
      <c r="A198" s="3">
        <v>13</v>
      </c>
      <c r="B198" s="3" t="s">
        <v>337</v>
      </c>
      <c r="C198" s="3" t="s">
        <v>185</v>
      </c>
      <c r="D198" s="3" t="s">
        <v>294</v>
      </c>
      <c r="E198" s="4">
        <f t="shared" si="74"/>
        <v>410013</v>
      </c>
      <c r="F198" s="7" t="str">
        <f t="shared" si="51"/>
        <v>410013.1</v>
      </c>
      <c r="G198" s="7"/>
      <c r="H198" s="7" t="str">
        <f t="shared" si="52"/>
        <v>410013.3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4"/>
    </row>
    <row r="199" spans="1:34" x14ac:dyDescent="0.25">
      <c r="A199" s="3">
        <v>14</v>
      </c>
      <c r="B199" s="3" t="s">
        <v>337</v>
      </c>
      <c r="C199" s="3" t="s">
        <v>186</v>
      </c>
      <c r="D199" s="3" t="s">
        <v>294</v>
      </c>
      <c r="E199" s="4">
        <f t="shared" si="74"/>
        <v>410014</v>
      </c>
      <c r="F199" s="7" t="str">
        <f t="shared" si="51"/>
        <v>410014.1</v>
      </c>
      <c r="G199" s="7"/>
      <c r="H199" s="7" t="str">
        <f t="shared" si="52"/>
        <v>410014.3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4"/>
    </row>
    <row r="200" spans="1:34" x14ac:dyDescent="0.25">
      <c r="A200" s="3">
        <v>15</v>
      </c>
      <c r="B200" s="3" t="s">
        <v>337</v>
      </c>
      <c r="C200" s="3" t="s">
        <v>187</v>
      </c>
      <c r="D200" s="3" t="s">
        <v>294</v>
      </c>
      <c r="E200" s="4">
        <f t="shared" si="74"/>
        <v>410015</v>
      </c>
      <c r="F200" s="7" t="str">
        <f t="shared" si="51"/>
        <v>410015.1</v>
      </c>
      <c r="G200" s="7"/>
      <c r="H200" s="7" t="str">
        <f t="shared" si="52"/>
        <v>410015.3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4"/>
    </row>
    <row r="201" spans="1:34" x14ac:dyDescent="0.25">
      <c r="A201" s="3">
        <v>16</v>
      </c>
      <c r="B201" s="3" t="s">
        <v>337</v>
      </c>
      <c r="C201" s="3" t="s">
        <v>188</v>
      </c>
      <c r="D201" s="3" t="s">
        <v>294</v>
      </c>
      <c r="E201" s="4">
        <f t="shared" si="74"/>
        <v>410016</v>
      </c>
      <c r="F201" s="7" t="str">
        <f t="shared" ref="F201:F232" si="75">$E201&amp;".1"</f>
        <v>410016.1</v>
      </c>
      <c r="G201" s="7"/>
      <c r="H201" s="7" t="str">
        <f t="shared" ref="H201:H232" si="76">$E201&amp;".3"</f>
        <v>410016.3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4"/>
    </row>
    <row r="202" spans="1:34" x14ac:dyDescent="0.25">
      <c r="A202" s="3">
        <v>17</v>
      </c>
      <c r="B202" s="3" t="s">
        <v>337</v>
      </c>
      <c r="C202" s="3" t="s">
        <v>189</v>
      </c>
      <c r="D202" s="3" t="s">
        <v>333</v>
      </c>
      <c r="E202" s="4">
        <f t="shared" si="74"/>
        <v>410017</v>
      </c>
      <c r="F202" s="7" t="str">
        <f t="shared" si="75"/>
        <v>410017.1</v>
      </c>
      <c r="G202" s="7"/>
      <c r="H202" s="7" t="str">
        <f t="shared" si="76"/>
        <v>410017.3</v>
      </c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4"/>
    </row>
    <row r="203" spans="1:34" x14ac:dyDescent="0.25">
      <c r="A203" s="3">
        <v>18</v>
      </c>
      <c r="B203" s="3" t="s">
        <v>337</v>
      </c>
      <c r="C203" s="3" t="s">
        <v>190</v>
      </c>
      <c r="D203" s="3" t="s">
        <v>333</v>
      </c>
      <c r="E203" s="4">
        <f t="shared" si="74"/>
        <v>410018</v>
      </c>
      <c r="F203" s="7" t="str">
        <f t="shared" si="75"/>
        <v>410018.1</v>
      </c>
      <c r="G203" s="7"/>
      <c r="H203" s="7" t="str">
        <f t="shared" si="76"/>
        <v>410018.3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4"/>
    </row>
    <row r="204" spans="1:34" x14ac:dyDescent="0.25">
      <c r="A204" s="3">
        <v>19</v>
      </c>
      <c r="B204" s="3" t="s">
        <v>337</v>
      </c>
      <c r="C204" s="3" t="s">
        <v>191</v>
      </c>
      <c r="D204" s="3" t="s">
        <v>333</v>
      </c>
      <c r="E204" s="4">
        <f t="shared" si="74"/>
        <v>410019</v>
      </c>
      <c r="F204" s="7" t="str">
        <f t="shared" si="75"/>
        <v>410019.1</v>
      </c>
      <c r="G204" s="7"/>
      <c r="H204" s="7" t="str">
        <f t="shared" si="76"/>
        <v>410019.3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4"/>
    </row>
    <row r="205" spans="1:34" x14ac:dyDescent="0.25">
      <c r="A205" s="3">
        <v>20</v>
      </c>
      <c r="B205" s="3" t="s">
        <v>337</v>
      </c>
      <c r="C205" s="3" t="s">
        <v>192</v>
      </c>
      <c r="D205" s="3" t="s">
        <v>333</v>
      </c>
      <c r="E205" s="4">
        <f t="shared" si="74"/>
        <v>410020</v>
      </c>
      <c r="F205" s="7" t="str">
        <f t="shared" si="75"/>
        <v>410020.1</v>
      </c>
      <c r="G205" s="7"/>
      <c r="H205" s="7" t="str">
        <f t="shared" si="76"/>
        <v>410020.3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4"/>
    </row>
    <row r="206" spans="1:34" x14ac:dyDescent="0.25">
      <c r="A206" s="3">
        <v>21</v>
      </c>
      <c r="B206" s="3" t="s">
        <v>337</v>
      </c>
      <c r="C206" s="3" t="s">
        <v>193</v>
      </c>
      <c r="D206" s="3" t="s">
        <v>333</v>
      </c>
      <c r="E206" s="4">
        <f t="shared" si="74"/>
        <v>410021</v>
      </c>
      <c r="F206" s="7" t="str">
        <f t="shared" si="75"/>
        <v>410021.1</v>
      </c>
      <c r="G206" s="7"/>
      <c r="H206" s="7" t="str">
        <f t="shared" si="76"/>
        <v>410021.3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4"/>
    </row>
    <row r="207" spans="1:34" x14ac:dyDescent="0.25">
      <c r="A207" s="3">
        <v>22</v>
      </c>
      <c r="B207" s="3" t="s">
        <v>337</v>
      </c>
      <c r="C207" s="3" t="s">
        <v>194</v>
      </c>
      <c r="D207" s="3" t="s">
        <v>333</v>
      </c>
      <c r="E207" s="4">
        <f t="shared" si="74"/>
        <v>410022</v>
      </c>
      <c r="F207" s="7" t="str">
        <f t="shared" si="75"/>
        <v>410022.1</v>
      </c>
      <c r="G207" s="7"/>
      <c r="H207" s="7" t="str">
        <f t="shared" si="76"/>
        <v>410022.3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4"/>
    </row>
    <row r="208" spans="1:34" x14ac:dyDescent="0.25">
      <c r="A208" s="3">
        <v>23</v>
      </c>
      <c r="B208" s="3" t="s">
        <v>337</v>
      </c>
      <c r="C208" s="3" t="s">
        <v>195</v>
      </c>
      <c r="D208" s="3" t="s">
        <v>333</v>
      </c>
      <c r="E208" s="4">
        <f t="shared" si="74"/>
        <v>410023</v>
      </c>
      <c r="F208" s="7" t="str">
        <f t="shared" si="75"/>
        <v>410023.1</v>
      </c>
      <c r="G208" s="7"/>
      <c r="H208" s="7" t="str">
        <f t="shared" si="76"/>
        <v>410023.3</v>
      </c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4"/>
    </row>
    <row r="209" spans="1:34" x14ac:dyDescent="0.25">
      <c r="A209" s="3">
        <v>24</v>
      </c>
      <c r="B209" s="3" t="s">
        <v>337</v>
      </c>
      <c r="C209" s="3" t="s">
        <v>196</v>
      </c>
      <c r="D209" s="3" t="s">
        <v>333</v>
      </c>
      <c r="E209" s="4">
        <f t="shared" si="74"/>
        <v>410024</v>
      </c>
      <c r="F209" s="7" t="str">
        <f t="shared" si="75"/>
        <v>410024.1</v>
      </c>
      <c r="G209" s="7"/>
      <c r="H209" s="7" t="str">
        <f t="shared" si="76"/>
        <v>410024.3</v>
      </c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4"/>
    </row>
    <row r="210" spans="1:34" x14ac:dyDescent="0.25">
      <c r="A210" s="3">
        <v>25</v>
      </c>
      <c r="B210" s="3" t="s">
        <v>337</v>
      </c>
      <c r="C210" s="3" t="s">
        <v>197</v>
      </c>
      <c r="D210" s="3" t="s">
        <v>333</v>
      </c>
      <c r="E210" s="4">
        <f t="shared" si="74"/>
        <v>410025</v>
      </c>
      <c r="F210" s="7" t="str">
        <f t="shared" si="75"/>
        <v>410025.1</v>
      </c>
      <c r="G210" s="7"/>
      <c r="H210" s="7" t="str">
        <f t="shared" si="76"/>
        <v>410025.3</v>
      </c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4"/>
    </row>
    <row r="211" spans="1:34" x14ac:dyDescent="0.25">
      <c r="A211" s="3">
        <v>26</v>
      </c>
      <c r="B211" s="3" t="s">
        <v>337</v>
      </c>
      <c r="C211" s="3" t="s">
        <v>198</v>
      </c>
      <c r="D211" s="3" t="s">
        <v>333</v>
      </c>
      <c r="E211" s="4">
        <f t="shared" si="74"/>
        <v>410026</v>
      </c>
      <c r="F211" s="7" t="str">
        <f t="shared" si="75"/>
        <v>410026.1</v>
      </c>
      <c r="G211" s="7"/>
      <c r="H211" s="7" t="str">
        <f t="shared" si="76"/>
        <v>410026.3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4"/>
    </row>
    <row r="212" spans="1:34" x14ac:dyDescent="0.25">
      <c r="A212" s="3">
        <v>27</v>
      </c>
      <c r="B212" s="3" t="s">
        <v>337</v>
      </c>
      <c r="C212" s="3" t="s">
        <v>199</v>
      </c>
      <c r="D212" s="3" t="s">
        <v>334</v>
      </c>
      <c r="E212" s="4">
        <f t="shared" si="74"/>
        <v>410027</v>
      </c>
      <c r="F212" s="7" t="str">
        <f t="shared" si="75"/>
        <v>410027.1</v>
      </c>
      <c r="G212" s="7"/>
      <c r="H212" s="7" t="str">
        <f t="shared" si="76"/>
        <v>410027.3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4"/>
    </row>
    <row r="213" spans="1:34" x14ac:dyDescent="0.25">
      <c r="A213" s="3">
        <v>28</v>
      </c>
      <c r="B213" s="3" t="s">
        <v>337</v>
      </c>
      <c r="C213" s="3" t="s">
        <v>200</v>
      </c>
      <c r="D213" s="3" t="s">
        <v>334</v>
      </c>
      <c r="E213" s="4">
        <f t="shared" si="74"/>
        <v>410028</v>
      </c>
      <c r="F213" s="7" t="str">
        <f t="shared" si="75"/>
        <v>410028.1</v>
      </c>
      <c r="G213" s="7"/>
      <c r="H213" s="7" t="str">
        <f t="shared" si="76"/>
        <v>410028.3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4"/>
    </row>
    <row r="214" spans="1:34" x14ac:dyDescent="0.25">
      <c r="A214" s="3">
        <v>29</v>
      </c>
      <c r="B214" s="3" t="s">
        <v>337</v>
      </c>
      <c r="C214" s="3" t="s">
        <v>201</v>
      </c>
      <c r="D214" s="3" t="s">
        <v>334</v>
      </c>
      <c r="E214" s="4">
        <f t="shared" si="74"/>
        <v>410029</v>
      </c>
      <c r="F214" s="7" t="str">
        <f t="shared" si="75"/>
        <v>410029.1</v>
      </c>
      <c r="G214" s="7"/>
      <c r="H214" s="7" t="str">
        <f t="shared" si="76"/>
        <v>410029.3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4"/>
    </row>
    <row r="215" spans="1:34" x14ac:dyDescent="0.25">
      <c r="A215" s="3">
        <v>30</v>
      </c>
      <c r="B215" s="3" t="s">
        <v>337</v>
      </c>
      <c r="C215" s="3" t="s">
        <v>202</v>
      </c>
      <c r="D215" s="3" t="s">
        <v>334</v>
      </c>
      <c r="E215" s="4">
        <f t="shared" si="74"/>
        <v>410030</v>
      </c>
      <c r="F215" s="7" t="str">
        <f t="shared" si="75"/>
        <v>410030.1</v>
      </c>
      <c r="G215" s="7"/>
      <c r="H215" s="7" t="str">
        <f t="shared" si="76"/>
        <v>410030.3</v>
      </c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4"/>
    </row>
    <row r="216" spans="1:34" x14ac:dyDescent="0.25">
      <c r="A216" s="3">
        <v>31</v>
      </c>
      <c r="B216" s="3" t="s">
        <v>337</v>
      </c>
      <c r="C216" s="3" t="s">
        <v>203</v>
      </c>
      <c r="D216" s="3" t="s">
        <v>334</v>
      </c>
      <c r="E216" s="4">
        <f t="shared" si="74"/>
        <v>410031</v>
      </c>
      <c r="F216" s="7" t="str">
        <f t="shared" si="75"/>
        <v>410031.1</v>
      </c>
      <c r="G216" s="7"/>
      <c r="H216" s="7" t="str">
        <f t="shared" si="76"/>
        <v>410031.3</v>
      </c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4"/>
    </row>
    <row r="217" spans="1:34" x14ac:dyDescent="0.25">
      <c r="A217" s="3">
        <v>32</v>
      </c>
      <c r="B217" s="3" t="s">
        <v>337</v>
      </c>
      <c r="C217" s="3" t="s">
        <v>204</v>
      </c>
      <c r="D217" s="3" t="s">
        <v>334</v>
      </c>
      <c r="E217" s="4">
        <f t="shared" si="74"/>
        <v>410032</v>
      </c>
      <c r="F217" s="7" t="str">
        <f t="shared" si="75"/>
        <v>410032.1</v>
      </c>
      <c r="G217" s="7"/>
      <c r="H217" s="7" t="str">
        <f t="shared" si="76"/>
        <v>410032.3</v>
      </c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4"/>
    </row>
    <row r="218" spans="1:34" x14ac:dyDescent="0.25">
      <c r="A218" s="3">
        <v>33</v>
      </c>
      <c r="B218" s="3" t="s">
        <v>337</v>
      </c>
      <c r="C218" s="3" t="s">
        <v>205</v>
      </c>
      <c r="D218" s="3" t="s">
        <v>334</v>
      </c>
      <c r="E218" s="4">
        <f t="shared" si="74"/>
        <v>410033</v>
      </c>
      <c r="F218" s="7" t="str">
        <f t="shared" si="75"/>
        <v>410033.1</v>
      </c>
      <c r="G218" s="7"/>
      <c r="H218" s="7" t="str">
        <f t="shared" si="76"/>
        <v>410033.3</v>
      </c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4"/>
    </row>
    <row r="219" spans="1:34" x14ac:dyDescent="0.25">
      <c r="A219" s="3">
        <v>34</v>
      </c>
      <c r="B219" s="3" t="s">
        <v>337</v>
      </c>
      <c r="C219" s="3" t="s">
        <v>206</v>
      </c>
      <c r="D219" s="3" t="s">
        <v>334</v>
      </c>
      <c r="E219" s="4">
        <f t="shared" si="74"/>
        <v>410034</v>
      </c>
      <c r="F219" s="7" t="str">
        <f t="shared" si="75"/>
        <v>410034.1</v>
      </c>
      <c r="G219" s="7"/>
      <c r="H219" s="7" t="str">
        <f t="shared" si="76"/>
        <v>410034.3</v>
      </c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4"/>
    </row>
    <row r="220" spans="1:34" x14ac:dyDescent="0.25">
      <c r="A220" s="3">
        <v>35</v>
      </c>
      <c r="B220" s="3" t="s">
        <v>337</v>
      </c>
      <c r="C220" s="10" t="s">
        <v>271</v>
      </c>
      <c r="D220" s="10" t="s">
        <v>323</v>
      </c>
      <c r="E220" s="4">
        <f t="shared" si="74"/>
        <v>410035</v>
      </c>
      <c r="F220" s="7" t="str">
        <f t="shared" si="75"/>
        <v>410035.1</v>
      </c>
      <c r="G220" s="7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4"/>
    </row>
    <row r="221" spans="1:34" x14ac:dyDescent="0.25">
      <c r="A221" s="3">
        <v>36</v>
      </c>
      <c r="B221" s="3" t="s">
        <v>337</v>
      </c>
      <c r="C221" s="3" t="s">
        <v>207</v>
      </c>
      <c r="D221" s="3" t="s">
        <v>323</v>
      </c>
      <c r="E221" s="4">
        <f t="shared" si="74"/>
        <v>410036</v>
      </c>
      <c r="F221" s="7" t="str">
        <f t="shared" si="75"/>
        <v>410036.1</v>
      </c>
      <c r="G221" s="7"/>
      <c r="H221" s="7" t="str">
        <f t="shared" si="76"/>
        <v>410036.3</v>
      </c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4"/>
    </row>
    <row r="222" spans="1:34" x14ac:dyDescent="0.25">
      <c r="A222" s="3">
        <v>37</v>
      </c>
      <c r="B222" s="3" t="s">
        <v>337</v>
      </c>
      <c r="C222" s="3" t="s">
        <v>208</v>
      </c>
      <c r="D222" s="3" t="s">
        <v>323</v>
      </c>
      <c r="E222" s="4">
        <f t="shared" si="74"/>
        <v>410037</v>
      </c>
      <c r="F222" s="7" t="str">
        <f t="shared" si="75"/>
        <v>410037.1</v>
      </c>
      <c r="G222" s="7"/>
      <c r="H222" s="7" t="str">
        <f t="shared" si="76"/>
        <v>410037.3</v>
      </c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4"/>
    </row>
    <row r="223" spans="1:34" x14ac:dyDescent="0.25">
      <c r="A223" s="3">
        <v>38</v>
      </c>
      <c r="B223" s="3" t="s">
        <v>337</v>
      </c>
      <c r="C223" s="3" t="s">
        <v>209</v>
      </c>
      <c r="D223" s="3" t="s">
        <v>323</v>
      </c>
      <c r="E223" s="4">
        <f t="shared" si="74"/>
        <v>410038</v>
      </c>
      <c r="F223" s="7" t="str">
        <f t="shared" si="75"/>
        <v>410038.1</v>
      </c>
      <c r="G223" s="7"/>
      <c r="H223" s="7" t="str">
        <f t="shared" si="76"/>
        <v>410038.3</v>
      </c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4"/>
    </row>
    <row r="224" spans="1:34" x14ac:dyDescent="0.25">
      <c r="A224" s="3">
        <v>39</v>
      </c>
      <c r="B224" s="3" t="s">
        <v>337</v>
      </c>
      <c r="C224" s="3" t="s">
        <v>210</v>
      </c>
      <c r="D224" s="3" t="s">
        <v>323</v>
      </c>
      <c r="E224" s="4">
        <f t="shared" si="74"/>
        <v>410039</v>
      </c>
      <c r="F224" s="7" t="str">
        <f t="shared" si="75"/>
        <v>410039.1</v>
      </c>
      <c r="G224" s="7"/>
      <c r="H224" s="7" t="str">
        <f t="shared" si="76"/>
        <v>410039.3</v>
      </c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4"/>
    </row>
    <row r="225" spans="1:34" x14ac:dyDescent="0.25">
      <c r="A225" s="3">
        <v>40</v>
      </c>
      <c r="B225" s="3" t="s">
        <v>337</v>
      </c>
      <c r="C225" s="3" t="s">
        <v>211</v>
      </c>
      <c r="D225" s="3" t="s">
        <v>323</v>
      </c>
      <c r="E225" s="4">
        <f t="shared" si="74"/>
        <v>410040</v>
      </c>
      <c r="F225" s="7" t="str">
        <f t="shared" si="75"/>
        <v>410040.1</v>
      </c>
      <c r="G225" s="7"/>
      <c r="H225" s="7" t="str">
        <f t="shared" si="76"/>
        <v>410040.3</v>
      </c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4"/>
    </row>
    <row r="226" spans="1:34" x14ac:dyDescent="0.25">
      <c r="A226" s="3">
        <v>41</v>
      </c>
      <c r="B226" s="3" t="s">
        <v>337</v>
      </c>
      <c r="C226" s="3" t="s">
        <v>212</v>
      </c>
      <c r="D226" s="3" t="s">
        <v>299</v>
      </c>
      <c r="E226" s="4">
        <f t="shared" si="74"/>
        <v>410041</v>
      </c>
      <c r="F226" s="7" t="str">
        <f t="shared" si="75"/>
        <v>410041.1</v>
      </c>
      <c r="G226" s="7"/>
      <c r="H226" s="7" t="str">
        <f t="shared" si="76"/>
        <v>410041.3</v>
      </c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4"/>
    </row>
    <row r="227" spans="1:34" x14ac:dyDescent="0.25">
      <c r="A227" s="3">
        <v>42</v>
      </c>
      <c r="B227" s="3" t="s">
        <v>337</v>
      </c>
      <c r="C227" s="3" t="s">
        <v>213</v>
      </c>
      <c r="D227" s="3" t="s">
        <v>299</v>
      </c>
      <c r="E227" s="4">
        <f t="shared" si="74"/>
        <v>410042</v>
      </c>
      <c r="F227" s="7" t="str">
        <f t="shared" si="75"/>
        <v>410042.1</v>
      </c>
      <c r="G227" s="7"/>
      <c r="H227" s="7" t="str">
        <f t="shared" si="76"/>
        <v>410042.3</v>
      </c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4"/>
    </row>
    <row r="228" spans="1:34" x14ac:dyDescent="0.25">
      <c r="A228" s="3">
        <v>43</v>
      </c>
      <c r="B228" s="3" t="s">
        <v>337</v>
      </c>
      <c r="C228" s="3" t="s">
        <v>214</v>
      </c>
      <c r="D228" s="3" t="s">
        <v>299</v>
      </c>
      <c r="E228" s="4">
        <f t="shared" si="74"/>
        <v>410043</v>
      </c>
      <c r="F228" s="7" t="str">
        <f t="shared" si="75"/>
        <v>410043.1</v>
      </c>
      <c r="G228" s="7"/>
      <c r="H228" s="7" t="str">
        <f t="shared" si="76"/>
        <v>410043.3</v>
      </c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4"/>
    </row>
    <row r="229" spans="1:34" x14ac:dyDescent="0.25">
      <c r="A229" s="3">
        <v>44</v>
      </c>
      <c r="B229" s="3" t="s">
        <v>337</v>
      </c>
      <c r="C229" s="3" t="s">
        <v>215</v>
      </c>
      <c r="D229" s="3" t="s">
        <v>299</v>
      </c>
      <c r="E229" s="4">
        <f t="shared" si="74"/>
        <v>410044</v>
      </c>
      <c r="F229" s="7" t="str">
        <f t="shared" si="75"/>
        <v>410044.1</v>
      </c>
      <c r="G229" s="7"/>
      <c r="H229" s="7" t="str">
        <f t="shared" si="76"/>
        <v>410044.3</v>
      </c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4"/>
    </row>
    <row r="230" spans="1:34" x14ac:dyDescent="0.25">
      <c r="A230" s="3">
        <v>45</v>
      </c>
      <c r="B230" s="3" t="s">
        <v>337</v>
      </c>
      <c r="C230" s="3" t="s">
        <v>216</v>
      </c>
      <c r="D230" s="3" t="s">
        <v>299</v>
      </c>
      <c r="E230" s="4">
        <f t="shared" si="74"/>
        <v>410045</v>
      </c>
      <c r="F230" s="7" t="str">
        <f t="shared" si="75"/>
        <v>410045.1</v>
      </c>
      <c r="G230" s="7"/>
      <c r="H230" s="7" t="str">
        <f t="shared" si="76"/>
        <v>410045.3</v>
      </c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4"/>
    </row>
    <row r="231" spans="1:34" x14ac:dyDescent="0.25">
      <c r="A231" s="3">
        <v>46</v>
      </c>
      <c r="B231" s="3" t="s">
        <v>337</v>
      </c>
      <c r="C231" s="3" t="s">
        <v>217</v>
      </c>
      <c r="D231" s="3" t="s">
        <v>299</v>
      </c>
      <c r="E231" s="4">
        <f t="shared" si="74"/>
        <v>410046</v>
      </c>
      <c r="F231" s="7" t="str">
        <f t="shared" si="75"/>
        <v>410046.1</v>
      </c>
      <c r="G231" s="7"/>
      <c r="H231" s="7" t="str">
        <f t="shared" si="76"/>
        <v>410046.3</v>
      </c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4"/>
    </row>
    <row r="232" spans="1:34" x14ac:dyDescent="0.25">
      <c r="A232" s="3">
        <v>47</v>
      </c>
      <c r="B232" s="3" t="s">
        <v>337</v>
      </c>
      <c r="C232" s="3" t="s">
        <v>218</v>
      </c>
      <c r="D232" s="3" t="s">
        <v>299</v>
      </c>
      <c r="E232" s="4">
        <f t="shared" si="74"/>
        <v>410047</v>
      </c>
      <c r="F232" s="7" t="str">
        <f t="shared" si="75"/>
        <v>410047.1</v>
      </c>
      <c r="G232" s="7"/>
      <c r="H232" s="7" t="str">
        <f t="shared" si="76"/>
        <v>410047.3</v>
      </c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4"/>
    </row>
    <row r="233" spans="1:34" x14ac:dyDescent="0.25">
      <c r="A233" s="3">
        <v>48</v>
      </c>
      <c r="B233" s="3" t="s">
        <v>337</v>
      </c>
      <c r="C233" s="3" t="s">
        <v>470</v>
      </c>
      <c r="D233" s="3" t="s">
        <v>471</v>
      </c>
      <c r="E233" s="4">
        <f t="shared" si="74"/>
        <v>410048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30" t="str">
        <f>$E233&amp;".1"</f>
        <v>410048.1</v>
      </c>
    </row>
  </sheetData>
  <autoFilter ref="A7:AH233" xr:uid="{5F757495-DBE8-4716-A180-77350591F858}"/>
  <mergeCells count="20">
    <mergeCell ref="AH5:AH6"/>
    <mergeCell ref="F5:F6"/>
    <mergeCell ref="H5:H6"/>
    <mergeCell ref="I5:I6"/>
    <mergeCell ref="J5:J6"/>
    <mergeCell ref="K5:K6"/>
    <mergeCell ref="L5:L6"/>
    <mergeCell ref="G5:G6"/>
    <mergeCell ref="A4:A7"/>
    <mergeCell ref="B4:B7"/>
    <mergeCell ref="C4:C7"/>
    <mergeCell ref="D4:D7"/>
    <mergeCell ref="E4:E7"/>
    <mergeCell ref="F4:AG4"/>
    <mergeCell ref="M5:M6"/>
    <mergeCell ref="N5:N6"/>
    <mergeCell ref="P5:P6"/>
    <mergeCell ref="Q5:Q6"/>
    <mergeCell ref="R5:AG6"/>
    <mergeCell ref="O5:O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7495-DBE8-4716-A180-77350591F858}">
  <sheetPr>
    <pageSetUpPr fitToPage="1"/>
  </sheetPr>
  <dimension ref="A1:BQ233"/>
  <sheetViews>
    <sheetView tabSelected="1" zoomScale="60" zoomScaleNormal="60" workbookViewId="0">
      <pane xSplit="3" ySplit="7" topLeftCell="D62" activePane="bottomRight" state="frozen"/>
      <selection pane="topRight" activeCell="D1" sqref="D1"/>
      <selection pane="bottomLeft" activeCell="A8" sqref="A8"/>
      <selection pane="bottomRight" activeCell="T84" sqref="T84"/>
    </sheetView>
  </sheetViews>
  <sheetFormatPr defaultRowHeight="13.5" x14ac:dyDescent="0.25"/>
  <cols>
    <col min="1" max="1" width="7.42578125" customWidth="1"/>
    <col min="2" max="2" width="8.7109375" style="1"/>
    <col min="3" max="3" width="19.85546875" style="1" customWidth="1"/>
    <col min="4" max="4" width="16.7109375" style="1" customWidth="1"/>
    <col min="18" max="18" width="9.5703125" bestFit="1" customWidth="1"/>
    <col min="22" max="22" width="10.42578125" bestFit="1" customWidth="1"/>
    <col min="24" max="24" width="10.42578125" bestFit="1" customWidth="1"/>
    <col min="25" max="26" width="8.5703125" bestFit="1" customWidth="1"/>
    <col min="27" max="62" width="8.7109375" customWidth="1"/>
    <col min="63" max="68" width="10.7109375" bestFit="1" customWidth="1"/>
  </cols>
  <sheetData>
    <row r="1" spans="1:69" ht="20.25" x14ac:dyDescent="0.25">
      <c r="A1" s="9" t="s">
        <v>494</v>
      </c>
    </row>
    <row r="2" spans="1:69" x14ac:dyDescent="0.25">
      <c r="D2" s="1" t="s">
        <v>587</v>
      </c>
      <c r="E2">
        <v>200</v>
      </c>
    </row>
    <row r="3" spans="1:69" x14ac:dyDescent="0.25">
      <c r="A3" t="s">
        <v>348</v>
      </c>
    </row>
    <row r="4" spans="1:69" ht="17.100000000000001" customHeight="1" x14ac:dyDescent="0.25">
      <c r="A4" s="48" t="s">
        <v>21</v>
      </c>
      <c r="B4" s="48" t="s">
        <v>219</v>
      </c>
      <c r="C4" s="40" t="s">
        <v>0</v>
      </c>
      <c r="D4" s="40" t="s">
        <v>274</v>
      </c>
      <c r="E4" s="41" t="s">
        <v>340</v>
      </c>
      <c r="F4" s="51" t="s">
        <v>391</v>
      </c>
      <c r="G4" s="51"/>
      <c r="H4" s="51"/>
      <c r="I4" s="51"/>
      <c r="J4" s="51"/>
      <c r="K4" s="51"/>
      <c r="L4" s="51"/>
      <c r="M4" s="51"/>
      <c r="N4" s="37" t="s">
        <v>393</v>
      </c>
      <c r="O4" s="38"/>
      <c r="P4" s="38"/>
      <c r="Q4" s="38"/>
      <c r="R4" s="39"/>
      <c r="S4" s="40" t="s">
        <v>8</v>
      </c>
      <c r="T4" s="40" t="s">
        <v>9</v>
      </c>
      <c r="U4" s="40" t="s">
        <v>10</v>
      </c>
      <c r="V4" s="40" t="s">
        <v>11</v>
      </c>
      <c r="W4" s="40" t="s">
        <v>12</v>
      </c>
      <c r="X4" s="40" t="s">
        <v>13</v>
      </c>
      <c r="Y4" s="40" t="s">
        <v>14</v>
      </c>
      <c r="Z4" s="40" t="s">
        <v>616</v>
      </c>
      <c r="AA4" s="37" t="s">
        <v>530</v>
      </c>
      <c r="AB4" s="38"/>
      <c r="AC4" s="38"/>
      <c r="AD4" s="38"/>
      <c r="AE4" s="38"/>
      <c r="AF4" s="39"/>
      <c r="AG4" s="37" t="s">
        <v>531</v>
      </c>
      <c r="AH4" s="38"/>
      <c r="AI4" s="38"/>
      <c r="AJ4" s="38"/>
      <c r="AK4" s="38"/>
      <c r="AL4" s="39"/>
      <c r="AM4" s="37" t="s">
        <v>532</v>
      </c>
      <c r="AN4" s="38"/>
      <c r="AO4" s="38"/>
      <c r="AP4" s="38"/>
      <c r="AQ4" s="38"/>
      <c r="AR4" s="39"/>
      <c r="AS4" s="37" t="s">
        <v>461</v>
      </c>
      <c r="AT4" s="38"/>
      <c r="AU4" s="38"/>
      <c r="AV4" s="38"/>
      <c r="AW4" s="38"/>
      <c r="AX4" s="39"/>
      <c r="AY4" s="37" t="s">
        <v>462</v>
      </c>
      <c r="AZ4" s="38"/>
      <c r="BA4" s="38"/>
      <c r="BB4" s="38"/>
      <c r="BC4" s="38"/>
      <c r="BD4" s="39"/>
      <c r="BE4" s="37" t="s">
        <v>463</v>
      </c>
      <c r="BF4" s="38"/>
      <c r="BG4" s="38"/>
      <c r="BH4" s="38"/>
      <c r="BI4" s="38"/>
      <c r="BJ4" s="39"/>
      <c r="BK4" s="37" t="s">
        <v>349</v>
      </c>
      <c r="BL4" s="38"/>
      <c r="BM4" s="39"/>
      <c r="BN4" s="37" t="s">
        <v>350</v>
      </c>
      <c r="BO4" s="38"/>
      <c r="BP4" s="39"/>
      <c r="BQ4" s="52" t="s">
        <v>376</v>
      </c>
    </row>
    <row r="5" spans="1:69" ht="16.5" x14ac:dyDescent="0.25">
      <c r="A5" s="48"/>
      <c r="B5" s="48"/>
      <c r="C5" s="40"/>
      <c r="D5" s="40"/>
      <c r="E5" s="41"/>
      <c r="F5" s="5" t="s">
        <v>2</v>
      </c>
      <c r="G5" s="4" t="s">
        <v>3</v>
      </c>
      <c r="H5" s="4" t="s">
        <v>4</v>
      </c>
      <c r="I5" s="4" t="s">
        <v>472</v>
      </c>
      <c r="J5" s="4" t="s">
        <v>380</v>
      </c>
      <c r="K5" s="4" t="s">
        <v>382</v>
      </c>
      <c r="L5" s="4" t="s">
        <v>384</v>
      </c>
      <c r="M5" s="4" t="s">
        <v>474</v>
      </c>
      <c r="N5" s="4" t="s">
        <v>5</v>
      </c>
      <c r="O5" s="4" t="s">
        <v>6</v>
      </c>
      <c r="P5" s="4" t="s">
        <v>7</v>
      </c>
      <c r="Q5" s="4" t="s">
        <v>475</v>
      </c>
      <c r="R5" s="4" t="s">
        <v>343</v>
      </c>
      <c r="S5" s="40"/>
      <c r="T5" s="40"/>
      <c r="U5" s="40"/>
      <c r="V5" s="40"/>
      <c r="W5" s="40"/>
      <c r="X5" s="40"/>
      <c r="Y5" s="40"/>
      <c r="Z5" s="40"/>
      <c r="AA5" s="4" t="s">
        <v>533</v>
      </c>
      <c r="AB5" s="4" t="s">
        <v>534</v>
      </c>
      <c r="AC5" s="4" t="s">
        <v>535</v>
      </c>
      <c r="AD5" s="4" t="s">
        <v>536</v>
      </c>
      <c r="AE5" s="4" t="s">
        <v>537</v>
      </c>
      <c r="AF5" s="4" t="s">
        <v>538</v>
      </c>
      <c r="AG5" s="4" t="s">
        <v>539</v>
      </c>
      <c r="AH5" s="4" t="s">
        <v>540</v>
      </c>
      <c r="AI5" s="4" t="s">
        <v>541</v>
      </c>
      <c r="AJ5" s="4" t="s">
        <v>542</v>
      </c>
      <c r="AK5" s="4" t="s">
        <v>543</v>
      </c>
      <c r="AL5" s="4" t="s">
        <v>544</v>
      </c>
      <c r="AM5" s="4" t="s">
        <v>545</v>
      </c>
      <c r="AN5" s="4" t="s">
        <v>546</v>
      </c>
      <c r="AO5" s="4" t="s">
        <v>547</v>
      </c>
      <c r="AP5" s="4" t="s">
        <v>548</v>
      </c>
      <c r="AQ5" s="4" t="s">
        <v>549</v>
      </c>
      <c r="AR5" s="4" t="s">
        <v>550</v>
      </c>
      <c r="AS5" s="4" t="s">
        <v>395</v>
      </c>
      <c r="AT5" s="4" t="s">
        <v>396</v>
      </c>
      <c r="AU5" s="4" t="s">
        <v>397</v>
      </c>
      <c r="AV5" s="4" t="s">
        <v>398</v>
      </c>
      <c r="AW5" s="4" t="s">
        <v>504</v>
      </c>
      <c r="AX5" s="4" t="s">
        <v>505</v>
      </c>
      <c r="AY5" s="4" t="s">
        <v>401</v>
      </c>
      <c r="AZ5" s="4" t="s">
        <v>402</v>
      </c>
      <c r="BA5" s="4" t="s">
        <v>403</v>
      </c>
      <c r="BB5" s="4" t="s">
        <v>404</v>
      </c>
      <c r="BC5" s="4" t="s">
        <v>509</v>
      </c>
      <c r="BD5" s="4" t="s">
        <v>510</v>
      </c>
      <c r="BE5" s="4" t="s">
        <v>405</v>
      </c>
      <c r="BF5" s="4" t="s">
        <v>406</v>
      </c>
      <c r="BG5" s="4" t="s">
        <v>407</v>
      </c>
      <c r="BH5" s="4" t="s">
        <v>408</v>
      </c>
      <c r="BI5" s="4" t="s">
        <v>511</v>
      </c>
      <c r="BJ5" s="4" t="s">
        <v>512</v>
      </c>
      <c r="BK5" s="4" t="s">
        <v>352</v>
      </c>
      <c r="BL5" s="4" t="s">
        <v>356</v>
      </c>
      <c r="BM5" s="4" t="s">
        <v>354</v>
      </c>
      <c r="BN5" s="4" t="s">
        <v>358</v>
      </c>
      <c r="BO5" s="4" t="s">
        <v>360</v>
      </c>
      <c r="BP5" s="4" t="s">
        <v>362</v>
      </c>
      <c r="BQ5" s="53"/>
    </row>
    <row r="6" spans="1:69" ht="16.5" x14ac:dyDescent="0.25">
      <c r="A6" s="48"/>
      <c r="B6" s="48"/>
      <c r="C6" s="40"/>
      <c r="D6" s="40"/>
      <c r="E6" s="41"/>
      <c r="F6" s="5">
        <v>2</v>
      </c>
      <c r="G6" s="4">
        <v>2</v>
      </c>
      <c r="H6" s="4">
        <v>2</v>
      </c>
      <c r="I6" s="4">
        <v>2</v>
      </c>
      <c r="J6" s="4">
        <v>2</v>
      </c>
      <c r="K6" s="4">
        <v>2</v>
      </c>
      <c r="L6" s="4">
        <v>2</v>
      </c>
      <c r="M6" s="4">
        <v>2</v>
      </c>
      <c r="N6" s="4">
        <v>2</v>
      </c>
      <c r="O6" s="4">
        <v>2</v>
      </c>
      <c r="P6" s="4">
        <v>2</v>
      </c>
      <c r="Q6" s="4">
        <v>2</v>
      </c>
      <c r="R6" s="4">
        <v>2</v>
      </c>
      <c r="S6" s="4">
        <v>2</v>
      </c>
      <c r="T6" s="4">
        <v>2</v>
      </c>
      <c r="U6" s="4">
        <v>2</v>
      </c>
      <c r="V6" s="4">
        <v>2</v>
      </c>
      <c r="W6" s="4">
        <v>2</v>
      </c>
      <c r="X6" s="4">
        <v>2</v>
      </c>
      <c r="Y6" s="4">
        <v>2</v>
      </c>
      <c r="Z6" s="4">
        <v>2</v>
      </c>
      <c r="AA6" s="4">
        <v>2</v>
      </c>
      <c r="AB6" s="4">
        <v>2</v>
      </c>
      <c r="AC6" s="4">
        <v>2</v>
      </c>
      <c r="AD6" s="4">
        <v>2</v>
      </c>
      <c r="AE6" s="4">
        <v>2</v>
      </c>
      <c r="AF6" s="4">
        <v>2</v>
      </c>
      <c r="AG6" s="4">
        <v>2</v>
      </c>
      <c r="AH6" s="4">
        <v>2</v>
      </c>
      <c r="AI6" s="4">
        <v>2</v>
      </c>
      <c r="AJ6" s="4">
        <v>2</v>
      </c>
      <c r="AK6" s="4">
        <v>2</v>
      </c>
      <c r="AL6" s="4">
        <v>2</v>
      </c>
      <c r="AM6" s="4">
        <v>2</v>
      </c>
      <c r="AN6" s="4">
        <v>2</v>
      </c>
      <c r="AO6" s="4">
        <v>2</v>
      </c>
      <c r="AP6" s="4">
        <v>2</v>
      </c>
      <c r="AQ6" s="4">
        <v>2</v>
      </c>
      <c r="AR6" s="4">
        <v>2</v>
      </c>
      <c r="AS6" s="4">
        <v>2</v>
      </c>
      <c r="AT6" s="4">
        <v>2</v>
      </c>
      <c r="AU6" s="4">
        <v>2</v>
      </c>
      <c r="AV6" s="4">
        <v>2</v>
      </c>
      <c r="AW6" s="4">
        <v>2</v>
      </c>
      <c r="AX6" s="4">
        <v>2</v>
      </c>
      <c r="AY6" s="4">
        <v>2</v>
      </c>
      <c r="AZ6" s="4">
        <v>2</v>
      </c>
      <c r="BA6" s="4">
        <v>2</v>
      </c>
      <c r="BB6" s="4">
        <v>2</v>
      </c>
      <c r="BC6" s="4">
        <v>2</v>
      </c>
      <c r="BD6" s="4">
        <v>2</v>
      </c>
      <c r="BE6" s="4">
        <v>2</v>
      </c>
      <c r="BF6" s="4">
        <v>2</v>
      </c>
      <c r="BG6" s="4">
        <v>2</v>
      </c>
      <c r="BH6" s="4">
        <v>2</v>
      </c>
      <c r="BI6" s="4">
        <v>2</v>
      </c>
      <c r="BJ6" s="4">
        <v>2</v>
      </c>
      <c r="BK6" s="4">
        <v>2</v>
      </c>
      <c r="BL6" s="4">
        <v>2</v>
      </c>
      <c r="BM6" s="4">
        <v>2</v>
      </c>
      <c r="BN6" s="4">
        <v>2</v>
      </c>
      <c r="BO6" s="4">
        <v>2</v>
      </c>
      <c r="BP6" s="4">
        <v>2</v>
      </c>
      <c r="BQ6" s="3">
        <f>SUM(F6:BP6)</f>
        <v>126</v>
      </c>
    </row>
    <row r="7" spans="1:69" ht="16.5" x14ac:dyDescent="0.25">
      <c r="A7" s="48"/>
      <c r="B7" s="48"/>
      <c r="C7" s="40"/>
      <c r="D7" s="40"/>
      <c r="E7" s="41"/>
      <c r="F7" s="5" t="s">
        <v>29</v>
      </c>
      <c r="G7" s="5" t="s">
        <v>30</v>
      </c>
      <c r="H7" s="5" t="s">
        <v>31</v>
      </c>
      <c r="I7" s="5" t="s">
        <v>473</v>
      </c>
      <c r="J7" s="5" t="s">
        <v>386</v>
      </c>
      <c r="K7" s="5" t="s">
        <v>388</v>
      </c>
      <c r="L7" s="5" t="s">
        <v>390</v>
      </c>
      <c r="M7" s="5" t="s">
        <v>40</v>
      </c>
      <c r="N7" s="4" t="s">
        <v>32</v>
      </c>
      <c r="O7" s="4" t="s">
        <v>33</v>
      </c>
      <c r="P7" s="4" t="s">
        <v>34</v>
      </c>
      <c r="Q7" s="4" t="s">
        <v>492</v>
      </c>
      <c r="R7" s="4" t="s">
        <v>35</v>
      </c>
      <c r="S7" s="4" t="s">
        <v>36</v>
      </c>
      <c r="T7" s="4" t="s">
        <v>37</v>
      </c>
      <c r="U7" s="4" t="s">
        <v>38</v>
      </c>
      <c r="V7" s="4" t="s">
        <v>39</v>
      </c>
      <c r="W7" s="4" t="s">
        <v>40</v>
      </c>
      <c r="X7" s="4" t="s">
        <v>41</v>
      </c>
      <c r="Y7" s="4" t="s">
        <v>42</v>
      </c>
      <c r="Z7" s="4" t="s">
        <v>617</v>
      </c>
      <c r="AA7" s="4" t="s">
        <v>551</v>
      </c>
      <c r="AB7" s="4" t="s">
        <v>552</v>
      </c>
      <c r="AC7" s="4" t="s">
        <v>553</v>
      </c>
      <c r="AD7" s="4" t="s">
        <v>554</v>
      </c>
      <c r="AE7" s="4" t="s">
        <v>555</v>
      </c>
      <c r="AF7" s="4" t="s">
        <v>556</v>
      </c>
      <c r="AG7" s="4" t="s">
        <v>557</v>
      </c>
      <c r="AH7" s="4" t="s">
        <v>558</v>
      </c>
      <c r="AI7" s="4" t="s">
        <v>559</v>
      </c>
      <c r="AJ7" s="4" t="s">
        <v>560</v>
      </c>
      <c r="AK7" s="4" t="s">
        <v>562</v>
      </c>
      <c r="AL7" s="4" t="s">
        <v>561</v>
      </c>
      <c r="AM7" s="4" t="s">
        <v>563</v>
      </c>
      <c r="AN7" s="4" t="s">
        <v>564</v>
      </c>
      <c r="AO7" s="4" t="s">
        <v>565</v>
      </c>
      <c r="AP7" s="4" t="s">
        <v>566</v>
      </c>
      <c r="AQ7" s="4" t="s">
        <v>567</v>
      </c>
      <c r="AR7" s="4" t="s">
        <v>568</v>
      </c>
      <c r="AS7" s="4" t="s">
        <v>569</v>
      </c>
      <c r="AT7" s="4" t="s">
        <v>570</v>
      </c>
      <c r="AU7" s="4" t="s">
        <v>571</v>
      </c>
      <c r="AV7" s="4" t="s">
        <v>572</v>
      </c>
      <c r="AW7" s="4" t="s">
        <v>573</v>
      </c>
      <c r="AX7" s="4" t="s">
        <v>574</v>
      </c>
      <c r="AY7" s="4" t="s">
        <v>575</v>
      </c>
      <c r="AZ7" s="4" t="s">
        <v>576</v>
      </c>
      <c r="BA7" s="4" t="s">
        <v>577</v>
      </c>
      <c r="BB7" s="4" t="s">
        <v>578</v>
      </c>
      <c r="BC7" s="4" t="s">
        <v>580</v>
      </c>
      <c r="BD7" s="4" t="s">
        <v>579</v>
      </c>
      <c r="BE7" s="4" t="s">
        <v>581</v>
      </c>
      <c r="BF7" s="4" t="s">
        <v>582</v>
      </c>
      <c r="BG7" s="4" t="s">
        <v>583</v>
      </c>
      <c r="BH7" s="4" t="s">
        <v>584</v>
      </c>
      <c r="BI7" s="4" t="s">
        <v>585</v>
      </c>
      <c r="BJ7" s="4" t="s">
        <v>586</v>
      </c>
      <c r="BK7" s="4" t="s">
        <v>370</v>
      </c>
      <c r="BL7" s="4" t="s">
        <v>372</v>
      </c>
      <c r="BM7" s="4" t="s">
        <v>374</v>
      </c>
      <c r="BN7" s="4" t="s">
        <v>368</v>
      </c>
      <c r="BO7" s="4" t="s">
        <v>366</v>
      </c>
      <c r="BP7" s="4" t="s">
        <v>364</v>
      </c>
    </row>
    <row r="8" spans="1:69" s="15" customFormat="1" x14ac:dyDescent="0.25">
      <c r="A8" s="11">
        <v>1</v>
      </c>
      <c r="B8" s="11" t="s">
        <v>335</v>
      </c>
      <c r="C8" s="11" t="s">
        <v>52</v>
      </c>
      <c r="D8" s="11" t="s">
        <v>288</v>
      </c>
      <c r="E8" s="16">
        <v>40000</v>
      </c>
      <c r="F8" s="14">
        <f>E8+1</f>
        <v>40001</v>
      </c>
      <c r="G8" s="14">
        <f t="shared" ref="G8:X8" si="0">F8+F$6</f>
        <v>40003</v>
      </c>
      <c r="H8" s="14">
        <f t="shared" ref="H8:J9" si="1">G8+G$6</f>
        <v>40005</v>
      </c>
      <c r="I8" s="14">
        <f>H8+H$6</f>
        <v>40007</v>
      </c>
      <c r="J8" s="14">
        <f t="shared" si="1"/>
        <v>40009</v>
      </c>
      <c r="K8" s="14">
        <f t="shared" ref="K8:K9" si="2">J8+J$6</f>
        <v>40011</v>
      </c>
      <c r="L8" s="14">
        <f t="shared" ref="L8:L9" si="3">K8+K$6</f>
        <v>40013</v>
      </c>
      <c r="M8" s="14">
        <f t="shared" ref="M8:M9" si="4">L8+L$6</f>
        <v>40015</v>
      </c>
      <c r="N8" s="14">
        <f t="shared" si="0"/>
        <v>40017</v>
      </c>
      <c r="O8" s="14">
        <f t="shared" si="0"/>
        <v>40019</v>
      </c>
      <c r="P8" s="14">
        <f t="shared" si="0"/>
        <v>40021</v>
      </c>
      <c r="Q8" s="14">
        <f t="shared" si="0"/>
        <v>40023</v>
      </c>
      <c r="R8" s="14">
        <f t="shared" si="0"/>
        <v>40025</v>
      </c>
      <c r="S8" s="14">
        <f t="shared" si="0"/>
        <v>40027</v>
      </c>
      <c r="T8" s="14">
        <f t="shared" si="0"/>
        <v>40029</v>
      </c>
      <c r="U8" s="14">
        <f t="shared" si="0"/>
        <v>40031</v>
      </c>
      <c r="V8" s="14">
        <f t="shared" si="0"/>
        <v>40033</v>
      </c>
      <c r="W8" s="14">
        <f t="shared" si="0"/>
        <v>40035</v>
      </c>
      <c r="X8" s="14">
        <f t="shared" si="0"/>
        <v>40037</v>
      </c>
      <c r="Y8" s="14">
        <f>X8+X$6</f>
        <v>40039</v>
      </c>
      <c r="Z8" s="14"/>
      <c r="AA8" s="14">
        <f>Y8+$Z$6+$Y$6</f>
        <v>40043</v>
      </c>
      <c r="AB8" s="14">
        <f t="shared" ref="AB8:AB9" si="5">AA8+AA$6</f>
        <v>40045</v>
      </c>
      <c r="AC8" s="14">
        <f>AB8+AB$6</f>
        <v>40047</v>
      </c>
      <c r="AD8" s="14">
        <f t="shared" ref="AD8:AD9" si="6">AC8+AC$6</f>
        <v>40049</v>
      </c>
      <c r="AE8" s="14">
        <f>AD8+AD$6</f>
        <v>40051</v>
      </c>
      <c r="AF8" s="14">
        <f t="shared" ref="AF8:AF9" si="7">AE8+AE$6</f>
        <v>40053</v>
      </c>
      <c r="AG8" s="14">
        <f t="shared" ref="AG8:AG9" si="8">AF8+AF$6</f>
        <v>40055</v>
      </c>
      <c r="AH8" s="14">
        <f t="shared" ref="AH8:AH9" si="9">AG8+AG$6</f>
        <v>40057</v>
      </c>
      <c r="AI8" s="14">
        <f t="shared" ref="AI8:AI9" si="10">AH8+AH$6</f>
        <v>40059</v>
      </c>
      <c r="AJ8" s="14">
        <f t="shared" ref="AJ8:AJ9" si="11">AI8+AI$6</f>
        <v>40061</v>
      </c>
      <c r="AK8" s="14">
        <f t="shared" ref="AK8:AK9" si="12">AJ8+AJ$6</f>
        <v>40063</v>
      </c>
      <c r="AL8" s="14">
        <f t="shared" ref="AL8:AL9" si="13">AK8+AK$6</f>
        <v>40065</v>
      </c>
      <c r="AM8" s="14">
        <f t="shared" ref="AM8:AM9" si="14">AL8+AL$6</f>
        <v>40067</v>
      </c>
      <c r="AN8" s="14">
        <f t="shared" ref="AN8:AN9" si="15">AM8+AM$6</f>
        <v>40069</v>
      </c>
      <c r="AO8" s="14">
        <f t="shared" ref="AO8:AO9" si="16">AN8+AN$6</f>
        <v>40071</v>
      </c>
      <c r="AP8" s="14">
        <f t="shared" ref="AP8:AP9" si="17">AO8+AO$6</f>
        <v>40073</v>
      </c>
      <c r="AQ8" s="14">
        <f t="shared" ref="AQ8:AQ9" si="18">AP8+AP$6</f>
        <v>40075</v>
      </c>
      <c r="AR8" s="14">
        <f t="shared" ref="AR8:AR9" si="19">AQ8+AQ$6</f>
        <v>40077</v>
      </c>
      <c r="AS8" s="14">
        <f>AR8+AR$6</f>
        <v>40079</v>
      </c>
      <c r="AT8" s="14">
        <f t="shared" ref="AT8:BJ8" si="20">AS8+AS$6</f>
        <v>40081</v>
      </c>
      <c r="AU8" s="14">
        <f>AT8+AT$6</f>
        <v>40083</v>
      </c>
      <c r="AV8" s="14">
        <f t="shared" ref="AV8" si="21">AU8+AU$6</f>
        <v>40085</v>
      </c>
      <c r="AW8" s="14">
        <f>AV8+AV$6</f>
        <v>40087</v>
      </c>
      <c r="AX8" s="14">
        <f t="shared" si="20"/>
        <v>40089</v>
      </c>
      <c r="AY8" s="14">
        <f t="shared" si="20"/>
        <v>40091</v>
      </c>
      <c r="AZ8" s="14">
        <f t="shared" si="20"/>
        <v>40093</v>
      </c>
      <c r="BA8" s="14">
        <f t="shared" ref="BA8" si="22">AZ8+AZ$6</f>
        <v>40095</v>
      </c>
      <c r="BB8" s="14">
        <f t="shared" ref="BB8" si="23">BA8+BA$6</f>
        <v>40097</v>
      </c>
      <c r="BC8" s="14">
        <f t="shared" si="20"/>
        <v>40099</v>
      </c>
      <c r="BD8" s="14">
        <f t="shared" si="20"/>
        <v>40101</v>
      </c>
      <c r="BE8" s="14">
        <f t="shared" si="20"/>
        <v>40103</v>
      </c>
      <c r="BF8" s="14">
        <f t="shared" si="20"/>
        <v>40105</v>
      </c>
      <c r="BG8" s="14">
        <f t="shared" ref="BG8" si="24">BF8+BF$6</f>
        <v>40107</v>
      </c>
      <c r="BH8" s="14">
        <f t="shared" ref="BH8" si="25">BG8+BG$6</f>
        <v>40109</v>
      </c>
      <c r="BI8" s="14">
        <f t="shared" ref="BI8" si="26">BH8+BH$6</f>
        <v>40111</v>
      </c>
      <c r="BJ8" s="14">
        <f t="shared" si="20"/>
        <v>40113</v>
      </c>
      <c r="BK8" s="14">
        <f>BJ8+BJ$6</f>
        <v>40115</v>
      </c>
      <c r="BL8" s="14">
        <f>BK8+BK$6</f>
        <v>40117</v>
      </c>
      <c r="BM8" s="14">
        <f t="shared" ref="BM8:BP8" si="27">BL8+BL$6</f>
        <v>40119</v>
      </c>
      <c r="BN8" s="14">
        <f t="shared" si="27"/>
        <v>40121</v>
      </c>
      <c r="BO8" s="14">
        <f t="shared" si="27"/>
        <v>40123</v>
      </c>
      <c r="BP8" s="14">
        <f t="shared" si="27"/>
        <v>40125</v>
      </c>
    </row>
    <row r="9" spans="1:69" x14ac:dyDescent="0.25">
      <c r="A9" s="3">
        <v>2</v>
      </c>
      <c r="B9" s="3" t="s">
        <v>335</v>
      </c>
      <c r="C9" s="8" t="s">
        <v>53</v>
      </c>
      <c r="D9" s="8" t="s">
        <v>288</v>
      </c>
      <c r="E9" s="4">
        <f>E8+$E$2</f>
        <v>40200</v>
      </c>
      <c r="F9" s="6">
        <f>E9+1</f>
        <v>40201</v>
      </c>
      <c r="G9" s="6">
        <f t="shared" ref="G9:Y24" si="28">F9+F$6</f>
        <v>40203</v>
      </c>
      <c r="H9" s="6">
        <f t="shared" si="1"/>
        <v>40205</v>
      </c>
      <c r="I9" s="6">
        <f>H9+H$6</f>
        <v>40207</v>
      </c>
      <c r="J9" s="6">
        <f>I9+I$6</f>
        <v>40209</v>
      </c>
      <c r="K9" s="6">
        <f t="shared" si="2"/>
        <v>40211</v>
      </c>
      <c r="L9" s="6">
        <f t="shared" si="3"/>
        <v>40213</v>
      </c>
      <c r="M9" s="6">
        <f t="shared" si="4"/>
        <v>40215</v>
      </c>
      <c r="N9" s="6">
        <f t="shared" si="28"/>
        <v>40217</v>
      </c>
      <c r="O9" s="6">
        <f t="shared" si="28"/>
        <v>40219</v>
      </c>
      <c r="P9" s="6">
        <f t="shared" si="28"/>
        <v>40221</v>
      </c>
      <c r="Q9" s="6">
        <f>P9+P$6</f>
        <v>40223</v>
      </c>
      <c r="R9" s="6">
        <f>Q9+Q$6</f>
        <v>40225</v>
      </c>
      <c r="S9" s="6">
        <f t="shared" si="28"/>
        <v>40227</v>
      </c>
      <c r="T9" s="6">
        <f t="shared" si="28"/>
        <v>40229</v>
      </c>
      <c r="U9" s="6">
        <f t="shared" si="28"/>
        <v>40231</v>
      </c>
      <c r="V9" s="6">
        <f t="shared" si="28"/>
        <v>40233</v>
      </c>
      <c r="W9" s="6">
        <f t="shared" si="28"/>
        <v>40235</v>
      </c>
      <c r="X9" s="6">
        <f t="shared" si="28"/>
        <v>40237</v>
      </c>
      <c r="Y9" s="6">
        <f t="shared" si="28"/>
        <v>40239</v>
      </c>
      <c r="Z9" s="6"/>
      <c r="AA9" s="6">
        <f>Y9+$Z$6+$Y$6</f>
        <v>40243</v>
      </c>
      <c r="AB9" s="6">
        <f t="shared" si="5"/>
        <v>40245</v>
      </c>
      <c r="AC9" s="6">
        <f>AB9+AB$6</f>
        <v>40247</v>
      </c>
      <c r="AD9" s="6">
        <f t="shared" si="6"/>
        <v>40249</v>
      </c>
      <c r="AE9" s="6">
        <f>AD9+AD$6</f>
        <v>40251</v>
      </c>
      <c r="AF9" s="6">
        <f t="shared" si="7"/>
        <v>40253</v>
      </c>
      <c r="AG9" s="6">
        <f t="shared" si="8"/>
        <v>40255</v>
      </c>
      <c r="AH9" s="6">
        <f t="shared" si="9"/>
        <v>40257</v>
      </c>
      <c r="AI9" s="6">
        <f t="shared" si="10"/>
        <v>40259</v>
      </c>
      <c r="AJ9" s="6">
        <f t="shared" si="11"/>
        <v>40261</v>
      </c>
      <c r="AK9" s="6">
        <f t="shared" si="12"/>
        <v>40263</v>
      </c>
      <c r="AL9" s="6">
        <f t="shared" si="13"/>
        <v>40265</v>
      </c>
      <c r="AM9" s="6">
        <f t="shared" si="14"/>
        <v>40267</v>
      </c>
      <c r="AN9" s="6">
        <f t="shared" si="15"/>
        <v>40269</v>
      </c>
      <c r="AO9" s="6">
        <f t="shared" si="16"/>
        <v>40271</v>
      </c>
      <c r="AP9" s="6">
        <f t="shared" si="17"/>
        <v>40273</v>
      </c>
      <c r="AQ9" s="6">
        <f t="shared" si="18"/>
        <v>40275</v>
      </c>
      <c r="AR9" s="6">
        <f t="shared" si="19"/>
        <v>40277</v>
      </c>
      <c r="AS9" s="14">
        <f>AR9+AR$6</f>
        <v>40279</v>
      </c>
      <c r="AT9" s="6">
        <f t="shared" ref="AT9" si="29">AS9+AS$6</f>
        <v>40281</v>
      </c>
      <c r="AU9" s="6">
        <f>AT9+AT$6</f>
        <v>40283</v>
      </c>
      <c r="AV9" s="6">
        <f t="shared" ref="AV9" si="30">AU9+AU$6</f>
        <v>40285</v>
      </c>
      <c r="AW9" s="6">
        <f>AV9+AV$6</f>
        <v>40287</v>
      </c>
      <c r="AX9" s="6">
        <f t="shared" ref="AX9" si="31">AW9+AW$6</f>
        <v>40289</v>
      </c>
      <c r="AY9" s="6">
        <f t="shared" ref="AY9" si="32">AX9+AX$6</f>
        <v>40291</v>
      </c>
      <c r="AZ9" s="6">
        <f t="shared" ref="AZ9" si="33">AY9+AY$6</f>
        <v>40293</v>
      </c>
      <c r="BA9" s="6">
        <f t="shared" ref="BA9" si="34">AZ9+AZ$6</f>
        <v>40295</v>
      </c>
      <c r="BB9" s="6">
        <f t="shared" ref="BB9" si="35">BA9+BA$6</f>
        <v>40297</v>
      </c>
      <c r="BC9" s="6">
        <f t="shared" ref="BC9" si="36">BB9+BB$6</f>
        <v>40299</v>
      </c>
      <c r="BD9" s="6">
        <f t="shared" ref="BD9" si="37">BC9+BC$6</f>
        <v>40301</v>
      </c>
      <c r="BE9" s="6">
        <f t="shared" ref="BE9" si="38">BD9+BD$6</f>
        <v>40303</v>
      </c>
      <c r="BF9" s="6">
        <f t="shared" ref="BF9" si="39">BE9+BE$6</f>
        <v>40305</v>
      </c>
      <c r="BG9" s="6">
        <f t="shared" ref="BG9" si="40">BF9+BF$6</f>
        <v>40307</v>
      </c>
      <c r="BH9" s="6">
        <f t="shared" ref="BH9" si="41">BG9+BG$6</f>
        <v>40309</v>
      </c>
      <c r="BI9" s="6">
        <f t="shared" ref="BI9" si="42">BH9+BH$6</f>
        <v>40311</v>
      </c>
      <c r="BJ9" s="6">
        <f t="shared" ref="BJ9" si="43">BI9+BI$6</f>
        <v>40313</v>
      </c>
      <c r="BK9" s="6">
        <f>BJ9+BJ$6</f>
        <v>40315</v>
      </c>
      <c r="BL9" s="6">
        <f>BK9+BK$6</f>
        <v>40317</v>
      </c>
      <c r="BM9" s="6">
        <f t="shared" ref="BM9:BP9" si="44">BL9+BL$6</f>
        <v>40319</v>
      </c>
      <c r="BN9" s="6">
        <f t="shared" si="44"/>
        <v>40321</v>
      </c>
      <c r="BO9" s="6">
        <f t="shared" si="44"/>
        <v>40323</v>
      </c>
      <c r="BP9" s="6">
        <f t="shared" si="44"/>
        <v>40325</v>
      </c>
    </row>
    <row r="10" spans="1:69" x14ac:dyDescent="0.25">
      <c r="A10" s="3">
        <v>3</v>
      </c>
      <c r="B10" s="3" t="s">
        <v>335</v>
      </c>
      <c r="C10" s="3" t="s">
        <v>250</v>
      </c>
      <c r="D10" s="3" t="s">
        <v>302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</row>
    <row r="11" spans="1:69" x14ac:dyDescent="0.25">
      <c r="A11" s="3">
        <v>4</v>
      </c>
      <c r="B11" s="3" t="s">
        <v>335</v>
      </c>
      <c r="C11" s="3" t="s">
        <v>258</v>
      </c>
      <c r="D11" s="3" t="s">
        <v>310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</row>
    <row r="12" spans="1:69" x14ac:dyDescent="0.25">
      <c r="A12" s="3">
        <v>5</v>
      </c>
      <c r="B12" s="3" t="s">
        <v>335</v>
      </c>
      <c r="C12" s="3" t="s">
        <v>225</v>
      </c>
      <c r="D12" s="3" t="s">
        <v>324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</row>
    <row r="13" spans="1:69" x14ac:dyDescent="0.25">
      <c r="A13" s="3">
        <v>6</v>
      </c>
      <c r="B13" s="3" t="s">
        <v>335</v>
      </c>
      <c r="C13" s="36" t="s">
        <v>69</v>
      </c>
      <c r="D13" s="3" t="s">
        <v>324</v>
      </c>
      <c r="E13" s="4">
        <f>E9+$E$2</f>
        <v>40400</v>
      </c>
      <c r="F13" s="6">
        <f t="shared" ref="F13:F65" si="45">E13+1</f>
        <v>40401</v>
      </c>
      <c r="G13" s="6">
        <f t="shared" ref="G13:G19" si="46">F13+F$6</f>
        <v>40403</v>
      </c>
      <c r="H13" s="6">
        <f t="shared" ref="H13:H19" si="47">G13+G$6</f>
        <v>40405</v>
      </c>
      <c r="I13" s="6">
        <f>H13+H$6</f>
        <v>40407</v>
      </c>
      <c r="J13" s="6">
        <f>I13+I$6</f>
        <v>40409</v>
      </c>
      <c r="K13" s="6">
        <f t="shared" ref="K13:K19" si="48">J13+J$6</f>
        <v>40411</v>
      </c>
      <c r="L13" s="6">
        <f t="shared" ref="L13:M19" si="49">K13+K$6</f>
        <v>40413</v>
      </c>
      <c r="M13" s="6">
        <f t="shared" si="49"/>
        <v>40415</v>
      </c>
      <c r="N13" s="6">
        <f t="shared" ref="N13:X19" si="50">M13+M$6</f>
        <v>40417</v>
      </c>
      <c r="O13" s="6">
        <f t="shared" si="50"/>
        <v>40419</v>
      </c>
      <c r="P13" s="6">
        <f t="shared" si="50"/>
        <v>40421</v>
      </c>
      <c r="Q13" s="6">
        <f t="shared" si="50"/>
        <v>40423</v>
      </c>
      <c r="R13" s="6">
        <f t="shared" si="50"/>
        <v>40425</v>
      </c>
      <c r="S13" s="6">
        <f t="shared" si="50"/>
        <v>40427</v>
      </c>
      <c r="T13" s="6">
        <f t="shared" si="50"/>
        <v>40429</v>
      </c>
      <c r="U13" s="6">
        <f t="shared" si="50"/>
        <v>40431</v>
      </c>
      <c r="V13" s="6">
        <f t="shared" si="50"/>
        <v>40433</v>
      </c>
      <c r="W13" s="6">
        <f t="shared" si="50"/>
        <v>40435</v>
      </c>
      <c r="X13" s="6">
        <f t="shared" si="50"/>
        <v>40437</v>
      </c>
      <c r="Y13" s="6">
        <f t="shared" si="28"/>
        <v>40439</v>
      </c>
      <c r="Z13" s="6">
        <f>Y13+Y$6</f>
        <v>40441</v>
      </c>
      <c r="AA13" s="14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14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</row>
    <row r="14" spans="1:69" x14ac:dyDescent="0.25">
      <c r="A14" s="3">
        <v>7</v>
      </c>
      <c r="B14" s="3" t="s">
        <v>335</v>
      </c>
      <c r="C14" s="36" t="s">
        <v>70</v>
      </c>
      <c r="D14" s="3" t="s">
        <v>324</v>
      </c>
      <c r="E14" s="4">
        <f>E13+$E$2</f>
        <v>40600</v>
      </c>
      <c r="F14" s="6">
        <f t="shared" si="45"/>
        <v>40601</v>
      </c>
      <c r="G14" s="6">
        <f t="shared" si="46"/>
        <v>40603</v>
      </c>
      <c r="H14" s="6">
        <f t="shared" si="47"/>
        <v>40605</v>
      </c>
      <c r="I14" s="6">
        <f t="shared" ref="I14:J14" si="51">H14+H$6</f>
        <v>40607</v>
      </c>
      <c r="J14" s="6">
        <f t="shared" si="51"/>
        <v>40609</v>
      </c>
      <c r="K14" s="6">
        <f t="shared" si="48"/>
        <v>40611</v>
      </c>
      <c r="L14" s="6">
        <f t="shared" si="49"/>
        <v>40613</v>
      </c>
      <c r="M14" s="6">
        <f t="shared" si="49"/>
        <v>40615</v>
      </c>
      <c r="N14" s="6">
        <f t="shared" ref="N14:X14" si="52">M14+M$6</f>
        <v>40617</v>
      </c>
      <c r="O14" s="6">
        <f t="shared" si="52"/>
        <v>40619</v>
      </c>
      <c r="P14" s="6">
        <f t="shared" si="52"/>
        <v>40621</v>
      </c>
      <c r="Q14" s="6">
        <f t="shared" si="50"/>
        <v>40623</v>
      </c>
      <c r="R14" s="6">
        <f t="shared" si="50"/>
        <v>40625</v>
      </c>
      <c r="S14" s="6">
        <f t="shared" si="52"/>
        <v>40627</v>
      </c>
      <c r="T14" s="6">
        <f t="shared" si="52"/>
        <v>40629</v>
      </c>
      <c r="U14" s="6">
        <f t="shared" si="52"/>
        <v>40631</v>
      </c>
      <c r="V14" s="6">
        <f t="shared" si="52"/>
        <v>40633</v>
      </c>
      <c r="W14" s="6">
        <f t="shared" si="52"/>
        <v>40635</v>
      </c>
      <c r="X14" s="6">
        <f t="shared" si="52"/>
        <v>40637</v>
      </c>
      <c r="Y14" s="6">
        <f t="shared" si="28"/>
        <v>40639</v>
      </c>
      <c r="Z14" s="6">
        <f t="shared" ref="Z14:Z76" si="53">Y14+Y$6</f>
        <v>40641</v>
      </c>
      <c r="AA14" s="14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14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</row>
    <row r="15" spans="1:69" x14ac:dyDescent="0.25">
      <c r="A15" s="3">
        <v>8</v>
      </c>
      <c r="B15" s="3" t="s">
        <v>335</v>
      </c>
      <c r="C15" s="36" t="s">
        <v>71</v>
      </c>
      <c r="D15" s="3" t="s">
        <v>324</v>
      </c>
      <c r="E15" s="4">
        <f t="shared" ref="E15:E19" si="54">E14+$E$2</f>
        <v>40800</v>
      </c>
      <c r="F15" s="6">
        <f t="shared" si="45"/>
        <v>40801</v>
      </c>
      <c r="G15" s="6">
        <f t="shared" si="46"/>
        <v>40803</v>
      </c>
      <c r="H15" s="6">
        <f t="shared" si="47"/>
        <v>40805</v>
      </c>
      <c r="I15" s="6">
        <f t="shared" ref="I15:J15" si="55">H15+H$6</f>
        <v>40807</v>
      </c>
      <c r="J15" s="6">
        <f t="shared" si="55"/>
        <v>40809</v>
      </c>
      <c r="K15" s="6">
        <f t="shared" si="48"/>
        <v>40811</v>
      </c>
      <c r="L15" s="6">
        <f t="shared" si="49"/>
        <v>40813</v>
      </c>
      <c r="M15" s="6">
        <f t="shared" si="49"/>
        <v>40815</v>
      </c>
      <c r="N15" s="6">
        <f t="shared" ref="N15:X15" si="56">M15+M$6</f>
        <v>40817</v>
      </c>
      <c r="O15" s="6">
        <f t="shared" si="56"/>
        <v>40819</v>
      </c>
      <c r="P15" s="6">
        <f t="shared" si="56"/>
        <v>40821</v>
      </c>
      <c r="Q15" s="6">
        <f t="shared" si="50"/>
        <v>40823</v>
      </c>
      <c r="R15" s="6">
        <f t="shared" si="50"/>
        <v>40825</v>
      </c>
      <c r="S15" s="6">
        <f t="shared" si="56"/>
        <v>40827</v>
      </c>
      <c r="T15" s="6">
        <f t="shared" si="56"/>
        <v>40829</v>
      </c>
      <c r="U15" s="6">
        <f t="shared" si="56"/>
        <v>40831</v>
      </c>
      <c r="V15" s="6">
        <f t="shared" si="56"/>
        <v>40833</v>
      </c>
      <c r="W15" s="6">
        <f t="shared" si="56"/>
        <v>40835</v>
      </c>
      <c r="X15" s="6">
        <f t="shared" si="56"/>
        <v>40837</v>
      </c>
      <c r="Y15" s="6">
        <f t="shared" si="28"/>
        <v>40839</v>
      </c>
      <c r="Z15" s="6">
        <f t="shared" si="53"/>
        <v>40841</v>
      </c>
      <c r="AA15" s="14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14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</row>
    <row r="16" spans="1:69" x14ac:dyDescent="0.25">
      <c r="A16" s="3">
        <v>9</v>
      </c>
      <c r="B16" s="3" t="s">
        <v>335</v>
      </c>
      <c r="C16" s="36" t="s">
        <v>72</v>
      </c>
      <c r="D16" s="3" t="s">
        <v>324</v>
      </c>
      <c r="E16" s="4">
        <f t="shared" si="54"/>
        <v>41000</v>
      </c>
      <c r="F16" s="6">
        <f t="shared" si="45"/>
        <v>41001</v>
      </c>
      <c r="G16" s="6">
        <f t="shared" si="46"/>
        <v>41003</v>
      </c>
      <c r="H16" s="6">
        <f t="shared" si="47"/>
        <v>41005</v>
      </c>
      <c r="I16" s="6">
        <f t="shared" ref="I16:J16" si="57">H16+H$6</f>
        <v>41007</v>
      </c>
      <c r="J16" s="6">
        <f t="shared" si="57"/>
        <v>41009</v>
      </c>
      <c r="K16" s="6">
        <f t="shared" si="48"/>
        <v>41011</v>
      </c>
      <c r="L16" s="6">
        <f t="shared" si="49"/>
        <v>41013</v>
      </c>
      <c r="M16" s="6">
        <f t="shared" si="49"/>
        <v>41015</v>
      </c>
      <c r="N16" s="6">
        <f t="shared" ref="N16:X16" si="58">M16+M$6</f>
        <v>41017</v>
      </c>
      <c r="O16" s="6">
        <f t="shared" si="58"/>
        <v>41019</v>
      </c>
      <c r="P16" s="6">
        <f t="shared" si="58"/>
        <v>41021</v>
      </c>
      <c r="Q16" s="6">
        <f t="shared" si="50"/>
        <v>41023</v>
      </c>
      <c r="R16" s="6">
        <f t="shared" si="50"/>
        <v>41025</v>
      </c>
      <c r="S16" s="6">
        <f t="shared" si="58"/>
        <v>41027</v>
      </c>
      <c r="T16" s="6">
        <f t="shared" si="58"/>
        <v>41029</v>
      </c>
      <c r="U16" s="6">
        <f t="shared" si="58"/>
        <v>41031</v>
      </c>
      <c r="V16" s="6">
        <f t="shared" si="58"/>
        <v>41033</v>
      </c>
      <c r="W16" s="6">
        <f t="shared" si="58"/>
        <v>41035</v>
      </c>
      <c r="X16" s="6">
        <f t="shared" si="58"/>
        <v>41037</v>
      </c>
      <c r="Y16" s="6">
        <f t="shared" si="28"/>
        <v>41039</v>
      </c>
      <c r="Z16" s="6">
        <f t="shared" si="53"/>
        <v>41041</v>
      </c>
      <c r="AA16" s="14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14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</row>
    <row r="17" spans="1:68" x14ac:dyDescent="0.25">
      <c r="A17" s="3">
        <v>10</v>
      </c>
      <c r="B17" s="3" t="s">
        <v>335</v>
      </c>
      <c r="C17" s="36" t="s">
        <v>73</v>
      </c>
      <c r="D17" s="3" t="s">
        <v>324</v>
      </c>
      <c r="E17" s="4">
        <f t="shared" si="54"/>
        <v>41200</v>
      </c>
      <c r="F17" s="6">
        <f t="shared" si="45"/>
        <v>41201</v>
      </c>
      <c r="G17" s="6">
        <f t="shared" si="46"/>
        <v>41203</v>
      </c>
      <c r="H17" s="6">
        <f t="shared" si="47"/>
        <v>41205</v>
      </c>
      <c r="I17" s="6">
        <f t="shared" ref="I17:J17" si="59">H17+H$6</f>
        <v>41207</v>
      </c>
      <c r="J17" s="6">
        <f t="shared" si="59"/>
        <v>41209</v>
      </c>
      <c r="K17" s="6">
        <f t="shared" si="48"/>
        <v>41211</v>
      </c>
      <c r="L17" s="6">
        <f t="shared" si="49"/>
        <v>41213</v>
      </c>
      <c r="M17" s="6">
        <f t="shared" si="49"/>
        <v>41215</v>
      </c>
      <c r="N17" s="6">
        <f t="shared" ref="N17:X17" si="60">M17+M$6</f>
        <v>41217</v>
      </c>
      <c r="O17" s="6">
        <f t="shared" si="60"/>
        <v>41219</v>
      </c>
      <c r="P17" s="6">
        <f t="shared" si="60"/>
        <v>41221</v>
      </c>
      <c r="Q17" s="6">
        <f t="shared" si="50"/>
        <v>41223</v>
      </c>
      <c r="R17" s="6">
        <f t="shared" si="50"/>
        <v>41225</v>
      </c>
      <c r="S17" s="6">
        <f t="shared" si="60"/>
        <v>41227</v>
      </c>
      <c r="T17" s="6">
        <f t="shared" si="60"/>
        <v>41229</v>
      </c>
      <c r="U17" s="6">
        <f t="shared" si="60"/>
        <v>41231</v>
      </c>
      <c r="V17" s="6">
        <f t="shared" si="60"/>
        <v>41233</v>
      </c>
      <c r="W17" s="6">
        <f t="shared" si="60"/>
        <v>41235</v>
      </c>
      <c r="X17" s="6">
        <f t="shared" si="60"/>
        <v>41237</v>
      </c>
      <c r="Y17" s="6">
        <f t="shared" si="28"/>
        <v>41239</v>
      </c>
      <c r="Z17" s="6">
        <f t="shared" si="53"/>
        <v>41241</v>
      </c>
      <c r="AA17" s="14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14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</row>
    <row r="18" spans="1:68" x14ac:dyDescent="0.25">
      <c r="A18" s="3">
        <v>11</v>
      </c>
      <c r="B18" s="3" t="s">
        <v>335</v>
      </c>
      <c r="C18" s="36" t="s">
        <v>74</v>
      </c>
      <c r="D18" s="3" t="s">
        <v>324</v>
      </c>
      <c r="E18" s="4">
        <f t="shared" si="54"/>
        <v>41400</v>
      </c>
      <c r="F18" s="6">
        <f t="shared" si="45"/>
        <v>41401</v>
      </c>
      <c r="G18" s="6">
        <f t="shared" si="46"/>
        <v>41403</v>
      </c>
      <c r="H18" s="6">
        <f t="shared" si="47"/>
        <v>41405</v>
      </c>
      <c r="I18" s="6">
        <f t="shared" ref="I18:J18" si="61">H18+H$6</f>
        <v>41407</v>
      </c>
      <c r="J18" s="6">
        <f t="shared" si="61"/>
        <v>41409</v>
      </c>
      <c r="K18" s="6">
        <f t="shared" si="48"/>
        <v>41411</v>
      </c>
      <c r="L18" s="6">
        <f t="shared" si="49"/>
        <v>41413</v>
      </c>
      <c r="M18" s="6">
        <f t="shared" si="49"/>
        <v>41415</v>
      </c>
      <c r="N18" s="6">
        <f t="shared" ref="N18:X18" si="62">M18+M$6</f>
        <v>41417</v>
      </c>
      <c r="O18" s="6">
        <f t="shared" si="62"/>
        <v>41419</v>
      </c>
      <c r="P18" s="6">
        <f t="shared" si="62"/>
        <v>41421</v>
      </c>
      <c r="Q18" s="6">
        <f t="shared" si="50"/>
        <v>41423</v>
      </c>
      <c r="R18" s="6">
        <f t="shared" si="50"/>
        <v>41425</v>
      </c>
      <c r="S18" s="6">
        <f t="shared" si="62"/>
        <v>41427</v>
      </c>
      <c r="T18" s="6">
        <f t="shared" si="62"/>
        <v>41429</v>
      </c>
      <c r="U18" s="6">
        <f t="shared" si="62"/>
        <v>41431</v>
      </c>
      <c r="V18" s="6">
        <f t="shared" si="62"/>
        <v>41433</v>
      </c>
      <c r="W18" s="6">
        <f t="shared" si="62"/>
        <v>41435</v>
      </c>
      <c r="X18" s="6">
        <f t="shared" si="62"/>
        <v>41437</v>
      </c>
      <c r="Y18" s="6">
        <f t="shared" si="28"/>
        <v>41439</v>
      </c>
      <c r="Z18" s="6">
        <f t="shared" si="53"/>
        <v>41441</v>
      </c>
      <c r="AA18" s="14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14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</row>
    <row r="19" spans="1:68" x14ac:dyDescent="0.25">
      <c r="A19" s="3">
        <v>12</v>
      </c>
      <c r="B19" s="3" t="s">
        <v>335</v>
      </c>
      <c r="C19" s="36" t="s">
        <v>75</v>
      </c>
      <c r="D19" s="3" t="s">
        <v>324</v>
      </c>
      <c r="E19" s="4">
        <f t="shared" si="54"/>
        <v>41600</v>
      </c>
      <c r="F19" s="6">
        <f t="shared" si="45"/>
        <v>41601</v>
      </c>
      <c r="G19" s="6">
        <f t="shared" si="46"/>
        <v>41603</v>
      </c>
      <c r="H19" s="6">
        <f t="shared" si="47"/>
        <v>41605</v>
      </c>
      <c r="I19" s="6">
        <f t="shared" ref="I19:J19" si="63">H19+H$6</f>
        <v>41607</v>
      </c>
      <c r="J19" s="6">
        <f t="shared" si="63"/>
        <v>41609</v>
      </c>
      <c r="K19" s="6">
        <f t="shared" si="48"/>
        <v>41611</v>
      </c>
      <c r="L19" s="6">
        <f t="shared" si="49"/>
        <v>41613</v>
      </c>
      <c r="M19" s="6">
        <f t="shared" si="49"/>
        <v>41615</v>
      </c>
      <c r="N19" s="6">
        <f t="shared" ref="N19:X19" si="64">M19+M$6</f>
        <v>41617</v>
      </c>
      <c r="O19" s="6">
        <f t="shared" si="64"/>
        <v>41619</v>
      </c>
      <c r="P19" s="6">
        <f t="shared" si="64"/>
        <v>41621</v>
      </c>
      <c r="Q19" s="6">
        <f t="shared" si="50"/>
        <v>41623</v>
      </c>
      <c r="R19" s="6">
        <f t="shared" si="50"/>
        <v>41625</v>
      </c>
      <c r="S19" s="6">
        <f t="shared" si="64"/>
        <v>41627</v>
      </c>
      <c r="T19" s="6">
        <f t="shared" si="64"/>
        <v>41629</v>
      </c>
      <c r="U19" s="6">
        <f t="shared" si="64"/>
        <v>41631</v>
      </c>
      <c r="V19" s="6">
        <f t="shared" si="64"/>
        <v>41633</v>
      </c>
      <c r="W19" s="6">
        <f t="shared" si="64"/>
        <v>41635</v>
      </c>
      <c r="X19" s="6">
        <f t="shared" si="64"/>
        <v>41637</v>
      </c>
      <c r="Y19" s="6">
        <f t="shared" si="28"/>
        <v>41639</v>
      </c>
      <c r="Z19" s="6">
        <f t="shared" si="53"/>
        <v>41641</v>
      </c>
      <c r="AA19" s="14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14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</row>
    <row r="20" spans="1:68" x14ac:dyDescent="0.25">
      <c r="A20" s="3">
        <v>13</v>
      </c>
      <c r="B20" s="3" t="s">
        <v>335</v>
      </c>
      <c r="C20" s="3" t="s">
        <v>226</v>
      </c>
      <c r="D20" s="3" t="s">
        <v>320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</row>
    <row r="21" spans="1:68" x14ac:dyDescent="0.25">
      <c r="A21" s="3">
        <v>14</v>
      </c>
      <c r="B21" s="3" t="s">
        <v>335</v>
      </c>
      <c r="C21" s="10" t="s">
        <v>268</v>
      </c>
      <c r="D21" s="10" t="s">
        <v>320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</row>
    <row r="22" spans="1:68" x14ac:dyDescent="0.25">
      <c r="A22" s="3">
        <v>15</v>
      </c>
      <c r="B22" s="3" t="s">
        <v>335</v>
      </c>
      <c r="C22" s="36" t="s">
        <v>76</v>
      </c>
      <c r="D22" s="3" t="s">
        <v>320</v>
      </c>
      <c r="E22" s="4">
        <f>E19+$E$2</f>
        <v>41800</v>
      </c>
      <c r="F22" s="6">
        <f t="shared" si="45"/>
        <v>41801</v>
      </c>
      <c r="G22" s="6">
        <f t="shared" ref="G22:G27" si="65">F22+F$6</f>
        <v>41803</v>
      </c>
      <c r="H22" s="6">
        <f t="shared" ref="H22:H27" si="66">G22+G$6</f>
        <v>41805</v>
      </c>
      <c r="I22" s="6">
        <f t="shared" ref="I22:J22" si="67">H22+H$6</f>
        <v>41807</v>
      </c>
      <c r="J22" s="6">
        <f t="shared" si="67"/>
        <v>41809</v>
      </c>
      <c r="K22" s="6">
        <f t="shared" ref="K22:K27" si="68">J22+J$6</f>
        <v>41811</v>
      </c>
      <c r="L22" s="6">
        <f t="shared" ref="L22:M27" si="69">K22+K$6</f>
        <v>41813</v>
      </c>
      <c r="M22" s="6">
        <f t="shared" si="69"/>
        <v>41815</v>
      </c>
      <c r="N22" s="6">
        <f t="shared" ref="N22:X26" si="70">M22+M$6</f>
        <v>41817</v>
      </c>
      <c r="O22" s="6">
        <f t="shared" si="70"/>
        <v>41819</v>
      </c>
      <c r="P22" s="6">
        <f t="shared" si="70"/>
        <v>41821</v>
      </c>
      <c r="Q22" s="6">
        <f t="shared" si="70"/>
        <v>41823</v>
      </c>
      <c r="R22" s="6">
        <f t="shared" si="70"/>
        <v>41825</v>
      </c>
      <c r="S22" s="6">
        <f t="shared" si="70"/>
        <v>41827</v>
      </c>
      <c r="T22" s="6">
        <f t="shared" si="70"/>
        <v>41829</v>
      </c>
      <c r="U22" s="6">
        <f t="shared" si="70"/>
        <v>41831</v>
      </c>
      <c r="V22" s="6">
        <f t="shared" si="70"/>
        <v>41833</v>
      </c>
      <c r="W22" s="6">
        <f t="shared" si="70"/>
        <v>41835</v>
      </c>
      <c r="X22" s="6">
        <f t="shared" si="70"/>
        <v>41837</v>
      </c>
      <c r="Y22" s="6">
        <f t="shared" si="28"/>
        <v>41839</v>
      </c>
      <c r="Z22" s="6">
        <f t="shared" si="53"/>
        <v>41841</v>
      </c>
      <c r="AA22" s="14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14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</row>
    <row r="23" spans="1:68" x14ac:dyDescent="0.25">
      <c r="A23" s="3">
        <v>16</v>
      </c>
      <c r="B23" s="3" t="s">
        <v>335</v>
      </c>
      <c r="C23" s="36" t="s">
        <v>77</v>
      </c>
      <c r="D23" s="3" t="s">
        <v>320</v>
      </c>
      <c r="E23" s="4">
        <f t="shared" ref="E23:E27" si="71">E22+$E$2</f>
        <v>42000</v>
      </c>
      <c r="F23" s="6">
        <f t="shared" si="45"/>
        <v>42001</v>
      </c>
      <c r="G23" s="6">
        <f t="shared" si="65"/>
        <v>42003</v>
      </c>
      <c r="H23" s="6">
        <f t="shared" si="66"/>
        <v>42005</v>
      </c>
      <c r="I23" s="6">
        <f t="shared" ref="I23:J23" si="72">H23+H$6</f>
        <v>42007</v>
      </c>
      <c r="J23" s="6">
        <f t="shared" si="72"/>
        <v>42009</v>
      </c>
      <c r="K23" s="6">
        <f t="shared" si="68"/>
        <v>42011</v>
      </c>
      <c r="L23" s="6">
        <f t="shared" si="69"/>
        <v>42013</v>
      </c>
      <c r="M23" s="6">
        <f t="shared" si="69"/>
        <v>42015</v>
      </c>
      <c r="N23" s="6">
        <f t="shared" ref="N23:BP27" si="73">M23+M$6</f>
        <v>42017</v>
      </c>
      <c r="O23" s="6">
        <f t="shared" si="73"/>
        <v>42019</v>
      </c>
      <c r="P23" s="6">
        <f t="shared" si="73"/>
        <v>42021</v>
      </c>
      <c r="Q23" s="6">
        <f t="shared" si="70"/>
        <v>42023</v>
      </c>
      <c r="R23" s="6">
        <f t="shared" si="70"/>
        <v>42025</v>
      </c>
      <c r="S23" s="6">
        <f t="shared" si="73"/>
        <v>42027</v>
      </c>
      <c r="T23" s="6">
        <f t="shared" si="73"/>
        <v>42029</v>
      </c>
      <c r="U23" s="6">
        <f t="shared" si="73"/>
        <v>42031</v>
      </c>
      <c r="V23" s="6">
        <f t="shared" si="73"/>
        <v>42033</v>
      </c>
      <c r="W23" s="6">
        <f t="shared" si="73"/>
        <v>42035</v>
      </c>
      <c r="X23" s="6">
        <f t="shared" si="73"/>
        <v>42037</v>
      </c>
      <c r="Y23" s="6">
        <f t="shared" si="28"/>
        <v>42039</v>
      </c>
      <c r="Z23" s="6">
        <f t="shared" si="53"/>
        <v>42041</v>
      </c>
      <c r="AA23" s="14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14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</row>
    <row r="24" spans="1:68" x14ac:dyDescent="0.25">
      <c r="A24" s="3">
        <v>17</v>
      </c>
      <c r="B24" s="3" t="s">
        <v>335</v>
      </c>
      <c r="C24" s="36" t="s">
        <v>78</v>
      </c>
      <c r="D24" s="3" t="s">
        <v>320</v>
      </c>
      <c r="E24" s="4">
        <f t="shared" si="71"/>
        <v>42200</v>
      </c>
      <c r="F24" s="6">
        <f t="shared" si="45"/>
        <v>42201</v>
      </c>
      <c r="G24" s="6">
        <f t="shared" si="65"/>
        <v>42203</v>
      </c>
      <c r="H24" s="6">
        <f t="shared" si="66"/>
        <v>42205</v>
      </c>
      <c r="I24" s="6">
        <f t="shared" ref="I24:J24" si="74">H24+H$6</f>
        <v>42207</v>
      </c>
      <c r="J24" s="6">
        <f t="shared" si="74"/>
        <v>42209</v>
      </c>
      <c r="K24" s="6">
        <f t="shared" si="68"/>
        <v>42211</v>
      </c>
      <c r="L24" s="6">
        <f t="shared" si="69"/>
        <v>42213</v>
      </c>
      <c r="M24" s="6">
        <f t="shared" si="69"/>
        <v>42215</v>
      </c>
      <c r="N24" s="6">
        <f t="shared" ref="N24:X24" si="75">M24+M$6</f>
        <v>42217</v>
      </c>
      <c r="O24" s="6">
        <f t="shared" si="75"/>
        <v>42219</v>
      </c>
      <c r="P24" s="6">
        <f t="shared" si="75"/>
        <v>42221</v>
      </c>
      <c r="Q24" s="6">
        <f t="shared" si="70"/>
        <v>42223</v>
      </c>
      <c r="R24" s="6">
        <f t="shared" si="70"/>
        <v>42225</v>
      </c>
      <c r="S24" s="6">
        <f t="shared" si="75"/>
        <v>42227</v>
      </c>
      <c r="T24" s="6">
        <f t="shared" si="75"/>
        <v>42229</v>
      </c>
      <c r="U24" s="6">
        <f t="shared" si="75"/>
        <v>42231</v>
      </c>
      <c r="V24" s="6">
        <f t="shared" si="75"/>
        <v>42233</v>
      </c>
      <c r="W24" s="6">
        <f t="shared" si="75"/>
        <v>42235</v>
      </c>
      <c r="X24" s="6">
        <f t="shared" si="75"/>
        <v>42237</v>
      </c>
      <c r="Y24" s="6">
        <f t="shared" si="28"/>
        <v>42239</v>
      </c>
      <c r="Z24" s="6">
        <f t="shared" si="53"/>
        <v>42241</v>
      </c>
      <c r="AA24" s="14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14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</row>
    <row r="25" spans="1:68" x14ac:dyDescent="0.25">
      <c r="A25" s="3">
        <v>18</v>
      </c>
      <c r="B25" s="3" t="s">
        <v>335</v>
      </c>
      <c r="C25" s="36" t="s">
        <v>79</v>
      </c>
      <c r="D25" s="3" t="s">
        <v>320</v>
      </c>
      <c r="E25" s="4">
        <f t="shared" si="71"/>
        <v>42400</v>
      </c>
      <c r="F25" s="6">
        <f t="shared" si="45"/>
        <v>42401</v>
      </c>
      <c r="G25" s="6">
        <f t="shared" si="65"/>
        <v>42403</v>
      </c>
      <c r="H25" s="6">
        <f t="shared" si="66"/>
        <v>42405</v>
      </c>
      <c r="I25" s="6">
        <f t="shared" ref="I25:J25" si="76">H25+H$6</f>
        <v>42407</v>
      </c>
      <c r="J25" s="6">
        <f t="shared" si="76"/>
        <v>42409</v>
      </c>
      <c r="K25" s="6">
        <f t="shared" si="68"/>
        <v>42411</v>
      </c>
      <c r="L25" s="6">
        <f t="shared" si="69"/>
        <v>42413</v>
      </c>
      <c r="M25" s="6">
        <f t="shared" si="69"/>
        <v>42415</v>
      </c>
      <c r="N25" s="6">
        <f t="shared" ref="N25:Y40" si="77">M25+M$6</f>
        <v>42417</v>
      </c>
      <c r="O25" s="6">
        <f t="shared" si="77"/>
        <v>42419</v>
      </c>
      <c r="P25" s="6">
        <f t="shared" si="77"/>
        <v>42421</v>
      </c>
      <c r="Q25" s="6">
        <f t="shared" si="70"/>
        <v>42423</v>
      </c>
      <c r="R25" s="6">
        <f t="shared" si="70"/>
        <v>42425</v>
      </c>
      <c r="S25" s="6">
        <f t="shared" si="77"/>
        <v>42427</v>
      </c>
      <c r="T25" s="6">
        <f t="shared" si="77"/>
        <v>42429</v>
      </c>
      <c r="U25" s="6">
        <f t="shared" si="77"/>
        <v>42431</v>
      </c>
      <c r="V25" s="6">
        <f t="shared" si="77"/>
        <v>42433</v>
      </c>
      <c r="W25" s="6">
        <f t="shared" si="77"/>
        <v>42435</v>
      </c>
      <c r="X25" s="6">
        <f t="shared" si="77"/>
        <v>42437</v>
      </c>
      <c r="Y25" s="6">
        <f t="shared" si="77"/>
        <v>42439</v>
      </c>
      <c r="Z25" s="6">
        <f t="shared" si="53"/>
        <v>42441</v>
      </c>
      <c r="AA25" s="14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14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</row>
    <row r="26" spans="1:68" x14ac:dyDescent="0.25">
      <c r="A26" s="3">
        <v>19</v>
      </c>
      <c r="B26" s="3" t="s">
        <v>335</v>
      </c>
      <c r="C26" s="36" t="s">
        <v>80</v>
      </c>
      <c r="D26" s="3" t="s">
        <v>320</v>
      </c>
      <c r="E26" s="4">
        <f t="shared" si="71"/>
        <v>42600</v>
      </c>
      <c r="F26" s="6">
        <f t="shared" si="45"/>
        <v>42601</v>
      </c>
      <c r="G26" s="6">
        <f t="shared" si="65"/>
        <v>42603</v>
      </c>
      <c r="H26" s="6">
        <f t="shared" si="66"/>
        <v>42605</v>
      </c>
      <c r="I26" s="6">
        <f t="shared" ref="I26:J26" si="78">H26+H$6</f>
        <v>42607</v>
      </c>
      <c r="J26" s="6">
        <f t="shared" si="78"/>
        <v>42609</v>
      </c>
      <c r="K26" s="6">
        <f t="shared" si="68"/>
        <v>42611</v>
      </c>
      <c r="L26" s="6">
        <f t="shared" si="69"/>
        <v>42613</v>
      </c>
      <c r="M26" s="6">
        <f t="shared" si="69"/>
        <v>42615</v>
      </c>
      <c r="N26" s="6">
        <f t="shared" ref="N26:X26" si="79">M26+M$6</f>
        <v>42617</v>
      </c>
      <c r="O26" s="6">
        <f t="shared" si="79"/>
        <v>42619</v>
      </c>
      <c r="P26" s="6">
        <f t="shared" si="79"/>
        <v>42621</v>
      </c>
      <c r="Q26" s="6">
        <f t="shared" si="70"/>
        <v>42623</v>
      </c>
      <c r="R26" s="6">
        <f t="shared" si="70"/>
        <v>42625</v>
      </c>
      <c r="S26" s="6">
        <f t="shared" si="79"/>
        <v>42627</v>
      </c>
      <c r="T26" s="6">
        <f t="shared" si="79"/>
        <v>42629</v>
      </c>
      <c r="U26" s="6">
        <f t="shared" si="79"/>
        <v>42631</v>
      </c>
      <c r="V26" s="6">
        <f t="shared" si="79"/>
        <v>42633</v>
      </c>
      <c r="W26" s="6">
        <f t="shared" si="79"/>
        <v>42635</v>
      </c>
      <c r="X26" s="6">
        <f t="shared" si="79"/>
        <v>42637</v>
      </c>
      <c r="Y26" s="6">
        <f t="shared" si="77"/>
        <v>42639</v>
      </c>
      <c r="Z26" s="6">
        <f t="shared" si="53"/>
        <v>42641</v>
      </c>
      <c r="AA26" s="14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14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</row>
    <row r="27" spans="1:68" x14ac:dyDescent="0.25">
      <c r="A27" s="3">
        <v>20</v>
      </c>
      <c r="B27" s="3" t="s">
        <v>335</v>
      </c>
      <c r="C27" s="8" t="s">
        <v>54</v>
      </c>
      <c r="D27" s="8" t="s">
        <v>289</v>
      </c>
      <c r="E27" s="4">
        <f t="shared" si="71"/>
        <v>42800</v>
      </c>
      <c r="F27" s="6">
        <f>E27+1</f>
        <v>42801</v>
      </c>
      <c r="G27" s="6">
        <f t="shared" si="65"/>
        <v>42803</v>
      </c>
      <c r="H27" s="6">
        <f t="shared" si="66"/>
        <v>42805</v>
      </c>
      <c r="I27" s="6">
        <f t="shared" ref="I27:J27" si="80">H27+H$6</f>
        <v>42807</v>
      </c>
      <c r="J27" s="6">
        <f t="shared" si="80"/>
        <v>42809</v>
      </c>
      <c r="K27" s="6">
        <f t="shared" si="68"/>
        <v>42811</v>
      </c>
      <c r="L27" s="6">
        <f t="shared" si="69"/>
        <v>42813</v>
      </c>
      <c r="M27" s="6">
        <f t="shared" si="69"/>
        <v>42815</v>
      </c>
      <c r="N27" s="6">
        <f t="shared" ref="N27:X27" si="81">M27+M$6</f>
        <v>42817</v>
      </c>
      <c r="O27" s="6">
        <f t="shared" si="81"/>
        <v>42819</v>
      </c>
      <c r="P27" s="6">
        <f t="shared" si="81"/>
        <v>42821</v>
      </c>
      <c r="Q27" s="6">
        <f t="shared" ref="Q27" si="82">P27+P$6</f>
        <v>42823</v>
      </c>
      <c r="R27" s="6">
        <f t="shared" ref="R27" si="83">Q27+Q$6</f>
        <v>42825</v>
      </c>
      <c r="S27" s="6">
        <f t="shared" si="81"/>
        <v>42827</v>
      </c>
      <c r="T27" s="6">
        <f t="shared" si="81"/>
        <v>42829</v>
      </c>
      <c r="U27" s="6">
        <f t="shared" si="81"/>
        <v>42831</v>
      </c>
      <c r="V27" s="6">
        <f t="shared" si="81"/>
        <v>42833</v>
      </c>
      <c r="W27" s="6">
        <f t="shared" si="81"/>
        <v>42835</v>
      </c>
      <c r="X27" s="6">
        <f t="shared" si="81"/>
        <v>42837</v>
      </c>
      <c r="Y27" s="6">
        <f t="shared" si="77"/>
        <v>42839</v>
      </c>
      <c r="Z27" s="6"/>
      <c r="AA27" s="14">
        <f t="shared" ref="AA27:AA89" si="84">Y27+$Z$6+$Y$6</f>
        <v>42843</v>
      </c>
      <c r="AB27" s="6">
        <f t="shared" ref="AB27" si="85">AA27+AA$6</f>
        <v>42845</v>
      </c>
      <c r="AC27" s="6">
        <f t="shared" ref="AC27" si="86">AB27+AB$6</f>
        <v>42847</v>
      </c>
      <c r="AD27" s="6">
        <f t="shared" ref="AD27" si="87">AC27+AC$6</f>
        <v>42849</v>
      </c>
      <c r="AE27" s="6">
        <f t="shared" ref="AE27" si="88">AD27+AD$6</f>
        <v>42851</v>
      </c>
      <c r="AF27" s="6">
        <f t="shared" ref="AF27" si="89">AE27+AE$6</f>
        <v>42853</v>
      </c>
      <c r="AG27" s="6">
        <f t="shared" ref="AG27" si="90">AF27+AF$6</f>
        <v>42855</v>
      </c>
      <c r="AH27" s="6">
        <f t="shared" ref="AH27" si="91">AG27+AG$6</f>
        <v>42857</v>
      </c>
      <c r="AI27" s="6">
        <f t="shared" ref="AI27" si="92">AH27+AH$6</f>
        <v>42859</v>
      </c>
      <c r="AJ27" s="6">
        <f t="shared" ref="AJ27" si="93">AI27+AI$6</f>
        <v>42861</v>
      </c>
      <c r="AK27" s="6">
        <f t="shared" ref="AK27" si="94">AJ27+AJ$6</f>
        <v>42863</v>
      </c>
      <c r="AL27" s="6">
        <f t="shared" ref="AL27" si="95">AK27+AK$6</f>
        <v>42865</v>
      </c>
      <c r="AM27" s="6">
        <f t="shared" ref="AM27" si="96">AL27+AL$6</f>
        <v>42867</v>
      </c>
      <c r="AN27" s="6">
        <f t="shared" ref="AN27" si="97">AM27+AM$6</f>
        <v>42869</v>
      </c>
      <c r="AO27" s="6">
        <f t="shared" ref="AO27" si="98">AN27+AN$6</f>
        <v>42871</v>
      </c>
      <c r="AP27" s="6">
        <f t="shared" ref="AP27" si="99">AO27+AO$6</f>
        <v>42873</v>
      </c>
      <c r="AQ27" s="6">
        <f t="shared" ref="AQ27" si="100">AP27+AP$6</f>
        <v>42875</v>
      </c>
      <c r="AR27" s="6">
        <f t="shared" ref="AR27" si="101">AQ27+AQ$6</f>
        <v>42877</v>
      </c>
      <c r="AS27" s="14">
        <f t="shared" ref="AS27" si="102">AR27+AR$6</f>
        <v>42879</v>
      </c>
      <c r="AT27" s="6">
        <f t="shared" ref="AT27" si="103">AS27+AS$6</f>
        <v>42881</v>
      </c>
      <c r="AU27" s="6">
        <f t="shared" ref="AU27" si="104">AT27+AT$6</f>
        <v>42883</v>
      </c>
      <c r="AV27" s="6">
        <f t="shared" ref="AV27" si="105">AU27+AU$6</f>
        <v>42885</v>
      </c>
      <c r="AW27" s="6">
        <f t="shared" ref="AW27" si="106">AV27+AV$6</f>
        <v>42887</v>
      </c>
      <c r="AX27" s="6">
        <f t="shared" ref="AX27" si="107">AW27+AW$6</f>
        <v>42889</v>
      </c>
      <c r="AY27" s="6">
        <f t="shared" ref="AY27" si="108">AX27+AX$6</f>
        <v>42891</v>
      </c>
      <c r="AZ27" s="6">
        <f t="shared" ref="AZ27" si="109">AY27+AY$6</f>
        <v>42893</v>
      </c>
      <c r="BA27" s="6">
        <f t="shared" ref="BA27" si="110">AZ27+AZ$6</f>
        <v>42895</v>
      </c>
      <c r="BB27" s="6">
        <f t="shared" ref="BB27" si="111">BA27+BA$6</f>
        <v>42897</v>
      </c>
      <c r="BC27" s="6">
        <f t="shared" ref="BC27" si="112">BB27+BB$6</f>
        <v>42899</v>
      </c>
      <c r="BD27" s="6">
        <f t="shared" ref="BD27" si="113">BC27+BC$6</f>
        <v>42901</v>
      </c>
      <c r="BE27" s="6">
        <f t="shared" ref="BE27" si="114">BD27+BD$6</f>
        <v>42903</v>
      </c>
      <c r="BF27" s="6">
        <f t="shared" ref="BF27" si="115">BE27+BE$6</f>
        <v>42905</v>
      </c>
      <c r="BG27" s="6">
        <f t="shared" ref="BG27" si="116">BF27+BF$6</f>
        <v>42907</v>
      </c>
      <c r="BH27" s="6">
        <f t="shared" ref="BH27" si="117">BG27+BG$6</f>
        <v>42909</v>
      </c>
      <c r="BI27" s="6">
        <f t="shared" ref="BI27" si="118">BH27+BH$6</f>
        <v>42911</v>
      </c>
      <c r="BJ27" s="6">
        <f t="shared" ref="BJ27" si="119">BI27+BI$6</f>
        <v>42913</v>
      </c>
      <c r="BK27" s="6">
        <f t="shared" si="73"/>
        <v>42915</v>
      </c>
      <c r="BL27" s="6">
        <f t="shared" si="73"/>
        <v>42917</v>
      </c>
      <c r="BM27" s="6">
        <f t="shared" si="73"/>
        <v>42919</v>
      </c>
      <c r="BN27" s="6">
        <f t="shared" si="73"/>
        <v>42921</v>
      </c>
      <c r="BO27" s="6">
        <f t="shared" si="73"/>
        <v>42923</v>
      </c>
      <c r="BP27" s="6">
        <f t="shared" si="73"/>
        <v>42925</v>
      </c>
    </row>
    <row r="28" spans="1:68" x14ac:dyDescent="0.25">
      <c r="A28" s="3">
        <v>21</v>
      </c>
      <c r="B28" s="3" t="s">
        <v>335</v>
      </c>
      <c r="C28" s="3" t="s">
        <v>227</v>
      </c>
      <c r="D28" s="3" t="s">
        <v>289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</row>
    <row r="29" spans="1:68" x14ac:dyDescent="0.25">
      <c r="A29" s="3">
        <v>22</v>
      </c>
      <c r="B29" s="3" t="s">
        <v>335</v>
      </c>
      <c r="C29" s="3" t="s">
        <v>251</v>
      </c>
      <c r="D29" s="3" t="s">
        <v>303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</row>
    <row r="30" spans="1:68" x14ac:dyDescent="0.25">
      <c r="A30" s="3">
        <v>23</v>
      </c>
      <c r="B30" s="3" t="s">
        <v>335</v>
      </c>
      <c r="C30" s="3" t="s">
        <v>259</v>
      </c>
      <c r="D30" s="3" t="s">
        <v>311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</row>
    <row r="31" spans="1:68" x14ac:dyDescent="0.25">
      <c r="A31" s="3">
        <v>24</v>
      </c>
      <c r="B31" s="3" t="s">
        <v>335</v>
      </c>
      <c r="C31" s="36" t="s">
        <v>81</v>
      </c>
      <c r="D31" s="3" t="s">
        <v>289</v>
      </c>
      <c r="E31" s="4">
        <f>E27+$E$2</f>
        <v>43000</v>
      </c>
      <c r="F31" s="6">
        <f t="shared" si="45"/>
        <v>43001</v>
      </c>
      <c r="G31" s="6">
        <f t="shared" ref="G31:G35" si="120">F31+F$6</f>
        <v>43003</v>
      </c>
      <c r="H31" s="6">
        <f t="shared" ref="H31:H35" si="121">G31+G$6</f>
        <v>43005</v>
      </c>
      <c r="I31" s="6">
        <f t="shared" ref="I31:J31" si="122">H31+H$6</f>
        <v>43007</v>
      </c>
      <c r="J31" s="6">
        <f t="shared" si="122"/>
        <v>43009</v>
      </c>
      <c r="K31" s="6">
        <f t="shared" ref="K31:K35" si="123">J31+J$6</f>
        <v>43011</v>
      </c>
      <c r="L31" s="6">
        <f t="shared" ref="L31:M35" si="124">K31+K$6</f>
        <v>43013</v>
      </c>
      <c r="M31" s="6">
        <f t="shared" si="124"/>
        <v>43015</v>
      </c>
      <c r="N31" s="6">
        <f t="shared" ref="N31:X35" si="125">M31+M$6</f>
        <v>43017</v>
      </c>
      <c r="O31" s="6">
        <f t="shared" si="125"/>
        <v>43019</v>
      </c>
      <c r="P31" s="6">
        <f t="shared" si="125"/>
        <v>43021</v>
      </c>
      <c r="Q31" s="6">
        <f t="shared" si="125"/>
        <v>43023</v>
      </c>
      <c r="R31" s="6">
        <f t="shared" si="125"/>
        <v>43025</v>
      </c>
      <c r="S31" s="6">
        <f t="shared" si="125"/>
        <v>43027</v>
      </c>
      <c r="T31" s="6">
        <f t="shared" si="125"/>
        <v>43029</v>
      </c>
      <c r="U31" s="6">
        <f t="shared" si="125"/>
        <v>43031</v>
      </c>
      <c r="V31" s="6">
        <f t="shared" si="125"/>
        <v>43033</v>
      </c>
      <c r="W31" s="6">
        <f t="shared" si="125"/>
        <v>43035</v>
      </c>
      <c r="X31" s="6">
        <f t="shared" si="125"/>
        <v>43037</v>
      </c>
      <c r="Y31" s="6">
        <f t="shared" si="77"/>
        <v>43039</v>
      </c>
      <c r="Z31" s="6">
        <f t="shared" si="53"/>
        <v>43041</v>
      </c>
      <c r="AA31" s="14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14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</row>
    <row r="32" spans="1:68" x14ac:dyDescent="0.25">
      <c r="A32" s="3">
        <v>25</v>
      </c>
      <c r="B32" s="3" t="s">
        <v>335</v>
      </c>
      <c r="C32" s="36" t="s">
        <v>82</v>
      </c>
      <c r="D32" s="3" t="s">
        <v>289</v>
      </c>
      <c r="E32" s="4">
        <f t="shared" ref="E32:E56" si="126">E31+$E$2</f>
        <v>43200</v>
      </c>
      <c r="F32" s="6">
        <f t="shared" si="45"/>
        <v>43201</v>
      </c>
      <c r="G32" s="6">
        <f t="shared" si="120"/>
        <v>43203</v>
      </c>
      <c r="H32" s="6">
        <f t="shared" si="121"/>
        <v>43205</v>
      </c>
      <c r="I32" s="6">
        <f t="shared" ref="I32:J32" si="127">H32+H$6</f>
        <v>43207</v>
      </c>
      <c r="J32" s="6">
        <f t="shared" si="127"/>
        <v>43209</v>
      </c>
      <c r="K32" s="6">
        <f t="shared" si="123"/>
        <v>43211</v>
      </c>
      <c r="L32" s="6">
        <f t="shared" si="124"/>
        <v>43213</v>
      </c>
      <c r="M32" s="6">
        <f t="shared" si="124"/>
        <v>43215</v>
      </c>
      <c r="N32" s="6">
        <f t="shared" ref="N32:X32" si="128">M32+M$6</f>
        <v>43217</v>
      </c>
      <c r="O32" s="6">
        <f t="shared" si="128"/>
        <v>43219</v>
      </c>
      <c r="P32" s="6">
        <f t="shared" si="128"/>
        <v>43221</v>
      </c>
      <c r="Q32" s="6">
        <f t="shared" si="125"/>
        <v>43223</v>
      </c>
      <c r="R32" s="6">
        <f t="shared" si="125"/>
        <v>43225</v>
      </c>
      <c r="S32" s="6">
        <f t="shared" si="128"/>
        <v>43227</v>
      </c>
      <c r="T32" s="6">
        <f t="shared" si="128"/>
        <v>43229</v>
      </c>
      <c r="U32" s="6">
        <f t="shared" si="128"/>
        <v>43231</v>
      </c>
      <c r="V32" s="6">
        <f t="shared" si="128"/>
        <v>43233</v>
      </c>
      <c r="W32" s="6">
        <f t="shared" si="128"/>
        <v>43235</v>
      </c>
      <c r="X32" s="6">
        <f t="shared" si="128"/>
        <v>43237</v>
      </c>
      <c r="Y32" s="6">
        <f t="shared" si="77"/>
        <v>43239</v>
      </c>
      <c r="Z32" s="6">
        <f t="shared" si="53"/>
        <v>43241</v>
      </c>
      <c r="AA32" s="14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14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</row>
    <row r="33" spans="1:68" x14ac:dyDescent="0.25">
      <c r="A33" s="3">
        <v>26</v>
      </c>
      <c r="B33" s="3" t="s">
        <v>335</v>
      </c>
      <c r="C33" s="36" t="s">
        <v>83</v>
      </c>
      <c r="D33" s="3" t="s">
        <v>289</v>
      </c>
      <c r="E33" s="4">
        <f t="shared" si="126"/>
        <v>43400</v>
      </c>
      <c r="F33" s="6">
        <f t="shared" si="45"/>
        <v>43401</v>
      </c>
      <c r="G33" s="6">
        <f t="shared" si="120"/>
        <v>43403</v>
      </c>
      <c r="H33" s="6">
        <f t="shared" si="121"/>
        <v>43405</v>
      </c>
      <c r="I33" s="6">
        <f t="shared" ref="I33:J33" si="129">H33+H$6</f>
        <v>43407</v>
      </c>
      <c r="J33" s="6">
        <f t="shared" si="129"/>
        <v>43409</v>
      </c>
      <c r="K33" s="6">
        <f t="shared" si="123"/>
        <v>43411</v>
      </c>
      <c r="L33" s="6">
        <f t="shared" si="124"/>
        <v>43413</v>
      </c>
      <c r="M33" s="6">
        <f t="shared" si="124"/>
        <v>43415</v>
      </c>
      <c r="N33" s="6">
        <f t="shared" ref="N33:X33" si="130">M33+M$6</f>
        <v>43417</v>
      </c>
      <c r="O33" s="6">
        <f t="shared" si="130"/>
        <v>43419</v>
      </c>
      <c r="P33" s="6">
        <f t="shared" si="130"/>
        <v>43421</v>
      </c>
      <c r="Q33" s="6">
        <f t="shared" si="125"/>
        <v>43423</v>
      </c>
      <c r="R33" s="6">
        <f t="shared" si="125"/>
        <v>43425</v>
      </c>
      <c r="S33" s="6">
        <f t="shared" si="130"/>
        <v>43427</v>
      </c>
      <c r="T33" s="6">
        <f t="shared" si="130"/>
        <v>43429</v>
      </c>
      <c r="U33" s="6">
        <f t="shared" si="130"/>
        <v>43431</v>
      </c>
      <c r="V33" s="6">
        <f t="shared" si="130"/>
        <v>43433</v>
      </c>
      <c r="W33" s="6">
        <f t="shared" si="130"/>
        <v>43435</v>
      </c>
      <c r="X33" s="6">
        <f t="shared" si="130"/>
        <v>43437</v>
      </c>
      <c r="Y33" s="6">
        <f t="shared" si="77"/>
        <v>43439</v>
      </c>
      <c r="Z33" s="6">
        <f t="shared" si="53"/>
        <v>43441</v>
      </c>
      <c r="AA33" s="14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14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</row>
    <row r="34" spans="1:68" x14ac:dyDescent="0.25">
      <c r="A34" s="3">
        <v>27</v>
      </c>
      <c r="B34" s="3" t="s">
        <v>335</v>
      </c>
      <c r="C34" s="36" t="s">
        <v>84</v>
      </c>
      <c r="D34" s="3" t="s">
        <v>289</v>
      </c>
      <c r="E34" s="4">
        <f t="shared" si="126"/>
        <v>43600</v>
      </c>
      <c r="F34" s="6">
        <f t="shared" si="45"/>
        <v>43601</v>
      </c>
      <c r="G34" s="6">
        <f t="shared" si="120"/>
        <v>43603</v>
      </c>
      <c r="H34" s="6">
        <f t="shared" si="121"/>
        <v>43605</v>
      </c>
      <c r="I34" s="6">
        <f t="shared" ref="I34:J34" si="131">H34+H$6</f>
        <v>43607</v>
      </c>
      <c r="J34" s="6">
        <f t="shared" si="131"/>
        <v>43609</v>
      </c>
      <c r="K34" s="6">
        <f t="shared" si="123"/>
        <v>43611</v>
      </c>
      <c r="L34" s="6">
        <f t="shared" si="124"/>
        <v>43613</v>
      </c>
      <c r="M34" s="6">
        <f t="shared" si="124"/>
        <v>43615</v>
      </c>
      <c r="N34" s="6">
        <f t="shared" ref="N34:X34" si="132">M34+M$6</f>
        <v>43617</v>
      </c>
      <c r="O34" s="6">
        <f t="shared" si="132"/>
        <v>43619</v>
      </c>
      <c r="P34" s="6">
        <f t="shared" si="132"/>
        <v>43621</v>
      </c>
      <c r="Q34" s="6">
        <f t="shared" si="125"/>
        <v>43623</v>
      </c>
      <c r="R34" s="6">
        <f t="shared" si="125"/>
        <v>43625</v>
      </c>
      <c r="S34" s="6">
        <f t="shared" si="132"/>
        <v>43627</v>
      </c>
      <c r="T34" s="6">
        <f t="shared" si="132"/>
        <v>43629</v>
      </c>
      <c r="U34" s="6">
        <f t="shared" si="132"/>
        <v>43631</v>
      </c>
      <c r="V34" s="6">
        <f t="shared" si="132"/>
        <v>43633</v>
      </c>
      <c r="W34" s="6">
        <f t="shared" si="132"/>
        <v>43635</v>
      </c>
      <c r="X34" s="6">
        <f t="shared" si="132"/>
        <v>43637</v>
      </c>
      <c r="Y34" s="6">
        <f t="shared" si="77"/>
        <v>43639</v>
      </c>
      <c r="Z34" s="6">
        <f t="shared" si="53"/>
        <v>43641</v>
      </c>
      <c r="AA34" s="14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14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</row>
    <row r="35" spans="1:68" x14ac:dyDescent="0.25">
      <c r="A35" s="3">
        <v>28</v>
      </c>
      <c r="B35" s="3" t="s">
        <v>335</v>
      </c>
      <c r="C35" s="36" t="s">
        <v>85</v>
      </c>
      <c r="D35" s="3" t="s">
        <v>289</v>
      </c>
      <c r="E35" s="4">
        <f t="shared" si="126"/>
        <v>43800</v>
      </c>
      <c r="F35" s="6">
        <f t="shared" si="45"/>
        <v>43801</v>
      </c>
      <c r="G35" s="6">
        <f t="shared" si="120"/>
        <v>43803</v>
      </c>
      <c r="H35" s="6">
        <f t="shared" si="121"/>
        <v>43805</v>
      </c>
      <c r="I35" s="6">
        <f t="shared" ref="I35:J35" si="133">H35+H$6</f>
        <v>43807</v>
      </c>
      <c r="J35" s="6">
        <f t="shared" si="133"/>
        <v>43809</v>
      </c>
      <c r="K35" s="6">
        <f t="shared" si="123"/>
        <v>43811</v>
      </c>
      <c r="L35" s="6">
        <f t="shared" si="124"/>
        <v>43813</v>
      </c>
      <c r="M35" s="6">
        <f t="shared" si="124"/>
        <v>43815</v>
      </c>
      <c r="N35" s="6">
        <f t="shared" ref="N35:X35" si="134">M35+M$6</f>
        <v>43817</v>
      </c>
      <c r="O35" s="6">
        <f t="shared" si="134"/>
        <v>43819</v>
      </c>
      <c r="P35" s="6">
        <f t="shared" si="134"/>
        <v>43821</v>
      </c>
      <c r="Q35" s="6">
        <f t="shared" si="125"/>
        <v>43823</v>
      </c>
      <c r="R35" s="6">
        <f t="shared" si="125"/>
        <v>43825</v>
      </c>
      <c r="S35" s="6">
        <f t="shared" si="134"/>
        <v>43827</v>
      </c>
      <c r="T35" s="6">
        <f t="shared" si="134"/>
        <v>43829</v>
      </c>
      <c r="U35" s="6">
        <f t="shared" si="134"/>
        <v>43831</v>
      </c>
      <c r="V35" s="6">
        <f t="shared" si="134"/>
        <v>43833</v>
      </c>
      <c r="W35" s="6">
        <f t="shared" si="134"/>
        <v>43835</v>
      </c>
      <c r="X35" s="6">
        <f t="shared" si="134"/>
        <v>43837</v>
      </c>
      <c r="Y35" s="6">
        <f t="shared" si="77"/>
        <v>43839</v>
      </c>
      <c r="Z35" s="6">
        <f t="shared" si="53"/>
        <v>43841</v>
      </c>
      <c r="AA35" s="14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14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</row>
    <row r="36" spans="1:68" x14ac:dyDescent="0.25">
      <c r="A36" s="3">
        <v>29</v>
      </c>
      <c r="B36" s="3" t="s">
        <v>335</v>
      </c>
      <c r="C36" s="3" t="s">
        <v>228</v>
      </c>
      <c r="D36" s="3" t="s">
        <v>325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</row>
    <row r="37" spans="1:68" x14ac:dyDescent="0.25">
      <c r="A37" s="3">
        <v>30</v>
      </c>
      <c r="B37" s="3" t="s">
        <v>335</v>
      </c>
      <c r="C37" s="36" t="s">
        <v>86</v>
      </c>
      <c r="D37" s="3" t="s">
        <v>325</v>
      </c>
      <c r="E37" s="4">
        <f>E35+$E$2</f>
        <v>44000</v>
      </c>
      <c r="F37" s="6">
        <f t="shared" si="45"/>
        <v>44001</v>
      </c>
      <c r="G37" s="6">
        <f t="shared" ref="G37" si="135">F37+F$6</f>
        <v>44003</v>
      </c>
      <c r="H37" s="6">
        <f t="shared" ref="H37:J46" si="136">G37+G$6</f>
        <v>44005</v>
      </c>
      <c r="I37" s="6">
        <f t="shared" si="136"/>
        <v>44007</v>
      </c>
      <c r="J37" s="6">
        <f t="shared" si="136"/>
        <v>44009</v>
      </c>
      <c r="K37" s="6">
        <f t="shared" ref="K37" si="137">J37+J$6</f>
        <v>44011</v>
      </c>
      <c r="L37" s="6">
        <f t="shared" ref="L37" si="138">K37+K$6</f>
        <v>44013</v>
      </c>
      <c r="M37" s="6">
        <f t="shared" ref="M37" si="139">L37+L$6</f>
        <v>44015</v>
      </c>
      <c r="N37" s="6">
        <f t="shared" ref="N37:X46" si="140">M37+M$6</f>
        <v>44017</v>
      </c>
      <c r="O37" s="6">
        <f t="shared" si="140"/>
        <v>44019</v>
      </c>
      <c r="P37" s="6">
        <f t="shared" si="140"/>
        <v>44021</v>
      </c>
      <c r="Q37" s="6">
        <f t="shared" si="140"/>
        <v>44023</v>
      </c>
      <c r="R37" s="6">
        <f t="shared" si="140"/>
        <v>44025</v>
      </c>
      <c r="S37" s="6">
        <f t="shared" si="140"/>
        <v>44027</v>
      </c>
      <c r="T37" s="6">
        <f t="shared" si="140"/>
        <v>44029</v>
      </c>
      <c r="U37" s="6">
        <f t="shared" si="140"/>
        <v>44031</v>
      </c>
      <c r="V37" s="6">
        <f t="shared" si="140"/>
        <v>44033</v>
      </c>
      <c r="W37" s="6">
        <f t="shared" si="140"/>
        <v>44035</v>
      </c>
      <c r="X37" s="6">
        <f t="shared" si="140"/>
        <v>44037</v>
      </c>
      <c r="Y37" s="6">
        <f t="shared" si="77"/>
        <v>44039</v>
      </c>
      <c r="Z37" s="6">
        <f t="shared" si="53"/>
        <v>44041</v>
      </c>
      <c r="AA37" s="14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14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</row>
    <row r="38" spans="1:68" x14ac:dyDescent="0.25">
      <c r="A38" s="3">
        <v>31</v>
      </c>
      <c r="B38" s="3" t="s">
        <v>335</v>
      </c>
      <c r="C38" s="36" t="s">
        <v>87</v>
      </c>
      <c r="D38" s="3" t="s">
        <v>325</v>
      </c>
      <c r="E38" s="4">
        <f t="shared" si="126"/>
        <v>44200</v>
      </c>
      <c r="F38" s="6">
        <f t="shared" si="45"/>
        <v>44201</v>
      </c>
      <c r="G38" s="6">
        <f t="shared" ref="G38:G46" si="141">F38+F$6</f>
        <v>44203</v>
      </c>
      <c r="H38" s="6">
        <f t="shared" ref="H38:H46" si="142">G38+G$6</f>
        <v>44205</v>
      </c>
      <c r="I38" s="6">
        <f t="shared" si="136"/>
        <v>44207</v>
      </c>
      <c r="J38" s="6">
        <f t="shared" si="136"/>
        <v>44209</v>
      </c>
      <c r="K38" s="6">
        <f t="shared" ref="K38:K46" si="143">J38+J$6</f>
        <v>44211</v>
      </c>
      <c r="L38" s="6">
        <f t="shared" ref="L38:L46" si="144">K38+K$6</f>
        <v>44213</v>
      </c>
      <c r="M38" s="6">
        <f t="shared" ref="M38:M46" si="145">L38+L$6</f>
        <v>44215</v>
      </c>
      <c r="N38" s="6">
        <f t="shared" ref="N38:X38" si="146">M38+M$6</f>
        <v>44217</v>
      </c>
      <c r="O38" s="6">
        <f t="shared" si="146"/>
        <v>44219</v>
      </c>
      <c r="P38" s="6">
        <f t="shared" si="146"/>
        <v>44221</v>
      </c>
      <c r="Q38" s="6">
        <f t="shared" si="140"/>
        <v>44223</v>
      </c>
      <c r="R38" s="6">
        <f t="shared" si="140"/>
        <v>44225</v>
      </c>
      <c r="S38" s="6">
        <f t="shared" si="146"/>
        <v>44227</v>
      </c>
      <c r="T38" s="6">
        <f t="shared" si="146"/>
        <v>44229</v>
      </c>
      <c r="U38" s="6">
        <f t="shared" si="146"/>
        <v>44231</v>
      </c>
      <c r="V38" s="6">
        <f t="shared" si="146"/>
        <v>44233</v>
      </c>
      <c r="W38" s="6">
        <f t="shared" si="146"/>
        <v>44235</v>
      </c>
      <c r="X38" s="6">
        <f t="shared" si="146"/>
        <v>44237</v>
      </c>
      <c r="Y38" s="6">
        <f t="shared" si="77"/>
        <v>44239</v>
      </c>
      <c r="Z38" s="6">
        <f t="shared" si="53"/>
        <v>44241</v>
      </c>
      <c r="AA38" s="14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14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</row>
    <row r="39" spans="1:68" x14ac:dyDescent="0.25">
      <c r="A39" s="3">
        <v>32</v>
      </c>
      <c r="B39" s="3" t="s">
        <v>335</v>
      </c>
      <c r="C39" s="36" t="s">
        <v>88</v>
      </c>
      <c r="D39" s="3" t="s">
        <v>325</v>
      </c>
      <c r="E39" s="4">
        <f t="shared" si="126"/>
        <v>44400</v>
      </c>
      <c r="F39" s="6">
        <f t="shared" si="45"/>
        <v>44401</v>
      </c>
      <c r="G39" s="6">
        <f t="shared" si="141"/>
        <v>44403</v>
      </c>
      <c r="H39" s="6">
        <f t="shared" si="142"/>
        <v>44405</v>
      </c>
      <c r="I39" s="6">
        <f t="shared" si="136"/>
        <v>44407</v>
      </c>
      <c r="J39" s="6">
        <f t="shared" si="136"/>
        <v>44409</v>
      </c>
      <c r="K39" s="6">
        <f t="shared" si="143"/>
        <v>44411</v>
      </c>
      <c r="L39" s="6">
        <f t="shared" si="144"/>
        <v>44413</v>
      </c>
      <c r="M39" s="6">
        <f t="shared" si="145"/>
        <v>44415</v>
      </c>
      <c r="N39" s="6">
        <f t="shared" ref="N39:X39" si="147">M39+M$6</f>
        <v>44417</v>
      </c>
      <c r="O39" s="6">
        <f t="shared" si="147"/>
        <v>44419</v>
      </c>
      <c r="P39" s="6">
        <f t="shared" si="147"/>
        <v>44421</v>
      </c>
      <c r="Q39" s="6">
        <f t="shared" si="140"/>
        <v>44423</v>
      </c>
      <c r="R39" s="6">
        <f t="shared" si="140"/>
        <v>44425</v>
      </c>
      <c r="S39" s="6">
        <f t="shared" si="147"/>
        <v>44427</v>
      </c>
      <c r="T39" s="6">
        <f t="shared" si="147"/>
        <v>44429</v>
      </c>
      <c r="U39" s="6">
        <f t="shared" si="147"/>
        <v>44431</v>
      </c>
      <c r="V39" s="6">
        <f t="shared" si="147"/>
        <v>44433</v>
      </c>
      <c r="W39" s="6">
        <f t="shared" si="147"/>
        <v>44435</v>
      </c>
      <c r="X39" s="6">
        <f t="shared" si="147"/>
        <v>44437</v>
      </c>
      <c r="Y39" s="6">
        <f t="shared" si="77"/>
        <v>44439</v>
      </c>
      <c r="Z39" s="6">
        <f t="shared" si="53"/>
        <v>44441</v>
      </c>
      <c r="AA39" s="14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14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</row>
    <row r="40" spans="1:68" x14ac:dyDescent="0.25">
      <c r="A40" s="3">
        <v>33</v>
      </c>
      <c r="B40" s="3" t="s">
        <v>335</v>
      </c>
      <c r="C40" s="36" t="s">
        <v>89</v>
      </c>
      <c r="D40" s="3" t="s">
        <v>325</v>
      </c>
      <c r="E40" s="4">
        <f t="shared" si="126"/>
        <v>44600</v>
      </c>
      <c r="F40" s="6">
        <f t="shared" si="45"/>
        <v>44601</v>
      </c>
      <c r="G40" s="6">
        <f t="shared" si="141"/>
        <v>44603</v>
      </c>
      <c r="H40" s="6">
        <f t="shared" si="142"/>
        <v>44605</v>
      </c>
      <c r="I40" s="6">
        <f t="shared" si="136"/>
        <v>44607</v>
      </c>
      <c r="J40" s="6">
        <f t="shared" si="136"/>
        <v>44609</v>
      </c>
      <c r="K40" s="6">
        <f t="shared" si="143"/>
        <v>44611</v>
      </c>
      <c r="L40" s="6">
        <f t="shared" si="144"/>
        <v>44613</v>
      </c>
      <c r="M40" s="6">
        <f t="shared" si="145"/>
        <v>44615</v>
      </c>
      <c r="N40" s="6">
        <f t="shared" ref="N40:X40" si="148">M40+M$6</f>
        <v>44617</v>
      </c>
      <c r="O40" s="6">
        <f t="shared" si="148"/>
        <v>44619</v>
      </c>
      <c r="P40" s="6">
        <f t="shared" si="148"/>
        <v>44621</v>
      </c>
      <c r="Q40" s="6">
        <f t="shared" si="140"/>
        <v>44623</v>
      </c>
      <c r="R40" s="6">
        <f t="shared" si="140"/>
        <v>44625</v>
      </c>
      <c r="S40" s="6">
        <f t="shared" si="148"/>
        <v>44627</v>
      </c>
      <c r="T40" s="6">
        <f t="shared" si="148"/>
        <v>44629</v>
      </c>
      <c r="U40" s="6">
        <f t="shared" si="148"/>
        <v>44631</v>
      </c>
      <c r="V40" s="6">
        <f t="shared" si="148"/>
        <v>44633</v>
      </c>
      <c r="W40" s="6">
        <f t="shared" si="148"/>
        <v>44635</v>
      </c>
      <c r="X40" s="6">
        <f t="shared" si="148"/>
        <v>44637</v>
      </c>
      <c r="Y40" s="6">
        <f t="shared" si="77"/>
        <v>44639</v>
      </c>
      <c r="Z40" s="6">
        <f t="shared" si="53"/>
        <v>44641</v>
      </c>
      <c r="AA40" s="14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14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</row>
    <row r="41" spans="1:68" x14ac:dyDescent="0.25">
      <c r="A41" s="3">
        <v>34</v>
      </c>
      <c r="B41" s="3" t="s">
        <v>335</v>
      </c>
      <c r="C41" s="36" t="s">
        <v>90</v>
      </c>
      <c r="D41" s="3" t="s">
        <v>325</v>
      </c>
      <c r="E41" s="4">
        <f t="shared" si="126"/>
        <v>44800</v>
      </c>
      <c r="F41" s="6">
        <f t="shared" si="45"/>
        <v>44801</v>
      </c>
      <c r="G41" s="6">
        <f t="shared" si="141"/>
        <v>44803</v>
      </c>
      <c r="H41" s="6">
        <f t="shared" si="142"/>
        <v>44805</v>
      </c>
      <c r="I41" s="6">
        <f t="shared" si="136"/>
        <v>44807</v>
      </c>
      <c r="J41" s="6">
        <f t="shared" si="136"/>
        <v>44809</v>
      </c>
      <c r="K41" s="6">
        <f t="shared" si="143"/>
        <v>44811</v>
      </c>
      <c r="L41" s="6">
        <f t="shared" si="144"/>
        <v>44813</v>
      </c>
      <c r="M41" s="6">
        <f t="shared" si="145"/>
        <v>44815</v>
      </c>
      <c r="N41" s="6">
        <f t="shared" ref="N41:Y56" si="149">M41+M$6</f>
        <v>44817</v>
      </c>
      <c r="O41" s="6">
        <f t="shared" si="149"/>
        <v>44819</v>
      </c>
      <c r="P41" s="6">
        <f t="shared" si="149"/>
        <v>44821</v>
      </c>
      <c r="Q41" s="6">
        <f t="shared" si="140"/>
        <v>44823</v>
      </c>
      <c r="R41" s="6">
        <f t="shared" si="140"/>
        <v>44825</v>
      </c>
      <c r="S41" s="6">
        <f t="shared" si="149"/>
        <v>44827</v>
      </c>
      <c r="T41" s="6">
        <f t="shared" si="149"/>
        <v>44829</v>
      </c>
      <c r="U41" s="6">
        <f t="shared" si="149"/>
        <v>44831</v>
      </c>
      <c r="V41" s="6">
        <f t="shared" si="149"/>
        <v>44833</v>
      </c>
      <c r="W41" s="6">
        <f t="shared" si="149"/>
        <v>44835</v>
      </c>
      <c r="X41" s="6">
        <f t="shared" si="149"/>
        <v>44837</v>
      </c>
      <c r="Y41" s="6">
        <f t="shared" si="149"/>
        <v>44839</v>
      </c>
      <c r="Z41" s="6">
        <f t="shared" si="53"/>
        <v>44841</v>
      </c>
      <c r="AA41" s="14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14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</row>
    <row r="42" spans="1:68" x14ac:dyDescent="0.25">
      <c r="A42" s="3">
        <v>35</v>
      </c>
      <c r="B42" s="3" t="s">
        <v>335</v>
      </c>
      <c r="C42" s="36" t="s">
        <v>91</v>
      </c>
      <c r="D42" s="3" t="s">
        <v>325</v>
      </c>
      <c r="E42" s="4">
        <f t="shared" si="126"/>
        <v>45000</v>
      </c>
      <c r="F42" s="6">
        <f t="shared" si="45"/>
        <v>45001</v>
      </c>
      <c r="G42" s="6">
        <f t="shared" si="141"/>
        <v>45003</v>
      </c>
      <c r="H42" s="6">
        <f t="shared" si="142"/>
        <v>45005</v>
      </c>
      <c r="I42" s="6">
        <f t="shared" si="136"/>
        <v>45007</v>
      </c>
      <c r="J42" s="6">
        <f t="shared" si="136"/>
        <v>45009</v>
      </c>
      <c r="K42" s="6">
        <f t="shared" si="143"/>
        <v>45011</v>
      </c>
      <c r="L42" s="6">
        <f t="shared" si="144"/>
        <v>45013</v>
      </c>
      <c r="M42" s="6">
        <f t="shared" si="145"/>
        <v>45015</v>
      </c>
      <c r="N42" s="6">
        <f t="shared" ref="N42:X42" si="150">M42+M$6</f>
        <v>45017</v>
      </c>
      <c r="O42" s="6">
        <f t="shared" si="150"/>
        <v>45019</v>
      </c>
      <c r="P42" s="6">
        <f t="shared" si="150"/>
        <v>45021</v>
      </c>
      <c r="Q42" s="6">
        <f t="shared" si="140"/>
        <v>45023</v>
      </c>
      <c r="R42" s="6">
        <f t="shared" si="140"/>
        <v>45025</v>
      </c>
      <c r="S42" s="6">
        <f t="shared" si="150"/>
        <v>45027</v>
      </c>
      <c r="T42" s="6">
        <f t="shared" si="150"/>
        <v>45029</v>
      </c>
      <c r="U42" s="6">
        <f t="shared" si="150"/>
        <v>45031</v>
      </c>
      <c r="V42" s="6">
        <f t="shared" si="150"/>
        <v>45033</v>
      </c>
      <c r="W42" s="6">
        <f t="shared" si="150"/>
        <v>45035</v>
      </c>
      <c r="X42" s="6">
        <f t="shared" si="150"/>
        <v>45037</v>
      </c>
      <c r="Y42" s="6">
        <f t="shared" si="149"/>
        <v>45039</v>
      </c>
      <c r="Z42" s="6">
        <f t="shared" si="53"/>
        <v>45041</v>
      </c>
      <c r="AA42" s="14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14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</row>
    <row r="43" spans="1:68" x14ac:dyDescent="0.25">
      <c r="A43" s="3">
        <v>36</v>
      </c>
      <c r="B43" s="3" t="s">
        <v>335</v>
      </c>
      <c r="C43" s="36" t="s">
        <v>92</v>
      </c>
      <c r="D43" s="3" t="s">
        <v>325</v>
      </c>
      <c r="E43" s="4">
        <f t="shared" si="126"/>
        <v>45200</v>
      </c>
      <c r="F43" s="6">
        <f t="shared" si="45"/>
        <v>45201</v>
      </c>
      <c r="G43" s="6">
        <f t="shared" si="141"/>
        <v>45203</v>
      </c>
      <c r="H43" s="6">
        <f t="shared" si="142"/>
        <v>45205</v>
      </c>
      <c r="I43" s="6">
        <f t="shared" si="136"/>
        <v>45207</v>
      </c>
      <c r="J43" s="6">
        <f t="shared" si="136"/>
        <v>45209</v>
      </c>
      <c r="K43" s="6">
        <f t="shared" si="143"/>
        <v>45211</v>
      </c>
      <c r="L43" s="6">
        <f t="shared" si="144"/>
        <v>45213</v>
      </c>
      <c r="M43" s="6">
        <f t="shared" si="145"/>
        <v>45215</v>
      </c>
      <c r="N43" s="6">
        <f t="shared" ref="N43:X43" si="151">M43+M$6</f>
        <v>45217</v>
      </c>
      <c r="O43" s="6">
        <f t="shared" si="151"/>
        <v>45219</v>
      </c>
      <c r="P43" s="6">
        <f t="shared" si="151"/>
        <v>45221</v>
      </c>
      <c r="Q43" s="6">
        <f t="shared" si="140"/>
        <v>45223</v>
      </c>
      <c r="R43" s="6">
        <f t="shared" si="140"/>
        <v>45225</v>
      </c>
      <c r="S43" s="6">
        <f t="shared" si="151"/>
        <v>45227</v>
      </c>
      <c r="T43" s="6">
        <f t="shared" si="151"/>
        <v>45229</v>
      </c>
      <c r="U43" s="6">
        <f t="shared" si="151"/>
        <v>45231</v>
      </c>
      <c r="V43" s="6">
        <f t="shared" si="151"/>
        <v>45233</v>
      </c>
      <c r="W43" s="6">
        <f t="shared" si="151"/>
        <v>45235</v>
      </c>
      <c r="X43" s="6">
        <f t="shared" si="151"/>
        <v>45237</v>
      </c>
      <c r="Y43" s="6">
        <f t="shared" si="149"/>
        <v>45239</v>
      </c>
      <c r="Z43" s="6">
        <f t="shared" si="53"/>
        <v>45241</v>
      </c>
      <c r="AA43" s="14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14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</row>
    <row r="44" spans="1:68" x14ac:dyDescent="0.25">
      <c r="A44" s="3">
        <v>37</v>
      </c>
      <c r="B44" s="3" t="s">
        <v>335</v>
      </c>
      <c r="C44" s="36" t="s">
        <v>93</v>
      </c>
      <c r="D44" s="3" t="s">
        <v>325</v>
      </c>
      <c r="E44" s="4">
        <f t="shared" si="126"/>
        <v>45400</v>
      </c>
      <c r="F44" s="6">
        <f t="shared" si="45"/>
        <v>45401</v>
      </c>
      <c r="G44" s="6">
        <f t="shared" si="141"/>
        <v>45403</v>
      </c>
      <c r="H44" s="6">
        <f t="shared" si="142"/>
        <v>45405</v>
      </c>
      <c r="I44" s="6">
        <f t="shared" si="136"/>
        <v>45407</v>
      </c>
      <c r="J44" s="6">
        <f t="shared" si="136"/>
        <v>45409</v>
      </c>
      <c r="K44" s="6">
        <f t="shared" si="143"/>
        <v>45411</v>
      </c>
      <c r="L44" s="6">
        <f t="shared" si="144"/>
        <v>45413</v>
      </c>
      <c r="M44" s="6">
        <f t="shared" si="145"/>
        <v>45415</v>
      </c>
      <c r="N44" s="6">
        <f t="shared" ref="N44:X44" si="152">M44+M$6</f>
        <v>45417</v>
      </c>
      <c r="O44" s="6">
        <f t="shared" si="152"/>
        <v>45419</v>
      </c>
      <c r="P44" s="6">
        <f t="shared" si="152"/>
        <v>45421</v>
      </c>
      <c r="Q44" s="6">
        <f t="shared" si="140"/>
        <v>45423</v>
      </c>
      <c r="R44" s="6">
        <f t="shared" si="140"/>
        <v>45425</v>
      </c>
      <c r="S44" s="6">
        <f t="shared" si="152"/>
        <v>45427</v>
      </c>
      <c r="T44" s="6">
        <f t="shared" si="152"/>
        <v>45429</v>
      </c>
      <c r="U44" s="6">
        <f t="shared" si="152"/>
        <v>45431</v>
      </c>
      <c r="V44" s="6">
        <f t="shared" si="152"/>
        <v>45433</v>
      </c>
      <c r="W44" s="6">
        <f t="shared" si="152"/>
        <v>45435</v>
      </c>
      <c r="X44" s="6">
        <f t="shared" si="152"/>
        <v>45437</v>
      </c>
      <c r="Y44" s="6">
        <f t="shared" si="149"/>
        <v>45439</v>
      </c>
      <c r="Z44" s="6">
        <f t="shared" si="53"/>
        <v>45441</v>
      </c>
      <c r="AA44" s="14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14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</row>
    <row r="45" spans="1:68" x14ac:dyDescent="0.25">
      <c r="A45" s="3">
        <v>38</v>
      </c>
      <c r="B45" s="3" t="s">
        <v>335</v>
      </c>
      <c r="C45" s="36" t="s">
        <v>94</v>
      </c>
      <c r="D45" s="3" t="s">
        <v>325</v>
      </c>
      <c r="E45" s="4">
        <f t="shared" si="126"/>
        <v>45600</v>
      </c>
      <c r="F45" s="6">
        <f t="shared" si="45"/>
        <v>45601</v>
      </c>
      <c r="G45" s="6">
        <f t="shared" si="141"/>
        <v>45603</v>
      </c>
      <c r="H45" s="6">
        <f t="shared" si="142"/>
        <v>45605</v>
      </c>
      <c r="I45" s="6">
        <f t="shared" si="136"/>
        <v>45607</v>
      </c>
      <c r="J45" s="6">
        <f t="shared" si="136"/>
        <v>45609</v>
      </c>
      <c r="K45" s="6">
        <f t="shared" si="143"/>
        <v>45611</v>
      </c>
      <c r="L45" s="6">
        <f t="shared" si="144"/>
        <v>45613</v>
      </c>
      <c r="M45" s="6">
        <f t="shared" si="145"/>
        <v>45615</v>
      </c>
      <c r="N45" s="6">
        <f t="shared" ref="N45:X45" si="153">M45+M$6</f>
        <v>45617</v>
      </c>
      <c r="O45" s="6">
        <f t="shared" si="153"/>
        <v>45619</v>
      </c>
      <c r="P45" s="6">
        <f t="shared" si="153"/>
        <v>45621</v>
      </c>
      <c r="Q45" s="6">
        <f t="shared" si="140"/>
        <v>45623</v>
      </c>
      <c r="R45" s="6">
        <f t="shared" si="140"/>
        <v>45625</v>
      </c>
      <c r="S45" s="6">
        <f t="shared" si="153"/>
        <v>45627</v>
      </c>
      <c r="T45" s="6">
        <f t="shared" si="153"/>
        <v>45629</v>
      </c>
      <c r="U45" s="6">
        <f t="shared" si="153"/>
        <v>45631</v>
      </c>
      <c r="V45" s="6">
        <f t="shared" si="153"/>
        <v>45633</v>
      </c>
      <c r="W45" s="6">
        <f t="shared" si="153"/>
        <v>45635</v>
      </c>
      <c r="X45" s="6">
        <f t="shared" si="153"/>
        <v>45637</v>
      </c>
      <c r="Y45" s="6">
        <f t="shared" si="149"/>
        <v>45639</v>
      </c>
      <c r="Z45" s="6">
        <f t="shared" si="53"/>
        <v>45641</v>
      </c>
      <c r="AA45" s="14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14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</row>
    <row r="46" spans="1:68" x14ac:dyDescent="0.25">
      <c r="A46" s="3">
        <v>39</v>
      </c>
      <c r="B46" s="3" t="s">
        <v>335</v>
      </c>
      <c r="C46" s="36" t="s">
        <v>95</v>
      </c>
      <c r="D46" s="3" t="s">
        <v>325</v>
      </c>
      <c r="E46" s="4">
        <f t="shared" si="126"/>
        <v>45800</v>
      </c>
      <c r="F46" s="6">
        <f t="shared" si="45"/>
        <v>45801</v>
      </c>
      <c r="G46" s="6">
        <f t="shared" si="141"/>
        <v>45803</v>
      </c>
      <c r="H46" s="6">
        <f t="shared" si="142"/>
        <v>45805</v>
      </c>
      <c r="I46" s="6">
        <f t="shared" si="136"/>
        <v>45807</v>
      </c>
      <c r="J46" s="6">
        <f t="shared" si="136"/>
        <v>45809</v>
      </c>
      <c r="K46" s="6">
        <f t="shared" si="143"/>
        <v>45811</v>
      </c>
      <c r="L46" s="6">
        <f t="shared" si="144"/>
        <v>45813</v>
      </c>
      <c r="M46" s="6">
        <f t="shared" si="145"/>
        <v>45815</v>
      </c>
      <c r="N46" s="6">
        <f t="shared" ref="N46:X46" si="154">M46+M$6</f>
        <v>45817</v>
      </c>
      <c r="O46" s="6">
        <f t="shared" si="154"/>
        <v>45819</v>
      </c>
      <c r="P46" s="6">
        <f t="shared" si="154"/>
        <v>45821</v>
      </c>
      <c r="Q46" s="6">
        <f t="shared" si="140"/>
        <v>45823</v>
      </c>
      <c r="R46" s="6">
        <f t="shared" si="140"/>
        <v>45825</v>
      </c>
      <c r="S46" s="6">
        <f t="shared" si="154"/>
        <v>45827</v>
      </c>
      <c r="T46" s="6">
        <f t="shared" si="154"/>
        <v>45829</v>
      </c>
      <c r="U46" s="6">
        <f t="shared" si="154"/>
        <v>45831</v>
      </c>
      <c r="V46" s="6">
        <f t="shared" si="154"/>
        <v>45833</v>
      </c>
      <c r="W46" s="6">
        <f t="shared" si="154"/>
        <v>45835</v>
      </c>
      <c r="X46" s="6">
        <f t="shared" si="154"/>
        <v>45837</v>
      </c>
      <c r="Y46" s="6">
        <f t="shared" si="149"/>
        <v>45839</v>
      </c>
      <c r="Z46" s="6">
        <f t="shared" si="53"/>
        <v>45841</v>
      </c>
      <c r="AA46" s="14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14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</row>
    <row r="47" spans="1:68" x14ac:dyDescent="0.25">
      <c r="A47" s="3">
        <v>40</v>
      </c>
      <c r="B47" s="3" t="s">
        <v>335</v>
      </c>
      <c r="C47" s="3" t="s">
        <v>229</v>
      </c>
      <c r="D47" s="3" t="s">
        <v>326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</row>
    <row r="48" spans="1:68" x14ac:dyDescent="0.25">
      <c r="A48" s="3">
        <v>41</v>
      </c>
      <c r="B48" s="3" t="s">
        <v>335</v>
      </c>
      <c r="C48" s="36" t="s">
        <v>96</v>
      </c>
      <c r="D48" s="3" t="s">
        <v>326</v>
      </c>
      <c r="E48" s="4">
        <f>E46+$E$2</f>
        <v>46000</v>
      </c>
      <c r="F48" s="6">
        <f t="shared" si="45"/>
        <v>46001</v>
      </c>
      <c r="G48" s="6">
        <f t="shared" ref="G48:G56" si="155">F48+F$6</f>
        <v>46003</v>
      </c>
      <c r="H48" s="6">
        <f t="shared" ref="H48:H56" si="156">G48+G$6</f>
        <v>46005</v>
      </c>
      <c r="I48" s="6">
        <f t="shared" ref="I48:J48" si="157">H48+H$6</f>
        <v>46007</v>
      </c>
      <c r="J48" s="6">
        <f t="shared" si="157"/>
        <v>46009</v>
      </c>
      <c r="K48" s="6">
        <f t="shared" ref="K48:K56" si="158">J48+J$6</f>
        <v>46011</v>
      </c>
      <c r="L48" s="6">
        <f t="shared" ref="L48:L56" si="159">K48+K$6</f>
        <v>46013</v>
      </c>
      <c r="M48" s="6">
        <f t="shared" ref="M48:M56" si="160">L48+L$6</f>
        <v>46015</v>
      </c>
      <c r="N48" s="6">
        <f t="shared" ref="N48:X55" si="161">M48+M$6</f>
        <v>46017</v>
      </c>
      <c r="O48" s="6">
        <f t="shared" si="161"/>
        <v>46019</v>
      </c>
      <c r="P48" s="6">
        <f t="shared" si="161"/>
        <v>46021</v>
      </c>
      <c r="Q48" s="6">
        <f t="shared" si="161"/>
        <v>46023</v>
      </c>
      <c r="R48" s="6">
        <f t="shared" si="161"/>
        <v>46025</v>
      </c>
      <c r="S48" s="6">
        <f t="shared" si="161"/>
        <v>46027</v>
      </c>
      <c r="T48" s="6">
        <f t="shared" si="161"/>
        <v>46029</v>
      </c>
      <c r="U48" s="6">
        <f t="shared" si="161"/>
        <v>46031</v>
      </c>
      <c r="V48" s="6">
        <f t="shared" si="161"/>
        <v>46033</v>
      </c>
      <c r="W48" s="6">
        <f t="shared" si="161"/>
        <v>46035</v>
      </c>
      <c r="X48" s="6">
        <f t="shared" si="161"/>
        <v>46037</v>
      </c>
      <c r="Y48" s="6">
        <f t="shared" si="149"/>
        <v>46039</v>
      </c>
      <c r="Z48" s="6">
        <f t="shared" si="53"/>
        <v>46041</v>
      </c>
      <c r="AA48" s="14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14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</row>
    <row r="49" spans="1:68" x14ac:dyDescent="0.25">
      <c r="A49" s="3">
        <v>42</v>
      </c>
      <c r="B49" s="3" t="s">
        <v>335</v>
      </c>
      <c r="C49" s="36" t="s">
        <v>97</v>
      </c>
      <c r="D49" s="3" t="s">
        <v>326</v>
      </c>
      <c r="E49" s="4">
        <f t="shared" si="126"/>
        <v>46200</v>
      </c>
      <c r="F49" s="6">
        <f t="shared" si="45"/>
        <v>46201</v>
      </c>
      <c r="G49" s="6">
        <f t="shared" si="155"/>
        <v>46203</v>
      </c>
      <c r="H49" s="6">
        <f t="shared" si="156"/>
        <v>46205</v>
      </c>
      <c r="I49" s="6">
        <f t="shared" ref="I49:J49" si="162">H49+H$6</f>
        <v>46207</v>
      </c>
      <c r="J49" s="6">
        <f t="shared" si="162"/>
        <v>46209</v>
      </c>
      <c r="K49" s="6">
        <f t="shared" si="158"/>
        <v>46211</v>
      </c>
      <c r="L49" s="6">
        <f t="shared" si="159"/>
        <v>46213</v>
      </c>
      <c r="M49" s="6">
        <f t="shared" si="160"/>
        <v>46215</v>
      </c>
      <c r="N49" s="6">
        <f t="shared" ref="N49:BP56" si="163">M49+M$6</f>
        <v>46217</v>
      </c>
      <c r="O49" s="6">
        <f t="shared" si="163"/>
        <v>46219</v>
      </c>
      <c r="P49" s="6">
        <f t="shared" si="163"/>
        <v>46221</v>
      </c>
      <c r="Q49" s="6">
        <f t="shared" si="161"/>
        <v>46223</v>
      </c>
      <c r="R49" s="6">
        <f t="shared" si="161"/>
        <v>46225</v>
      </c>
      <c r="S49" s="6">
        <f t="shared" si="163"/>
        <v>46227</v>
      </c>
      <c r="T49" s="6">
        <f t="shared" si="163"/>
        <v>46229</v>
      </c>
      <c r="U49" s="6">
        <f t="shared" si="163"/>
        <v>46231</v>
      </c>
      <c r="V49" s="6">
        <f t="shared" si="163"/>
        <v>46233</v>
      </c>
      <c r="W49" s="6">
        <f t="shared" si="163"/>
        <v>46235</v>
      </c>
      <c r="X49" s="6">
        <f t="shared" si="163"/>
        <v>46237</v>
      </c>
      <c r="Y49" s="6">
        <f t="shared" si="149"/>
        <v>46239</v>
      </c>
      <c r="Z49" s="6">
        <f t="shared" si="53"/>
        <v>46241</v>
      </c>
      <c r="AA49" s="14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14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</row>
    <row r="50" spans="1:68" x14ac:dyDescent="0.25">
      <c r="A50" s="3">
        <v>43</v>
      </c>
      <c r="B50" s="3" t="s">
        <v>335</v>
      </c>
      <c r="C50" s="36" t="s">
        <v>98</v>
      </c>
      <c r="D50" s="3" t="s">
        <v>326</v>
      </c>
      <c r="E50" s="4">
        <f t="shared" si="126"/>
        <v>46400</v>
      </c>
      <c r="F50" s="6">
        <f t="shared" si="45"/>
        <v>46401</v>
      </c>
      <c r="G50" s="6">
        <f t="shared" si="155"/>
        <v>46403</v>
      </c>
      <c r="H50" s="6">
        <f t="shared" si="156"/>
        <v>46405</v>
      </c>
      <c r="I50" s="6">
        <f t="shared" ref="I50:J50" si="164">H50+H$6</f>
        <v>46407</v>
      </c>
      <c r="J50" s="6">
        <f t="shared" si="164"/>
        <v>46409</v>
      </c>
      <c r="K50" s="6">
        <f t="shared" si="158"/>
        <v>46411</v>
      </c>
      <c r="L50" s="6">
        <f t="shared" si="159"/>
        <v>46413</v>
      </c>
      <c r="M50" s="6">
        <f t="shared" si="160"/>
        <v>46415</v>
      </c>
      <c r="N50" s="6">
        <f t="shared" ref="N50:X50" si="165">M50+M$6</f>
        <v>46417</v>
      </c>
      <c r="O50" s="6">
        <f t="shared" si="165"/>
        <v>46419</v>
      </c>
      <c r="P50" s="6">
        <f t="shared" si="165"/>
        <v>46421</v>
      </c>
      <c r="Q50" s="6">
        <f t="shared" si="161"/>
        <v>46423</v>
      </c>
      <c r="R50" s="6">
        <f t="shared" si="161"/>
        <v>46425</v>
      </c>
      <c r="S50" s="6">
        <f t="shared" si="165"/>
        <v>46427</v>
      </c>
      <c r="T50" s="6">
        <f t="shared" si="165"/>
        <v>46429</v>
      </c>
      <c r="U50" s="6">
        <f t="shared" si="165"/>
        <v>46431</v>
      </c>
      <c r="V50" s="6">
        <f t="shared" si="165"/>
        <v>46433</v>
      </c>
      <c r="W50" s="6">
        <f t="shared" si="165"/>
        <v>46435</v>
      </c>
      <c r="X50" s="6">
        <f t="shared" si="165"/>
        <v>46437</v>
      </c>
      <c r="Y50" s="6">
        <f t="shared" si="149"/>
        <v>46439</v>
      </c>
      <c r="Z50" s="6">
        <f t="shared" si="53"/>
        <v>46441</v>
      </c>
      <c r="AA50" s="14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14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</row>
    <row r="51" spans="1:68" x14ac:dyDescent="0.25">
      <c r="A51" s="3">
        <v>44</v>
      </c>
      <c r="B51" s="3" t="s">
        <v>335</v>
      </c>
      <c r="C51" s="36" t="s">
        <v>99</v>
      </c>
      <c r="D51" s="3" t="s">
        <v>326</v>
      </c>
      <c r="E51" s="4">
        <f t="shared" si="126"/>
        <v>46600</v>
      </c>
      <c r="F51" s="6">
        <f t="shared" si="45"/>
        <v>46601</v>
      </c>
      <c r="G51" s="6">
        <f t="shared" si="155"/>
        <v>46603</v>
      </c>
      <c r="H51" s="6">
        <f t="shared" si="156"/>
        <v>46605</v>
      </c>
      <c r="I51" s="6">
        <f t="shared" ref="I51:J51" si="166">H51+H$6</f>
        <v>46607</v>
      </c>
      <c r="J51" s="6">
        <f t="shared" si="166"/>
        <v>46609</v>
      </c>
      <c r="K51" s="6">
        <f t="shared" si="158"/>
        <v>46611</v>
      </c>
      <c r="L51" s="6">
        <f t="shared" si="159"/>
        <v>46613</v>
      </c>
      <c r="M51" s="6">
        <f t="shared" si="160"/>
        <v>46615</v>
      </c>
      <c r="N51" s="6">
        <f t="shared" ref="N51:X51" si="167">M51+M$6</f>
        <v>46617</v>
      </c>
      <c r="O51" s="6">
        <f t="shared" si="167"/>
        <v>46619</v>
      </c>
      <c r="P51" s="6">
        <f t="shared" si="167"/>
        <v>46621</v>
      </c>
      <c r="Q51" s="6">
        <f t="shared" si="161"/>
        <v>46623</v>
      </c>
      <c r="R51" s="6">
        <f t="shared" si="161"/>
        <v>46625</v>
      </c>
      <c r="S51" s="6">
        <f t="shared" si="167"/>
        <v>46627</v>
      </c>
      <c r="T51" s="6">
        <f t="shared" si="167"/>
        <v>46629</v>
      </c>
      <c r="U51" s="6">
        <f t="shared" si="167"/>
        <v>46631</v>
      </c>
      <c r="V51" s="6">
        <f t="shared" si="167"/>
        <v>46633</v>
      </c>
      <c r="W51" s="6">
        <f t="shared" si="167"/>
        <v>46635</v>
      </c>
      <c r="X51" s="6">
        <f t="shared" si="167"/>
        <v>46637</v>
      </c>
      <c r="Y51" s="6">
        <f t="shared" si="149"/>
        <v>46639</v>
      </c>
      <c r="Z51" s="6">
        <f t="shared" si="53"/>
        <v>46641</v>
      </c>
      <c r="AA51" s="14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14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</row>
    <row r="52" spans="1:68" x14ac:dyDescent="0.25">
      <c r="A52" s="3">
        <v>45</v>
      </c>
      <c r="B52" s="3" t="s">
        <v>335</v>
      </c>
      <c r="C52" s="36" t="s">
        <v>100</v>
      </c>
      <c r="D52" s="3" t="s">
        <v>326</v>
      </c>
      <c r="E52" s="4">
        <f t="shared" si="126"/>
        <v>46800</v>
      </c>
      <c r="F52" s="6">
        <f t="shared" si="45"/>
        <v>46801</v>
      </c>
      <c r="G52" s="6">
        <f t="shared" si="155"/>
        <v>46803</v>
      </c>
      <c r="H52" s="6">
        <f t="shared" si="156"/>
        <v>46805</v>
      </c>
      <c r="I52" s="6">
        <f t="shared" ref="I52:J52" si="168">H52+H$6</f>
        <v>46807</v>
      </c>
      <c r="J52" s="6">
        <f t="shared" si="168"/>
        <v>46809</v>
      </c>
      <c r="K52" s="6">
        <f t="shared" si="158"/>
        <v>46811</v>
      </c>
      <c r="L52" s="6">
        <f t="shared" si="159"/>
        <v>46813</v>
      </c>
      <c r="M52" s="6">
        <f t="shared" si="160"/>
        <v>46815</v>
      </c>
      <c r="N52" s="6">
        <f t="shared" ref="N52:X52" si="169">M52+M$6</f>
        <v>46817</v>
      </c>
      <c r="O52" s="6">
        <f t="shared" si="169"/>
        <v>46819</v>
      </c>
      <c r="P52" s="6">
        <f t="shared" si="169"/>
        <v>46821</v>
      </c>
      <c r="Q52" s="6">
        <f t="shared" si="161"/>
        <v>46823</v>
      </c>
      <c r="R52" s="6">
        <f t="shared" si="161"/>
        <v>46825</v>
      </c>
      <c r="S52" s="6">
        <f t="shared" si="169"/>
        <v>46827</v>
      </c>
      <c r="T52" s="6">
        <f t="shared" si="169"/>
        <v>46829</v>
      </c>
      <c r="U52" s="6">
        <f t="shared" si="169"/>
        <v>46831</v>
      </c>
      <c r="V52" s="6">
        <f t="shared" si="169"/>
        <v>46833</v>
      </c>
      <c r="W52" s="6">
        <f t="shared" si="169"/>
        <v>46835</v>
      </c>
      <c r="X52" s="6">
        <f t="shared" si="169"/>
        <v>46837</v>
      </c>
      <c r="Y52" s="6">
        <f t="shared" si="149"/>
        <v>46839</v>
      </c>
      <c r="Z52" s="6">
        <f t="shared" si="53"/>
        <v>46841</v>
      </c>
      <c r="AA52" s="14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14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</row>
    <row r="53" spans="1:68" x14ac:dyDescent="0.25">
      <c r="A53" s="3">
        <v>46</v>
      </c>
      <c r="B53" s="3" t="s">
        <v>335</v>
      </c>
      <c r="C53" s="36" t="s">
        <v>101</v>
      </c>
      <c r="D53" s="3" t="s">
        <v>326</v>
      </c>
      <c r="E53" s="4">
        <f t="shared" si="126"/>
        <v>47000</v>
      </c>
      <c r="F53" s="6">
        <f t="shared" si="45"/>
        <v>47001</v>
      </c>
      <c r="G53" s="6">
        <f t="shared" si="155"/>
        <v>47003</v>
      </c>
      <c r="H53" s="6">
        <f t="shared" si="156"/>
        <v>47005</v>
      </c>
      <c r="I53" s="6">
        <f t="shared" ref="I53:J53" si="170">H53+H$6</f>
        <v>47007</v>
      </c>
      <c r="J53" s="6">
        <f t="shared" si="170"/>
        <v>47009</v>
      </c>
      <c r="K53" s="6">
        <f t="shared" si="158"/>
        <v>47011</v>
      </c>
      <c r="L53" s="6">
        <f t="shared" si="159"/>
        <v>47013</v>
      </c>
      <c r="M53" s="6">
        <f t="shared" si="160"/>
        <v>47015</v>
      </c>
      <c r="N53" s="6">
        <f t="shared" ref="N53:X53" si="171">M53+M$6</f>
        <v>47017</v>
      </c>
      <c r="O53" s="6">
        <f t="shared" si="171"/>
        <v>47019</v>
      </c>
      <c r="P53" s="6">
        <f t="shared" si="171"/>
        <v>47021</v>
      </c>
      <c r="Q53" s="6">
        <f t="shared" si="161"/>
        <v>47023</v>
      </c>
      <c r="R53" s="6">
        <f t="shared" si="161"/>
        <v>47025</v>
      </c>
      <c r="S53" s="6">
        <f t="shared" si="171"/>
        <v>47027</v>
      </c>
      <c r="T53" s="6">
        <f t="shared" si="171"/>
        <v>47029</v>
      </c>
      <c r="U53" s="6">
        <f t="shared" si="171"/>
        <v>47031</v>
      </c>
      <c r="V53" s="6">
        <f t="shared" si="171"/>
        <v>47033</v>
      </c>
      <c r="W53" s="6">
        <f t="shared" si="171"/>
        <v>47035</v>
      </c>
      <c r="X53" s="6">
        <f t="shared" si="171"/>
        <v>47037</v>
      </c>
      <c r="Y53" s="6">
        <f t="shared" si="149"/>
        <v>47039</v>
      </c>
      <c r="Z53" s="6">
        <f t="shared" si="53"/>
        <v>47041</v>
      </c>
      <c r="AA53" s="14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14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</row>
    <row r="54" spans="1:68" x14ac:dyDescent="0.25">
      <c r="A54" s="3">
        <v>47</v>
      </c>
      <c r="B54" s="3" t="s">
        <v>335</v>
      </c>
      <c r="C54" s="36" t="s">
        <v>102</v>
      </c>
      <c r="D54" s="3" t="s">
        <v>326</v>
      </c>
      <c r="E54" s="4">
        <f t="shared" si="126"/>
        <v>47200</v>
      </c>
      <c r="F54" s="6">
        <f t="shared" si="45"/>
        <v>47201</v>
      </c>
      <c r="G54" s="6">
        <f t="shared" si="155"/>
        <v>47203</v>
      </c>
      <c r="H54" s="6">
        <f t="shared" si="156"/>
        <v>47205</v>
      </c>
      <c r="I54" s="6">
        <f t="shared" ref="I54:J54" si="172">H54+H$6</f>
        <v>47207</v>
      </c>
      <c r="J54" s="6">
        <f t="shared" si="172"/>
        <v>47209</v>
      </c>
      <c r="K54" s="6">
        <f t="shared" si="158"/>
        <v>47211</v>
      </c>
      <c r="L54" s="6">
        <f t="shared" si="159"/>
        <v>47213</v>
      </c>
      <c r="M54" s="6">
        <f t="shared" si="160"/>
        <v>47215</v>
      </c>
      <c r="N54" s="6">
        <f t="shared" ref="N54:X54" si="173">M54+M$6</f>
        <v>47217</v>
      </c>
      <c r="O54" s="6">
        <f t="shared" si="173"/>
        <v>47219</v>
      </c>
      <c r="P54" s="6">
        <f t="shared" si="173"/>
        <v>47221</v>
      </c>
      <c r="Q54" s="6">
        <f t="shared" si="161"/>
        <v>47223</v>
      </c>
      <c r="R54" s="6">
        <f t="shared" si="161"/>
        <v>47225</v>
      </c>
      <c r="S54" s="6">
        <f t="shared" si="173"/>
        <v>47227</v>
      </c>
      <c r="T54" s="6">
        <f t="shared" si="173"/>
        <v>47229</v>
      </c>
      <c r="U54" s="6">
        <f t="shared" si="173"/>
        <v>47231</v>
      </c>
      <c r="V54" s="6">
        <f t="shared" si="173"/>
        <v>47233</v>
      </c>
      <c r="W54" s="6">
        <f t="shared" si="173"/>
        <v>47235</v>
      </c>
      <c r="X54" s="6">
        <f t="shared" si="173"/>
        <v>47237</v>
      </c>
      <c r="Y54" s="6">
        <f t="shared" si="149"/>
        <v>47239</v>
      </c>
      <c r="Z54" s="6">
        <f t="shared" si="53"/>
        <v>47241</v>
      </c>
      <c r="AA54" s="14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14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</row>
    <row r="55" spans="1:68" x14ac:dyDescent="0.25">
      <c r="A55" s="3">
        <v>48</v>
      </c>
      <c r="B55" s="3" t="s">
        <v>335</v>
      </c>
      <c r="C55" s="8" t="s">
        <v>55</v>
      </c>
      <c r="D55" s="8" t="s">
        <v>290</v>
      </c>
      <c r="E55" s="4">
        <f t="shared" si="126"/>
        <v>47400</v>
      </c>
      <c r="F55" s="6">
        <f>E55+1</f>
        <v>47401</v>
      </c>
      <c r="G55" s="6">
        <f t="shared" si="155"/>
        <v>47403</v>
      </c>
      <c r="H55" s="6">
        <f t="shared" si="156"/>
        <v>47405</v>
      </c>
      <c r="I55" s="6">
        <f t="shared" ref="I55:J55" si="174">H55+H$6</f>
        <v>47407</v>
      </c>
      <c r="J55" s="6">
        <f t="shared" si="174"/>
        <v>47409</v>
      </c>
      <c r="K55" s="6">
        <f t="shared" si="158"/>
        <v>47411</v>
      </c>
      <c r="L55" s="6">
        <f t="shared" si="159"/>
        <v>47413</v>
      </c>
      <c r="M55" s="6">
        <f t="shared" si="160"/>
        <v>47415</v>
      </c>
      <c r="N55" s="6">
        <f t="shared" ref="N55:X55" si="175">M55+M$6</f>
        <v>47417</v>
      </c>
      <c r="O55" s="6">
        <f t="shared" si="175"/>
        <v>47419</v>
      </c>
      <c r="P55" s="6">
        <f t="shared" si="175"/>
        <v>47421</v>
      </c>
      <c r="Q55" s="6">
        <f t="shared" si="161"/>
        <v>47423</v>
      </c>
      <c r="R55" s="6">
        <f t="shared" si="161"/>
        <v>47425</v>
      </c>
      <c r="S55" s="6">
        <f t="shared" si="175"/>
        <v>47427</v>
      </c>
      <c r="T55" s="6">
        <f t="shared" si="175"/>
        <v>47429</v>
      </c>
      <c r="U55" s="6">
        <f t="shared" si="175"/>
        <v>47431</v>
      </c>
      <c r="V55" s="6">
        <f t="shared" si="175"/>
        <v>47433</v>
      </c>
      <c r="W55" s="6">
        <f t="shared" si="175"/>
        <v>47435</v>
      </c>
      <c r="X55" s="6">
        <f t="shared" si="175"/>
        <v>47437</v>
      </c>
      <c r="Y55" s="6">
        <f t="shared" si="149"/>
        <v>47439</v>
      </c>
      <c r="Z55" s="6"/>
      <c r="AA55" s="14">
        <f t="shared" si="84"/>
        <v>47443</v>
      </c>
      <c r="AB55" s="6">
        <f t="shared" ref="AB55:AB56" si="176">AA55+AA$6</f>
        <v>47445</v>
      </c>
      <c r="AC55" s="6">
        <f t="shared" ref="AC55:AC56" si="177">AB55+AB$6</f>
        <v>47447</v>
      </c>
      <c r="AD55" s="6">
        <f t="shared" ref="AD55:AD56" si="178">AC55+AC$6</f>
        <v>47449</v>
      </c>
      <c r="AE55" s="6">
        <f t="shared" ref="AE55:AE56" si="179">AD55+AD$6</f>
        <v>47451</v>
      </c>
      <c r="AF55" s="6">
        <f t="shared" ref="AF55:AF56" si="180">AE55+AE$6</f>
        <v>47453</v>
      </c>
      <c r="AG55" s="6">
        <f t="shared" ref="AG55:AG56" si="181">AF55+AF$6</f>
        <v>47455</v>
      </c>
      <c r="AH55" s="6">
        <f t="shared" ref="AH55:AH56" si="182">AG55+AG$6</f>
        <v>47457</v>
      </c>
      <c r="AI55" s="6">
        <f t="shared" ref="AI55:AI56" si="183">AH55+AH$6</f>
        <v>47459</v>
      </c>
      <c r="AJ55" s="6">
        <f t="shared" ref="AJ55:AJ56" si="184">AI55+AI$6</f>
        <v>47461</v>
      </c>
      <c r="AK55" s="6">
        <f t="shared" ref="AK55:AK56" si="185">AJ55+AJ$6</f>
        <v>47463</v>
      </c>
      <c r="AL55" s="6">
        <f t="shared" ref="AL55:AL56" si="186">AK55+AK$6</f>
        <v>47465</v>
      </c>
      <c r="AM55" s="6">
        <f t="shared" ref="AM55:AM56" si="187">AL55+AL$6</f>
        <v>47467</v>
      </c>
      <c r="AN55" s="6">
        <f t="shared" ref="AN55:AN56" si="188">AM55+AM$6</f>
        <v>47469</v>
      </c>
      <c r="AO55" s="6">
        <f t="shared" ref="AO55:AO56" si="189">AN55+AN$6</f>
        <v>47471</v>
      </c>
      <c r="AP55" s="6">
        <f t="shared" ref="AP55:AP56" si="190">AO55+AO$6</f>
        <v>47473</v>
      </c>
      <c r="AQ55" s="6">
        <f t="shared" ref="AQ55:AQ56" si="191">AP55+AP$6</f>
        <v>47475</v>
      </c>
      <c r="AR55" s="6">
        <f t="shared" ref="AR55:AR56" si="192">AQ55+AQ$6</f>
        <v>47477</v>
      </c>
      <c r="AS55" s="14">
        <f t="shared" ref="AS55:AS56" si="193">AR55+AR$6</f>
        <v>47479</v>
      </c>
      <c r="AT55" s="6">
        <f t="shared" ref="AT55:AT56" si="194">AS55+AS$6</f>
        <v>47481</v>
      </c>
      <c r="AU55" s="6">
        <f t="shared" ref="AU55:AU56" si="195">AT55+AT$6</f>
        <v>47483</v>
      </c>
      <c r="AV55" s="6">
        <f t="shared" ref="AV55:AV56" si="196">AU55+AU$6</f>
        <v>47485</v>
      </c>
      <c r="AW55" s="6">
        <f t="shared" ref="AW55:AW56" si="197">AV55+AV$6</f>
        <v>47487</v>
      </c>
      <c r="AX55" s="6">
        <f t="shared" ref="AX55:AX56" si="198">AW55+AW$6</f>
        <v>47489</v>
      </c>
      <c r="AY55" s="6">
        <f t="shared" ref="AY55:AY56" si="199">AX55+AX$6</f>
        <v>47491</v>
      </c>
      <c r="AZ55" s="6">
        <f t="shared" ref="AZ55:AZ56" si="200">AY55+AY$6</f>
        <v>47493</v>
      </c>
      <c r="BA55" s="6">
        <f t="shared" ref="BA55:BA56" si="201">AZ55+AZ$6</f>
        <v>47495</v>
      </c>
      <c r="BB55" s="6">
        <f t="shared" ref="BB55:BB56" si="202">BA55+BA$6</f>
        <v>47497</v>
      </c>
      <c r="BC55" s="6">
        <f t="shared" ref="BC55:BC56" si="203">BB55+BB$6</f>
        <v>47499</v>
      </c>
      <c r="BD55" s="6">
        <f t="shared" ref="BD55:BD56" si="204">BC55+BC$6</f>
        <v>47501</v>
      </c>
      <c r="BE55" s="6">
        <f t="shared" ref="BE55:BE56" si="205">BD55+BD$6</f>
        <v>47503</v>
      </c>
      <c r="BF55" s="6">
        <f t="shared" ref="BF55:BF56" si="206">BE55+BE$6</f>
        <v>47505</v>
      </c>
      <c r="BG55" s="6">
        <f t="shared" ref="BG55:BG56" si="207">BF55+BF$6</f>
        <v>47507</v>
      </c>
      <c r="BH55" s="6">
        <f t="shared" ref="BH55:BH56" si="208">BG55+BG$6</f>
        <v>47509</v>
      </c>
      <c r="BI55" s="6">
        <f t="shared" ref="BI55:BI56" si="209">BH55+BH$6</f>
        <v>47511</v>
      </c>
      <c r="BJ55" s="6">
        <f t="shared" ref="BJ55:BJ56" si="210">BI55+BI$6</f>
        <v>47513</v>
      </c>
      <c r="BK55" s="6">
        <f t="shared" si="163"/>
        <v>47515</v>
      </c>
      <c r="BL55" s="6">
        <f t="shared" si="163"/>
        <v>47517</v>
      </c>
      <c r="BM55" s="6">
        <f t="shared" si="163"/>
        <v>47519</v>
      </c>
      <c r="BN55" s="6">
        <f t="shared" si="163"/>
        <v>47521</v>
      </c>
      <c r="BO55" s="6">
        <f t="shared" si="163"/>
        <v>47523</v>
      </c>
      <c r="BP55" s="6">
        <f t="shared" si="163"/>
        <v>47525</v>
      </c>
    </row>
    <row r="56" spans="1:68" x14ac:dyDescent="0.25">
      <c r="A56" s="3">
        <v>49</v>
      </c>
      <c r="B56" s="3" t="s">
        <v>335</v>
      </c>
      <c r="C56" s="8" t="s">
        <v>56</v>
      </c>
      <c r="D56" s="8" t="s">
        <v>290</v>
      </c>
      <c r="E56" s="4">
        <f t="shared" si="126"/>
        <v>47600</v>
      </c>
      <c r="F56" s="6">
        <f>E56+1</f>
        <v>47601</v>
      </c>
      <c r="G56" s="6">
        <f t="shared" si="155"/>
        <v>47603</v>
      </c>
      <c r="H56" s="6">
        <f t="shared" si="156"/>
        <v>47605</v>
      </c>
      <c r="I56" s="6">
        <f t="shared" ref="I56:J56" si="211">H56+H$6</f>
        <v>47607</v>
      </c>
      <c r="J56" s="6">
        <f t="shared" si="211"/>
        <v>47609</v>
      </c>
      <c r="K56" s="6">
        <f t="shared" si="158"/>
        <v>47611</v>
      </c>
      <c r="L56" s="6">
        <f t="shared" si="159"/>
        <v>47613</v>
      </c>
      <c r="M56" s="6">
        <f t="shared" si="160"/>
        <v>47615</v>
      </c>
      <c r="N56" s="6">
        <f t="shared" ref="N56:X56" si="212">M56+M$6</f>
        <v>47617</v>
      </c>
      <c r="O56" s="6">
        <f t="shared" si="212"/>
        <v>47619</v>
      </c>
      <c r="P56" s="6">
        <f t="shared" si="212"/>
        <v>47621</v>
      </c>
      <c r="Q56" s="6">
        <f>P56+P$6</f>
        <v>47623</v>
      </c>
      <c r="R56" s="6">
        <f>Q56+Q$6</f>
        <v>47625</v>
      </c>
      <c r="S56" s="6">
        <f t="shared" si="212"/>
        <v>47627</v>
      </c>
      <c r="T56" s="6">
        <f t="shared" si="212"/>
        <v>47629</v>
      </c>
      <c r="U56" s="6">
        <f t="shared" si="212"/>
        <v>47631</v>
      </c>
      <c r="V56" s="6">
        <f t="shared" si="212"/>
        <v>47633</v>
      </c>
      <c r="W56" s="6">
        <f t="shared" si="212"/>
        <v>47635</v>
      </c>
      <c r="X56" s="6">
        <f t="shared" si="212"/>
        <v>47637</v>
      </c>
      <c r="Y56" s="6">
        <f t="shared" si="149"/>
        <v>47639</v>
      </c>
      <c r="Z56" s="6"/>
      <c r="AA56" s="14">
        <f t="shared" si="84"/>
        <v>47643</v>
      </c>
      <c r="AB56" s="6">
        <f t="shared" si="176"/>
        <v>47645</v>
      </c>
      <c r="AC56" s="6">
        <f t="shared" si="177"/>
        <v>47647</v>
      </c>
      <c r="AD56" s="6">
        <f t="shared" si="178"/>
        <v>47649</v>
      </c>
      <c r="AE56" s="6">
        <f t="shared" si="179"/>
        <v>47651</v>
      </c>
      <c r="AF56" s="6">
        <f t="shared" si="180"/>
        <v>47653</v>
      </c>
      <c r="AG56" s="6">
        <f t="shared" si="181"/>
        <v>47655</v>
      </c>
      <c r="AH56" s="6">
        <f t="shared" si="182"/>
        <v>47657</v>
      </c>
      <c r="AI56" s="6">
        <f t="shared" si="183"/>
        <v>47659</v>
      </c>
      <c r="AJ56" s="6">
        <f t="shared" si="184"/>
        <v>47661</v>
      </c>
      <c r="AK56" s="6">
        <f t="shared" si="185"/>
        <v>47663</v>
      </c>
      <c r="AL56" s="6">
        <f t="shared" si="186"/>
        <v>47665</v>
      </c>
      <c r="AM56" s="6">
        <f t="shared" si="187"/>
        <v>47667</v>
      </c>
      <c r="AN56" s="6">
        <f t="shared" si="188"/>
        <v>47669</v>
      </c>
      <c r="AO56" s="6">
        <f t="shared" si="189"/>
        <v>47671</v>
      </c>
      <c r="AP56" s="6">
        <f t="shared" si="190"/>
        <v>47673</v>
      </c>
      <c r="AQ56" s="6">
        <f t="shared" si="191"/>
        <v>47675</v>
      </c>
      <c r="AR56" s="6">
        <f t="shared" si="192"/>
        <v>47677</v>
      </c>
      <c r="AS56" s="14">
        <f t="shared" si="193"/>
        <v>47679</v>
      </c>
      <c r="AT56" s="6">
        <f t="shared" si="194"/>
        <v>47681</v>
      </c>
      <c r="AU56" s="6">
        <f t="shared" si="195"/>
        <v>47683</v>
      </c>
      <c r="AV56" s="6">
        <f t="shared" si="196"/>
        <v>47685</v>
      </c>
      <c r="AW56" s="6">
        <f t="shared" si="197"/>
        <v>47687</v>
      </c>
      <c r="AX56" s="6">
        <f t="shared" si="198"/>
        <v>47689</v>
      </c>
      <c r="AY56" s="6">
        <f t="shared" si="199"/>
        <v>47691</v>
      </c>
      <c r="AZ56" s="6">
        <f t="shared" si="200"/>
        <v>47693</v>
      </c>
      <c r="BA56" s="6">
        <f t="shared" si="201"/>
        <v>47695</v>
      </c>
      <c r="BB56" s="6">
        <f t="shared" si="202"/>
        <v>47697</v>
      </c>
      <c r="BC56" s="6">
        <f t="shared" si="203"/>
        <v>47699</v>
      </c>
      <c r="BD56" s="6">
        <f t="shared" si="204"/>
        <v>47701</v>
      </c>
      <c r="BE56" s="6">
        <f t="shared" si="205"/>
        <v>47703</v>
      </c>
      <c r="BF56" s="6">
        <f t="shared" si="206"/>
        <v>47705</v>
      </c>
      <c r="BG56" s="6">
        <f t="shared" si="207"/>
        <v>47707</v>
      </c>
      <c r="BH56" s="6">
        <f t="shared" si="208"/>
        <v>47709</v>
      </c>
      <c r="BI56" s="6">
        <f t="shared" si="209"/>
        <v>47711</v>
      </c>
      <c r="BJ56" s="6">
        <f t="shared" si="210"/>
        <v>47713</v>
      </c>
      <c r="BK56" s="6">
        <f t="shared" si="163"/>
        <v>47715</v>
      </c>
      <c r="BL56" s="6">
        <f t="shared" si="163"/>
        <v>47717</v>
      </c>
      <c r="BM56" s="6">
        <f t="shared" si="163"/>
        <v>47719</v>
      </c>
      <c r="BN56" s="6">
        <f t="shared" si="163"/>
        <v>47721</v>
      </c>
      <c r="BO56" s="6">
        <f t="shared" si="163"/>
        <v>47723</v>
      </c>
      <c r="BP56" s="6">
        <f t="shared" si="163"/>
        <v>47725</v>
      </c>
    </row>
    <row r="57" spans="1:68" x14ac:dyDescent="0.25">
      <c r="A57" s="3">
        <v>50</v>
      </c>
      <c r="B57" s="3" t="s">
        <v>335</v>
      </c>
      <c r="C57" s="3" t="s">
        <v>252</v>
      </c>
      <c r="D57" s="3" t="s">
        <v>304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</row>
    <row r="58" spans="1:68" x14ac:dyDescent="0.25">
      <c r="A58" s="3">
        <v>51</v>
      </c>
      <c r="B58" s="3" t="s">
        <v>335</v>
      </c>
      <c r="C58" s="3" t="s">
        <v>260</v>
      </c>
      <c r="D58" s="3" t="s">
        <v>312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</row>
    <row r="59" spans="1:68" x14ac:dyDescent="0.25">
      <c r="A59" s="3">
        <v>52</v>
      </c>
      <c r="B59" s="3" t="s">
        <v>335</v>
      </c>
      <c r="C59" s="3" t="s">
        <v>230</v>
      </c>
      <c r="D59" s="3" t="s">
        <v>327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</row>
    <row r="60" spans="1:68" x14ac:dyDescent="0.25">
      <c r="A60" s="3">
        <v>53</v>
      </c>
      <c r="B60" s="3" t="s">
        <v>335</v>
      </c>
      <c r="C60" s="36" t="s">
        <v>103</v>
      </c>
      <c r="D60" s="3" t="s">
        <v>327</v>
      </c>
      <c r="E60" s="4">
        <f>E56+$E$2</f>
        <v>47800</v>
      </c>
      <c r="F60" s="6">
        <f t="shared" si="45"/>
        <v>47801</v>
      </c>
      <c r="G60" s="6">
        <f t="shared" ref="G60:G69" si="213">F60+F$6</f>
        <v>47803</v>
      </c>
      <c r="H60" s="6">
        <f t="shared" ref="H60:H69" si="214">G60+G$6</f>
        <v>47805</v>
      </c>
      <c r="I60" s="6">
        <f t="shared" ref="I60:J60" si="215">H60+H$6</f>
        <v>47807</v>
      </c>
      <c r="J60" s="6">
        <f t="shared" si="215"/>
        <v>47809</v>
      </c>
      <c r="K60" s="6">
        <f t="shared" ref="K60:K69" si="216">J60+J$6</f>
        <v>47811</v>
      </c>
      <c r="L60" s="6">
        <f t="shared" ref="L60:L69" si="217">K60+K$6</f>
        <v>47813</v>
      </c>
      <c r="M60" s="6">
        <f t="shared" ref="M60:M69" si="218">L60+L$6</f>
        <v>47815</v>
      </c>
      <c r="N60" s="6">
        <f t="shared" ref="N60:X69" si="219">M60+M$6</f>
        <v>47817</v>
      </c>
      <c r="O60" s="6">
        <f t="shared" si="219"/>
        <v>47819</v>
      </c>
      <c r="P60" s="6">
        <f t="shared" si="219"/>
        <v>47821</v>
      </c>
      <c r="Q60" s="6">
        <f t="shared" si="219"/>
        <v>47823</v>
      </c>
      <c r="R60" s="6">
        <f t="shared" si="219"/>
        <v>47825</v>
      </c>
      <c r="S60" s="6">
        <f t="shared" si="219"/>
        <v>47827</v>
      </c>
      <c r="T60" s="6">
        <f t="shared" si="219"/>
        <v>47829</v>
      </c>
      <c r="U60" s="6">
        <f t="shared" si="219"/>
        <v>47831</v>
      </c>
      <c r="V60" s="6">
        <f t="shared" si="219"/>
        <v>47833</v>
      </c>
      <c r="W60" s="6">
        <f t="shared" si="219"/>
        <v>47835</v>
      </c>
      <c r="X60" s="6">
        <f t="shared" si="219"/>
        <v>47837</v>
      </c>
      <c r="Y60" s="6">
        <f t="shared" ref="Y60:Z120" si="220">X60+X$6</f>
        <v>47839</v>
      </c>
      <c r="Z60" s="6">
        <f t="shared" si="53"/>
        <v>47841</v>
      </c>
      <c r="AA60" s="14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14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</row>
    <row r="61" spans="1:68" x14ac:dyDescent="0.25">
      <c r="A61" s="3">
        <v>54</v>
      </c>
      <c r="B61" s="3" t="s">
        <v>335</v>
      </c>
      <c r="C61" s="36" t="s">
        <v>104</v>
      </c>
      <c r="D61" s="3" t="s">
        <v>327</v>
      </c>
      <c r="E61" s="4">
        <f t="shared" ref="E61:E69" si="221">E60+$E$2</f>
        <v>48000</v>
      </c>
      <c r="F61" s="6">
        <f t="shared" si="45"/>
        <v>48001</v>
      </c>
      <c r="G61" s="6">
        <f t="shared" si="213"/>
        <v>48003</v>
      </c>
      <c r="H61" s="6">
        <f t="shared" si="214"/>
        <v>48005</v>
      </c>
      <c r="I61" s="6">
        <f t="shared" ref="I61:J61" si="222">H61+H$6</f>
        <v>48007</v>
      </c>
      <c r="J61" s="6">
        <f t="shared" si="222"/>
        <v>48009</v>
      </c>
      <c r="K61" s="6">
        <f t="shared" si="216"/>
        <v>48011</v>
      </c>
      <c r="L61" s="6">
        <f t="shared" si="217"/>
        <v>48013</v>
      </c>
      <c r="M61" s="6">
        <f t="shared" si="218"/>
        <v>48015</v>
      </c>
      <c r="N61" s="6">
        <f t="shared" ref="N61:X61" si="223">M61+M$6</f>
        <v>48017</v>
      </c>
      <c r="O61" s="6">
        <f t="shared" si="223"/>
        <v>48019</v>
      </c>
      <c r="P61" s="6">
        <f t="shared" si="223"/>
        <v>48021</v>
      </c>
      <c r="Q61" s="6">
        <f t="shared" si="219"/>
        <v>48023</v>
      </c>
      <c r="R61" s="6">
        <f t="shared" si="219"/>
        <v>48025</v>
      </c>
      <c r="S61" s="6">
        <f t="shared" si="223"/>
        <v>48027</v>
      </c>
      <c r="T61" s="6">
        <f t="shared" si="223"/>
        <v>48029</v>
      </c>
      <c r="U61" s="6">
        <f t="shared" si="223"/>
        <v>48031</v>
      </c>
      <c r="V61" s="6">
        <f t="shared" si="223"/>
        <v>48033</v>
      </c>
      <c r="W61" s="6">
        <f t="shared" si="223"/>
        <v>48035</v>
      </c>
      <c r="X61" s="6">
        <f t="shared" si="223"/>
        <v>48037</v>
      </c>
      <c r="Y61" s="6">
        <f t="shared" si="220"/>
        <v>48039</v>
      </c>
      <c r="Z61" s="6">
        <f t="shared" si="53"/>
        <v>48041</v>
      </c>
      <c r="AA61" s="14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14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</row>
    <row r="62" spans="1:68" x14ac:dyDescent="0.25">
      <c r="A62" s="3">
        <v>55</v>
      </c>
      <c r="B62" s="3" t="s">
        <v>335</v>
      </c>
      <c r="C62" s="36" t="s">
        <v>105</v>
      </c>
      <c r="D62" s="3" t="s">
        <v>327</v>
      </c>
      <c r="E62" s="4">
        <f t="shared" si="221"/>
        <v>48200</v>
      </c>
      <c r="F62" s="6">
        <f t="shared" si="45"/>
        <v>48201</v>
      </c>
      <c r="G62" s="6">
        <f t="shared" si="213"/>
        <v>48203</v>
      </c>
      <c r="H62" s="6">
        <f t="shared" si="214"/>
        <v>48205</v>
      </c>
      <c r="I62" s="6">
        <f t="shared" ref="I62:J62" si="224">H62+H$6</f>
        <v>48207</v>
      </c>
      <c r="J62" s="6">
        <f t="shared" si="224"/>
        <v>48209</v>
      </c>
      <c r="K62" s="6">
        <f t="shared" si="216"/>
        <v>48211</v>
      </c>
      <c r="L62" s="6">
        <f t="shared" si="217"/>
        <v>48213</v>
      </c>
      <c r="M62" s="6">
        <f t="shared" si="218"/>
        <v>48215</v>
      </c>
      <c r="N62" s="6">
        <f t="shared" ref="N62:X62" si="225">M62+M$6</f>
        <v>48217</v>
      </c>
      <c r="O62" s="6">
        <f t="shared" si="225"/>
        <v>48219</v>
      </c>
      <c r="P62" s="6">
        <f t="shared" si="225"/>
        <v>48221</v>
      </c>
      <c r="Q62" s="6">
        <f t="shared" si="219"/>
        <v>48223</v>
      </c>
      <c r="R62" s="6">
        <f t="shared" si="219"/>
        <v>48225</v>
      </c>
      <c r="S62" s="6">
        <f t="shared" si="225"/>
        <v>48227</v>
      </c>
      <c r="T62" s="6">
        <f t="shared" si="225"/>
        <v>48229</v>
      </c>
      <c r="U62" s="6">
        <f t="shared" si="225"/>
        <v>48231</v>
      </c>
      <c r="V62" s="6">
        <f t="shared" si="225"/>
        <v>48233</v>
      </c>
      <c r="W62" s="6">
        <f t="shared" si="225"/>
        <v>48235</v>
      </c>
      <c r="X62" s="6">
        <f t="shared" si="225"/>
        <v>48237</v>
      </c>
      <c r="Y62" s="6">
        <f t="shared" si="220"/>
        <v>48239</v>
      </c>
      <c r="Z62" s="6">
        <f t="shared" si="53"/>
        <v>48241</v>
      </c>
      <c r="AA62" s="14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14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</row>
    <row r="63" spans="1:68" x14ac:dyDescent="0.25">
      <c r="A63" s="3">
        <v>56</v>
      </c>
      <c r="B63" s="3" t="s">
        <v>335</v>
      </c>
      <c r="C63" s="36" t="s">
        <v>106</v>
      </c>
      <c r="D63" s="3" t="s">
        <v>327</v>
      </c>
      <c r="E63" s="4">
        <f t="shared" si="221"/>
        <v>48400</v>
      </c>
      <c r="F63" s="6">
        <f t="shared" si="45"/>
        <v>48401</v>
      </c>
      <c r="G63" s="6">
        <f t="shared" si="213"/>
        <v>48403</v>
      </c>
      <c r="H63" s="6">
        <f t="shared" si="214"/>
        <v>48405</v>
      </c>
      <c r="I63" s="6">
        <f t="shared" ref="I63:J63" si="226">H63+H$6</f>
        <v>48407</v>
      </c>
      <c r="J63" s="6">
        <f t="shared" si="226"/>
        <v>48409</v>
      </c>
      <c r="K63" s="6">
        <f t="shared" si="216"/>
        <v>48411</v>
      </c>
      <c r="L63" s="6">
        <f t="shared" si="217"/>
        <v>48413</v>
      </c>
      <c r="M63" s="6">
        <f t="shared" si="218"/>
        <v>48415</v>
      </c>
      <c r="N63" s="6">
        <f t="shared" ref="N63:X63" si="227">M63+M$6</f>
        <v>48417</v>
      </c>
      <c r="O63" s="6">
        <f t="shared" si="227"/>
        <v>48419</v>
      </c>
      <c r="P63" s="6">
        <f t="shared" si="227"/>
        <v>48421</v>
      </c>
      <c r="Q63" s="6">
        <f t="shared" si="219"/>
        <v>48423</v>
      </c>
      <c r="R63" s="6">
        <f t="shared" si="219"/>
        <v>48425</v>
      </c>
      <c r="S63" s="6">
        <f t="shared" si="227"/>
        <v>48427</v>
      </c>
      <c r="T63" s="6">
        <f t="shared" si="227"/>
        <v>48429</v>
      </c>
      <c r="U63" s="6">
        <f t="shared" si="227"/>
        <v>48431</v>
      </c>
      <c r="V63" s="6">
        <f t="shared" si="227"/>
        <v>48433</v>
      </c>
      <c r="W63" s="6">
        <f t="shared" si="227"/>
        <v>48435</v>
      </c>
      <c r="X63" s="6">
        <f t="shared" si="227"/>
        <v>48437</v>
      </c>
      <c r="Y63" s="6">
        <f t="shared" si="220"/>
        <v>48439</v>
      </c>
      <c r="Z63" s="6">
        <f t="shared" si="53"/>
        <v>48441</v>
      </c>
      <c r="AA63" s="14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14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</row>
    <row r="64" spans="1:68" x14ac:dyDescent="0.25">
      <c r="A64" s="3">
        <v>57</v>
      </c>
      <c r="B64" s="3" t="s">
        <v>335</v>
      </c>
      <c r="C64" s="36" t="s">
        <v>107</v>
      </c>
      <c r="D64" s="3" t="s">
        <v>327</v>
      </c>
      <c r="E64" s="4">
        <f t="shared" si="221"/>
        <v>48600</v>
      </c>
      <c r="F64" s="6">
        <f t="shared" si="45"/>
        <v>48601</v>
      </c>
      <c r="G64" s="6">
        <f t="shared" si="213"/>
        <v>48603</v>
      </c>
      <c r="H64" s="6">
        <f t="shared" si="214"/>
        <v>48605</v>
      </c>
      <c r="I64" s="6">
        <f t="shared" ref="I64:J64" si="228">H64+H$6</f>
        <v>48607</v>
      </c>
      <c r="J64" s="6">
        <f t="shared" si="228"/>
        <v>48609</v>
      </c>
      <c r="K64" s="6">
        <f t="shared" si="216"/>
        <v>48611</v>
      </c>
      <c r="L64" s="6">
        <f t="shared" si="217"/>
        <v>48613</v>
      </c>
      <c r="M64" s="6">
        <f t="shared" si="218"/>
        <v>48615</v>
      </c>
      <c r="N64" s="6">
        <f t="shared" ref="N64:X64" si="229">M64+M$6</f>
        <v>48617</v>
      </c>
      <c r="O64" s="6">
        <f t="shared" si="229"/>
        <v>48619</v>
      </c>
      <c r="P64" s="6">
        <f t="shared" si="229"/>
        <v>48621</v>
      </c>
      <c r="Q64" s="6">
        <f t="shared" si="219"/>
        <v>48623</v>
      </c>
      <c r="R64" s="6">
        <f t="shared" si="219"/>
        <v>48625</v>
      </c>
      <c r="S64" s="6">
        <f t="shared" si="229"/>
        <v>48627</v>
      </c>
      <c r="T64" s="6">
        <f t="shared" si="229"/>
        <v>48629</v>
      </c>
      <c r="U64" s="6">
        <f t="shared" si="229"/>
        <v>48631</v>
      </c>
      <c r="V64" s="6">
        <f t="shared" si="229"/>
        <v>48633</v>
      </c>
      <c r="W64" s="6">
        <f t="shared" si="229"/>
        <v>48635</v>
      </c>
      <c r="X64" s="6">
        <f t="shared" si="229"/>
        <v>48637</v>
      </c>
      <c r="Y64" s="6">
        <f t="shared" si="220"/>
        <v>48639</v>
      </c>
      <c r="Z64" s="6">
        <f t="shared" si="53"/>
        <v>48641</v>
      </c>
      <c r="AA64" s="14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14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</row>
    <row r="65" spans="1:68" x14ac:dyDescent="0.25">
      <c r="A65" s="3">
        <v>58</v>
      </c>
      <c r="B65" s="3" t="s">
        <v>335</v>
      </c>
      <c r="C65" s="36" t="s">
        <v>108</v>
      </c>
      <c r="D65" s="3" t="s">
        <v>327</v>
      </c>
      <c r="E65" s="4">
        <f t="shared" si="221"/>
        <v>48800</v>
      </c>
      <c r="F65" s="6">
        <f t="shared" si="45"/>
        <v>48801</v>
      </c>
      <c r="G65" s="6">
        <f t="shared" si="213"/>
        <v>48803</v>
      </c>
      <c r="H65" s="6">
        <f t="shared" si="214"/>
        <v>48805</v>
      </c>
      <c r="I65" s="6">
        <f t="shared" ref="I65:J65" si="230">H65+H$6</f>
        <v>48807</v>
      </c>
      <c r="J65" s="6">
        <f t="shared" si="230"/>
        <v>48809</v>
      </c>
      <c r="K65" s="6">
        <f t="shared" si="216"/>
        <v>48811</v>
      </c>
      <c r="L65" s="6">
        <f t="shared" si="217"/>
        <v>48813</v>
      </c>
      <c r="M65" s="6">
        <f t="shared" si="218"/>
        <v>48815</v>
      </c>
      <c r="N65" s="6">
        <f t="shared" ref="N65:X65" si="231">M65+M$6</f>
        <v>48817</v>
      </c>
      <c r="O65" s="6">
        <f t="shared" si="231"/>
        <v>48819</v>
      </c>
      <c r="P65" s="6">
        <f t="shared" si="231"/>
        <v>48821</v>
      </c>
      <c r="Q65" s="6">
        <f t="shared" si="219"/>
        <v>48823</v>
      </c>
      <c r="R65" s="6">
        <f t="shared" si="219"/>
        <v>48825</v>
      </c>
      <c r="S65" s="6">
        <f t="shared" si="231"/>
        <v>48827</v>
      </c>
      <c r="T65" s="6">
        <f t="shared" si="231"/>
        <v>48829</v>
      </c>
      <c r="U65" s="6">
        <f t="shared" si="231"/>
        <v>48831</v>
      </c>
      <c r="V65" s="6">
        <f t="shared" si="231"/>
        <v>48833</v>
      </c>
      <c r="W65" s="6">
        <f t="shared" si="231"/>
        <v>48835</v>
      </c>
      <c r="X65" s="6">
        <f t="shared" si="231"/>
        <v>48837</v>
      </c>
      <c r="Y65" s="6">
        <f t="shared" si="220"/>
        <v>48839</v>
      </c>
      <c r="Z65" s="6">
        <f t="shared" si="53"/>
        <v>48841</v>
      </c>
      <c r="AA65" s="14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14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</row>
    <row r="66" spans="1:68" x14ac:dyDescent="0.25">
      <c r="A66" s="3">
        <v>59</v>
      </c>
      <c r="B66" s="3" t="s">
        <v>335</v>
      </c>
      <c r="C66" s="36" t="s">
        <v>109</v>
      </c>
      <c r="D66" s="3" t="s">
        <v>327</v>
      </c>
      <c r="E66" s="4">
        <f t="shared" si="221"/>
        <v>49000</v>
      </c>
      <c r="F66" s="6">
        <f t="shared" ref="F66:F167" si="232">E66+1</f>
        <v>49001</v>
      </c>
      <c r="G66" s="6">
        <f t="shared" si="213"/>
        <v>49003</v>
      </c>
      <c r="H66" s="6">
        <f t="shared" si="214"/>
        <v>49005</v>
      </c>
      <c r="I66" s="6">
        <f t="shared" ref="I66:J66" si="233">H66+H$6</f>
        <v>49007</v>
      </c>
      <c r="J66" s="6">
        <f t="shared" si="233"/>
        <v>49009</v>
      </c>
      <c r="K66" s="6">
        <f t="shared" si="216"/>
        <v>49011</v>
      </c>
      <c r="L66" s="6">
        <f t="shared" si="217"/>
        <v>49013</v>
      </c>
      <c r="M66" s="6">
        <f t="shared" si="218"/>
        <v>49015</v>
      </c>
      <c r="N66" s="6">
        <f t="shared" ref="N66:X66" si="234">M66+M$6</f>
        <v>49017</v>
      </c>
      <c r="O66" s="6">
        <f t="shared" si="234"/>
        <v>49019</v>
      </c>
      <c r="P66" s="6">
        <f t="shared" si="234"/>
        <v>49021</v>
      </c>
      <c r="Q66" s="6">
        <f t="shared" si="219"/>
        <v>49023</v>
      </c>
      <c r="R66" s="6">
        <f t="shared" si="219"/>
        <v>49025</v>
      </c>
      <c r="S66" s="6">
        <f t="shared" si="234"/>
        <v>49027</v>
      </c>
      <c r="T66" s="6">
        <f t="shared" si="234"/>
        <v>49029</v>
      </c>
      <c r="U66" s="6">
        <f t="shared" si="234"/>
        <v>49031</v>
      </c>
      <c r="V66" s="6">
        <f t="shared" si="234"/>
        <v>49033</v>
      </c>
      <c r="W66" s="6">
        <f t="shared" si="234"/>
        <v>49035</v>
      </c>
      <c r="X66" s="6">
        <f t="shared" si="234"/>
        <v>49037</v>
      </c>
      <c r="Y66" s="6">
        <f t="shared" si="220"/>
        <v>49039</v>
      </c>
      <c r="Z66" s="6">
        <f t="shared" si="53"/>
        <v>49041</v>
      </c>
      <c r="AA66" s="14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14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</row>
    <row r="67" spans="1:68" x14ac:dyDescent="0.25">
      <c r="A67" s="3">
        <v>60</v>
      </c>
      <c r="B67" s="3" t="s">
        <v>335</v>
      </c>
      <c r="C67" s="36" t="s">
        <v>110</v>
      </c>
      <c r="D67" s="3" t="s">
        <v>327</v>
      </c>
      <c r="E67" s="4">
        <f t="shared" si="221"/>
        <v>49200</v>
      </c>
      <c r="F67" s="6">
        <f t="shared" si="232"/>
        <v>49201</v>
      </c>
      <c r="G67" s="6">
        <f t="shared" si="213"/>
        <v>49203</v>
      </c>
      <c r="H67" s="6">
        <f t="shared" si="214"/>
        <v>49205</v>
      </c>
      <c r="I67" s="6">
        <f t="shared" ref="I67:J67" si="235">H67+H$6</f>
        <v>49207</v>
      </c>
      <c r="J67" s="6">
        <f t="shared" si="235"/>
        <v>49209</v>
      </c>
      <c r="K67" s="6">
        <f t="shared" si="216"/>
        <v>49211</v>
      </c>
      <c r="L67" s="6">
        <f t="shared" si="217"/>
        <v>49213</v>
      </c>
      <c r="M67" s="6">
        <f t="shared" si="218"/>
        <v>49215</v>
      </c>
      <c r="N67" s="6">
        <f t="shared" ref="N67:X67" si="236">M67+M$6</f>
        <v>49217</v>
      </c>
      <c r="O67" s="6">
        <f t="shared" si="236"/>
        <v>49219</v>
      </c>
      <c r="P67" s="6">
        <f t="shared" si="236"/>
        <v>49221</v>
      </c>
      <c r="Q67" s="6">
        <f t="shared" si="219"/>
        <v>49223</v>
      </c>
      <c r="R67" s="6">
        <f t="shared" si="219"/>
        <v>49225</v>
      </c>
      <c r="S67" s="6">
        <f t="shared" si="236"/>
        <v>49227</v>
      </c>
      <c r="T67" s="6">
        <f t="shared" si="236"/>
        <v>49229</v>
      </c>
      <c r="U67" s="6">
        <f t="shared" si="236"/>
        <v>49231</v>
      </c>
      <c r="V67" s="6">
        <f t="shared" si="236"/>
        <v>49233</v>
      </c>
      <c r="W67" s="6">
        <f t="shared" si="236"/>
        <v>49235</v>
      </c>
      <c r="X67" s="6">
        <f t="shared" si="236"/>
        <v>49237</v>
      </c>
      <c r="Y67" s="6">
        <f t="shared" si="220"/>
        <v>49239</v>
      </c>
      <c r="Z67" s="6">
        <f t="shared" si="53"/>
        <v>49241</v>
      </c>
      <c r="AA67" s="14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14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</row>
    <row r="68" spans="1:68" x14ac:dyDescent="0.25">
      <c r="A68" s="3">
        <v>61</v>
      </c>
      <c r="B68" s="3" t="s">
        <v>335</v>
      </c>
      <c r="C68" s="36" t="s">
        <v>111</v>
      </c>
      <c r="D68" s="3" t="s">
        <v>327</v>
      </c>
      <c r="E68" s="4">
        <f t="shared" si="221"/>
        <v>49400</v>
      </c>
      <c r="F68" s="6">
        <f t="shared" si="232"/>
        <v>49401</v>
      </c>
      <c r="G68" s="6">
        <f t="shared" si="213"/>
        <v>49403</v>
      </c>
      <c r="H68" s="6">
        <f t="shared" si="214"/>
        <v>49405</v>
      </c>
      <c r="I68" s="6">
        <f t="shared" ref="I68:J68" si="237">H68+H$6</f>
        <v>49407</v>
      </c>
      <c r="J68" s="6">
        <f t="shared" si="237"/>
        <v>49409</v>
      </c>
      <c r="K68" s="6">
        <f t="shared" si="216"/>
        <v>49411</v>
      </c>
      <c r="L68" s="6">
        <f t="shared" si="217"/>
        <v>49413</v>
      </c>
      <c r="M68" s="6">
        <f t="shared" si="218"/>
        <v>49415</v>
      </c>
      <c r="N68" s="6">
        <f t="shared" ref="N68:X68" si="238">M68+M$6</f>
        <v>49417</v>
      </c>
      <c r="O68" s="6">
        <f t="shared" si="238"/>
        <v>49419</v>
      </c>
      <c r="P68" s="6">
        <f t="shared" si="238"/>
        <v>49421</v>
      </c>
      <c r="Q68" s="6">
        <f t="shared" si="219"/>
        <v>49423</v>
      </c>
      <c r="R68" s="6">
        <f t="shared" si="219"/>
        <v>49425</v>
      </c>
      <c r="S68" s="6">
        <f t="shared" si="238"/>
        <v>49427</v>
      </c>
      <c r="T68" s="6">
        <f t="shared" si="238"/>
        <v>49429</v>
      </c>
      <c r="U68" s="6">
        <f t="shared" si="238"/>
        <v>49431</v>
      </c>
      <c r="V68" s="6">
        <f t="shared" si="238"/>
        <v>49433</v>
      </c>
      <c r="W68" s="6">
        <f t="shared" si="238"/>
        <v>49435</v>
      </c>
      <c r="X68" s="6">
        <f t="shared" si="238"/>
        <v>49437</v>
      </c>
      <c r="Y68" s="6">
        <f t="shared" si="220"/>
        <v>49439</v>
      </c>
      <c r="Z68" s="6">
        <f t="shared" si="53"/>
        <v>49441</v>
      </c>
      <c r="AA68" s="14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14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</row>
    <row r="69" spans="1:68" x14ac:dyDescent="0.25">
      <c r="A69" s="3">
        <v>62</v>
      </c>
      <c r="B69" s="3" t="s">
        <v>335</v>
      </c>
      <c r="C69" s="36" t="s">
        <v>112</v>
      </c>
      <c r="D69" s="3" t="s">
        <v>327</v>
      </c>
      <c r="E69" s="4">
        <f t="shared" si="221"/>
        <v>49600</v>
      </c>
      <c r="F69" s="6">
        <f t="shared" si="232"/>
        <v>49601</v>
      </c>
      <c r="G69" s="6">
        <f t="shared" si="213"/>
        <v>49603</v>
      </c>
      <c r="H69" s="6">
        <f t="shared" si="214"/>
        <v>49605</v>
      </c>
      <c r="I69" s="6">
        <f t="shared" ref="I69:J69" si="239">H69+H$6</f>
        <v>49607</v>
      </c>
      <c r="J69" s="6">
        <f t="shared" si="239"/>
        <v>49609</v>
      </c>
      <c r="K69" s="6">
        <f t="shared" si="216"/>
        <v>49611</v>
      </c>
      <c r="L69" s="6">
        <f t="shared" si="217"/>
        <v>49613</v>
      </c>
      <c r="M69" s="6">
        <f t="shared" si="218"/>
        <v>49615</v>
      </c>
      <c r="N69" s="6">
        <f t="shared" ref="N69:X69" si="240">M69+M$6</f>
        <v>49617</v>
      </c>
      <c r="O69" s="6">
        <f t="shared" si="240"/>
        <v>49619</v>
      </c>
      <c r="P69" s="6">
        <f t="shared" si="240"/>
        <v>49621</v>
      </c>
      <c r="Q69" s="6">
        <f t="shared" si="219"/>
        <v>49623</v>
      </c>
      <c r="R69" s="6">
        <f t="shared" si="219"/>
        <v>49625</v>
      </c>
      <c r="S69" s="6">
        <f t="shared" si="240"/>
        <v>49627</v>
      </c>
      <c r="T69" s="6">
        <f t="shared" si="240"/>
        <v>49629</v>
      </c>
      <c r="U69" s="6">
        <f t="shared" si="240"/>
        <v>49631</v>
      </c>
      <c r="V69" s="6">
        <f t="shared" si="240"/>
        <v>49633</v>
      </c>
      <c r="W69" s="6">
        <f t="shared" si="240"/>
        <v>49635</v>
      </c>
      <c r="X69" s="6">
        <f t="shared" si="240"/>
        <v>49637</v>
      </c>
      <c r="Y69" s="6">
        <f t="shared" si="220"/>
        <v>49639</v>
      </c>
      <c r="Z69" s="6">
        <f t="shared" si="53"/>
        <v>49641</v>
      </c>
      <c r="AA69" s="14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14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</row>
    <row r="70" spans="1:68" x14ac:dyDescent="0.25">
      <c r="A70" s="3">
        <v>63</v>
      </c>
      <c r="B70" s="3" t="s">
        <v>335</v>
      </c>
      <c r="C70" s="3" t="s">
        <v>231</v>
      </c>
      <c r="D70" s="3" t="s">
        <v>321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</row>
    <row r="71" spans="1:68" x14ac:dyDescent="0.25">
      <c r="A71" s="3">
        <v>64</v>
      </c>
      <c r="B71" s="3" t="s">
        <v>335</v>
      </c>
      <c r="C71" s="10" t="s">
        <v>269</v>
      </c>
      <c r="D71" s="10" t="s">
        <v>321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</row>
    <row r="72" spans="1:68" x14ac:dyDescent="0.25">
      <c r="A72" s="3">
        <v>65</v>
      </c>
      <c r="B72" s="3" t="s">
        <v>335</v>
      </c>
      <c r="C72" s="36" t="s">
        <v>113</v>
      </c>
      <c r="D72" s="3" t="s">
        <v>321</v>
      </c>
      <c r="E72" s="4">
        <f>E69+$E$2</f>
        <v>49800</v>
      </c>
      <c r="F72" s="6">
        <f t="shared" si="232"/>
        <v>49801</v>
      </c>
      <c r="G72" s="6">
        <f t="shared" ref="G72:G77" si="241">F72+F$6</f>
        <v>49803</v>
      </c>
      <c r="H72" s="6">
        <f t="shared" ref="H72:H77" si="242">G72+G$6</f>
        <v>49805</v>
      </c>
      <c r="I72" s="6">
        <f t="shared" ref="I72:J72" si="243">H72+H$6</f>
        <v>49807</v>
      </c>
      <c r="J72" s="6">
        <f t="shared" si="243"/>
        <v>49809</v>
      </c>
      <c r="K72" s="6">
        <f t="shared" ref="K72:K77" si="244">J72+J$6</f>
        <v>49811</v>
      </c>
      <c r="L72" s="6">
        <f t="shared" ref="L72:L77" si="245">K72+K$6</f>
        <v>49813</v>
      </c>
      <c r="M72" s="6">
        <f t="shared" ref="M72:M77" si="246">L72+L$6</f>
        <v>49815</v>
      </c>
      <c r="N72" s="6">
        <f t="shared" ref="N72:X77" si="247">M72+M$6</f>
        <v>49817</v>
      </c>
      <c r="O72" s="6">
        <f t="shared" si="247"/>
        <v>49819</v>
      </c>
      <c r="P72" s="6">
        <f t="shared" si="247"/>
        <v>49821</v>
      </c>
      <c r="Q72" s="6">
        <f t="shared" si="247"/>
        <v>49823</v>
      </c>
      <c r="R72" s="6">
        <f t="shared" si="247"/>
        <v>49825</v>
      </c>
      <c r="S72" s="6">
        <f t="shared" si="247"/>
        <v>49827</v>
      </c>
      <c r="T72" s="6">
        <f t="shared" si="247"/>
        <v>49829</v>
      </c>
      <c r="U72" s="6">
        <f t="shared" si="247"/>
        <v>49831</v>
      </c>
      <c r="V72" s="6">
        <f t="shared" si="247"/>
        <v>49833</v>
      </c>
      <c r="W72" s="6">
        <f t="shared" si="247"/>
        <v>49835</v>
      </c>
      <c r="X72" s="6">
        <f t="shared" si="247"/>
        <v>49837</v>
      </c>
      <c r="Y72" s="6">
        <f t="shared" si="220"/>
        <v>49839</v>
      </c>
      <c r="Z72" s="6">
        <f t="shared" si="53"/>
        <v>49841</v>
      </c>
      <c r="AA72" s="14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14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</row>
    <row r="73" spans="1:68" x14ac:dyDescent="0.25">
      <c r="A73" s="3">
        <v>66</v>
      </c>
      <c r="B73" s="3" t="s">
        <v>335</v>
      </c>
      <c r="C73" s="36" t="s">
        <v>114</v>
      </c>
      <c r="D73" s="3" t="s">
        <v>321</v>
      </c>
      <c r="E73" s="4">
        <f t="shared" ref="E73:E77" si="248">E72+$E$2</f>
        <v>50000</v>
      </c>
      <c r="F73" s="6">
        <f t="shared" si="232"/>
        <v>50001</v>
      </c>
      <c r="G73" s="6">
        <f t="shared" si="241"/>
        <v>50003</v>
      </c>
      <c r="H73" s="6">
        <f t="shared" si="242"/>
        <v>50005</v>
      </c>
      <c r="I73" s="6">
        <f t="shared" ref="I73:J73" si="249">H73+H$6</f>
        <v>50007</v>
      </c>
      <c r="J73" s="6">
        <f t="shared" si="249"/>
        <v>50009</v>
      </c>
      <c r="K73" s="6">
        <f t="shared" si="244"/>
        <v>50011</v>
      </c>
      <c r="L73" s="6">
        <f t="shared" si="245"/>
        <v>50013</v>
      </c>
      <c r="M73" s="6">
        <f t="shared" si="246"/>
        <v>50015</v>
      </c>
      <c r="N73" s="6">
        <f t="shared" ref="N73:BP77" si="250">M73+M$6</f>
        <v>50017</v>
      </c>
      <c r="O73" s="6">
        <f t="shared" si="250"/>
        <v>50019</v>
      </c>
      <c r="P73" s="6">
        <f t="shared" si="250"/>
        <v>50021</v>
      </c>
      <c r="Q73" s="6">
        <f t="shared" si="247"/>
        <v>50023</v>
      </c>
      <c r="R73" s="6">
        <f t="shared" si="247"/>
        <v>50025</v>
      </c>
      <c r="S73" s="6">
        <f t="shared" si="250"/>
        <v>50027</v>
      </c>
      <c r="T73" s="6">
        <f t="shared" si="250"/>
        <v>50029</v>
      </c>
      <c r="U73" s="6">
        <f t="shared" si="250"/>
        <v>50031</v>
      </c>
      <c r="V73" s="6">
        <f t="shared" si="250"/>
        <v>50033</v>
      </c>
      <c r="W73" s="6">
        <f t="shared" si="250"/>
        <v>50035</v>
      </c>
      <c r="X73" s="6">
        <f t="shared" si="250"/>
        <v>50037</v>
      </c>
      <c r="Y73" s="6">
        <f t="shared" si="220"/>
        <v>50039</v>
      </c>
      <c r="Z73" s="6">
        <f t="shared" si="53"/>
        <v>50041</v>
      </c>
      <c r="AA73" s="14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14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</row>
    <row r="74" spans="1:68" x14ac:dyDescent="0.25">
      <c r="A74" s="3">
        <v>67</v>
      </c>
      <c r="B74" s="3" t="s">
        <v>335</v>
      </c>
      <c r="C74" s="36" t="s">
        <v>115</v>
      </c>
      <c r="D74" s="3" t="s">
        <v>321</v>
      </c>
      <c r="E74" s="4">
        <f t="shared" si="248"/>
        <v>50200</v>
      </c>
      <c r="F74" s="6">
        <f t="shared" si="232"/>
        <v>50201</v>
      </c>
      <c r="G74" s="6">
        <f t="shared" si="241"/>
        <v>50203</v>
      </c>
      <c r="H74" s="6">
        <f t="shared" si="242"/>
        <v>50205</v>
      </c>
      <c r="I74" s="6">
        <f t="shared" ref="I74:J74" si="251">H74+H$6</f>
        <v>50207</v>
      </c>
      <c r="J74" s="6">
        <f t="shared" si="251"/>
        <v>50209</v>
      </c>
      <c r="K74" s="6">
        <f t="shared" si="244"/>
        <v>50211</v>
      </c>
      <c r="L74" s="6">
        <f t="shared" si="245"/>
        <v>50213</v>
      </c>
      <c r="M74" s="6">
        <f t="shared" si="246"/>
        <v>50215</v>
      </c>
      <c r="N74" s="6">
        <f t="shared" ref="N74:X74" si="252">M74+M$6</f>
        <v>50217</v>
      </c>
      <c r="O74" s="6">
        <f t="shared" si="252"/>
        <v>50219</v>
      </c>
      <c r="P74" s="6">
        <f t="shared" si="252"/>
        <v>50221</v>
      </c>
      <c r="Q74" s="6">
        <f t="shared" si="247"/>
        <v>50223</v>
      </c>
      <c r="R74" s="6">
        <f t="shared" si="247"/>
        <v>50225</v>
      </c>
      <c r="S74" s="6">
        <f t="shared" si="252"/>
        <v>50227</v>
      </c>
      <c r="T74" s="6">
        <f t="shared" si="252"/>
        <v>50229</v>
      </c>
      <c r="U74" s="6">
        <f t="shared" si="252"/>
        <v>50231</v>
      </c>
      <c r="V74" s="6">
        <f t="shared" si="252"/>
        <v>50233</v>
      </c>
      <c r="W74" s="6">
        <f t="shared" si="252"/>
        <v>50235</v>
      </c>
      <c r="X74" s="6">
        <f t="shared" si="252"/>
        <v>50237</v>
      </c>
      <c r="Y74" s="6">
        <f t="shared" si="220"/>
        <v>50239</v>
      </c>
      <c r="Z74" s="6">
        <f t="shared" si="53"/>
        <v>50241</v>
      </c>
      <c r="AA74" s="14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14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</row>
    <row r="75" spans="1:68" x14ac:dyDescent="0.25">
      <c r="A75" s="3">
        <v>68</v>
      </c>
      <c r="B75" s="3" t="s">
        <v>335</v>
      </c>
      <c r="C75" s="36" t="s">
        <v>116</v>
      </c>
      <c r="D75" s="3" t="s">
        <v>321</v>
      </c>
      <c r="E75" s="4">
        <f t="shared" si="248"/>
        <v>50400</v>
      </c>
      <c r="F75" s="6">
        <f t="shared" si="232"/>
        <v>50401</v>
      </c>
      <c r="G75" s="6">
        <f t="shared" si="241"/>
        <v>50403</v>
      </c>
      <c r="H75" s="6">
        <f t="shared" si="242"/>
        <v>50405</v>
      </c>
      <c r="I75" s="6">
        <f t="shared" ref="I75:J75" si="253">H75+H$6</f>
        <v>50407</v>
      </c>
      <c r="J75" s="6">
        <f t="shared" si="253"/>
        <v>50409</v>
      </c>
      <c r="K75" s="6">
        <f t="shared" si="244"/>
        <v>50411</v>
      </c>
      <c r="L75" s="6">
        <f t="shared" si="245"/>
        <v>50413</v>
      </c>
      <c r="M75" s="6">
        <f t="shared" si="246"/>
        <v>50415</v>
      </c>
      <c r="N75" s="6">
        <f t="shared" ref="N75:X75" si="254">M75+M$6</f>
        <v>50417</v>
      </c>
      <c r="O75" s="6">
        <f t="shared" si="254"/>
        <v>50419</v>
      </c>
      <c r="P75" s="6">
        <f t="shared" si="254"/>
        <v>50421</v>
      </c>
      <c r="Q75" s="6">
        <f t="shared" si="247"/>
        <v>50423</v>
      </c>
      <c r="R75" s="6">
        <f t="shared" si="247"/>
        <v>50425</v>
      </c>
      <c r="S75" s="6">
        <f t="shared" si="254"/>
        <v>50427</v>
      </c>
      <c r="T75" s="6">
        <f t="shared" si="254"/>
        <v>50429</v>
      </c>
      <c r="U75" s="6">
        <f t="shared" si="254"/>
        <v>50431</v>
      </c>
      <c r="V75" s="6">
        <f t="shared" si="254"/>
        <v>50433</v>
      </c>
      <c r="W75" s="6">
        <f t="shared" si="254"/>
        <v>50435</v>
      </c>
      <c r="X75" s="6">
        <f t="shared" si="254"/>
        <v>50437</v>
      </c>
      <c r="Y75" s="6">
        <f t="shared" si="220"/>
        <v>50439</v>
      </c>
      <c r="Z75" s="6">
        <f t="shared" si="53"/>
        <v>50441</v>
      </c>
      <c r="AA75" s="14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14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</row>
    <row r="76" spans="1:68" x14ac:dyDescent="0.25">
      <c r="A76" s="3">
        <v>69</v>
      </c>
      <c r="B76" s="3" t="s">
        <v>335</v>
      </c>
      <c r="C76" s="36" t="s">
        <v>117</v>
      </c>
      <c r="D76" s="3" t="s">
        <v>321</v>
      </c>
      <c r="E76" s="4">
        <f t="shared" si="248"/>
        <v>50600</v>
      </c>
      <c r="F76" s="6">
        <f t="shared" si="232"/>
        <v>50601</v>
      </c>
      <c r="G76" s="6">
        <f t="shared" si="241"/>
        <v>50603</v>
      </c>
      <c r="H76" s="6">
        <f t="shared" si="242"/>
        <v>50605</v>
      </c>
      <c r="I76" s="6">
        <f t="shared" ref="I76:J76" si="255">H76+H$6</f>
        <v>50607</v>
      </c>
      <c r="J76" s="6">
        <f t="shared" si="255"/>
        <v>50609</v>
      </c>
      <c r="K76" s="6">
        <f t="shared" si="244"/>
        <v>50611</v>
      </c>
      <c r="L76" s="6">
        <f t="shared" si="245"/>
        <v>50613</v>
      </c>
      <c r="M76" s="6">
        <f t="shared" si="246"/>
        <v>50615</v>
      </c>
      <c r="N76" s="6">
        <f t="shared" ref="N76:X76" si="256">M76+M$6</f>
        <v>50617</v>
      </c>
      <c r="O76" s="6">
        <f t="shared" si="256"/>
        <v>50619</v>
      </c>
      <c r="P76" s="6">
        <f t="shared" si="256"/>
        <v>50621</v>
      </c>
      <c r="Q76" s="6">
        <f t="shared" si="247"/>
        <v>50623</v>
      </c>
      <c r="R76" s="6">
        <f t="shared" si="247"/>
        <v>50625</v>
      </c>
      <c r="S76" s="6">
        <f t="shared" si="256"/>
        <v>50627</v>
      </c>
      <c r="T76" s="6">
        <f t="shared" si="256"/>
        <v>50629</v>
      </c>
      <c r="U76" s="6">
        <f t="shared" si="256"/>
        <v>50631</v>
      </c>
      <c r="V76" s="6">
        <f t="shared" si="256"/>
        <v>50633</v>
      </c>
      <c r="W76" s="6">
        <f t="shared" si="256"/>
        <v>50635</v>
      </c>
      <c r="X76" s="6">
        <f t="shared" si="256"/>
        <v>50637</v>
      </c>
      <c r="Y76" s="6">
        <f t="shared" si="220"/>
        <v>50639</v>
      </c>
      <c r="Z76" s="6">
        <f t="shared" si="53"/>
        <v>50641</v>
      </c>
      <c r="AA76" s="14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14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</row>
    <row r="77" spans="1:68" x14ac:dyDescent="0.25">
      <c r="A77" s="3">
        <v>70</v>
      </c>
      <c r="B77" s="3" t="s">
        <v>335</v>
      </c>
      <c r="C77" s="8" t="s">
        <v>57</v>
      </c>
      <c r="D77" s="8" t="s">
        <v>291</v>
      </c>
      <c r="E77" s="4">
        <f t="shared" si="248"/>
        <v>50800</v>
      </c>
      <c r="F77" s="6">
        <f>E77+1</f>
        <v>50801</v>
      </c>
      <c r="G77" s="6">
        <f t="shared" si="241"/>
        <v>50803</v>
      </c>
      <c r="H77" s="6">
        <f t="shared" si="242"/>
        <v>50805</v>
      </c>
      <c r="I77" s="6">
        <f t="shared" ref="I77:J77" si="257">H77+H$6</f>
        <v>50807</v>
      </c>
      <c r="J77" s="6">
        <f t="shared" si="257"/>
        <v>50809</v>
      </c>
      <c r="K77" s="6">
        <f t="shared" si="244"/>
        <v>50811</v>
      </c>
      <c r="L77" s="6">
        <f t="shared" si="245"/>
        <v>50813</v>
      </c>
      <c r="M77" s="6">
        <f t="shared" si="246"/>
        <v>50815</v>
      </c>
      <c r="N77" s="6">
        <f t="shared" ref="N77:X77" si="258">M77+M$6</f>
        <v>50817</v>
      </c>
      <c r="O77" s="6">
        <f t="shared" si="258"/>
        <v>50819</v>
      </c>
      <c r="P77" s="6">
        <f t="shared" si="258"/>
        <v>50821</v>
      </c>
      <c r="Q77" s="6">
        <f t="shared" si="247"/>
        <v>50823</v>
      </c>
      <c r="R77" s="6">
        <f t="shared" si="247"/>
        <v>50825</v>
      </c>
      <c r="S77" s="6">
        <f t="shared" si="258"/>
        <v>50827</v>
      </c>
      <c r="T77" s="6">
        <f t="shared" si="258"/>
        <v>50829</v>
      </c>
      <c r="U77" s="6">
        <f t="shared" si="258"/>
        <v>50831</v>
      </c>
      <c r="V77" s="6">
        <f t="shared" si="258"/>
        <v>50833</v>
      </c>
      <c r="W77" s="6">
        <f t="shared" si="258"/>
        <v>50835</v>
      </c>
      <c r="X77" s="6">
        <f t="shared" si="258"/>
        <v>50837</v>
      </c>
      <c r="Y77" s="6">
        <f t="shared" si="220"/>
        <v>50839</v>
      </c>
      <c r="Z77" s="6"/>
      <c r="AA77" s="14">
        <f t="shared" si="84"/>
        <v>50843</v>
      </c>
      <c r="AB77" s="6">
        <f t="shared" ref="AB77" si="259">AA77+AA$6</f>
        <v>50845</v>
      </c>
      <c r="AC77" s="6">
        <f t="shared" ref="AC77" si="260">AB77+AB$6</f>
        <v>50847</v>
      </c>
      <c r="AD77" s="6">
        <f t="shared" ref="AD77" si="261">AC77+AC$6</f>
        <v>50849</v>
      </c>
      <c r="AE77" s="6">
        <f t="shared" ref="AE77" si="262">AD77+AD$6</f>
        <v>50851</v>
      </c>
      <c r="AF77" s="6">
        <f t="shared" ref="AF77" si="263">AE77+AE$6</f>
        <v>50853</v>
      </c>
      <c r="AG77" s="6">
        <f t="shared" ref="AG77" si="264">AF77+AF$6</f>
        <v>50855</v>
      </c>
      <c r="AH77" s="6">
        <f t="shared" ref="AH77" si="265">AG77+AG$6</f>
        <v>50857</v>
      </c>
      <c r="AI77" s="6">
        <f t="shared" ref="AI77" si="266">AH77+AH$6</f>
        <v>50859</v>
      </c>
      <c r="AJ77" s="6">
        <f t="shared" ref="AJ77" si="267">AI77+AI$6</f>
        <v>50861</v>
      </c>
      <c r="AK77" s="6">
        <f t="shared" ref="AK77" si="268">AJ77+AJ$6</f>
        <v>50863</v>
      </c>
      <c r="AL77" s="6">
        <f t="shared" ref="AL77" si="269">AK77+AK$6</f>
        <v>50865</v>
      </c>
      <c r="AM77" s="6">
        <f t="shared" ref="AM77" si="270">AL77+AL$6</f>
        <v>50867</v>
      </c>
      <c r="AN77" s="6">
        <f t="shared" ref="AN77" si="271">AM77+AM$6</f>
        <v>50869</v>
      </c>
      <c r="AO77" s="6">
        <f t="shared" ref="AO77" si="272">AN77+AN$6</f>
        <v>50871</v>
      </c>
      <c r="AP77" s="6">
        <f t="shared" ref="AP77" si="273">AO77+AO$6</f>
        <v>50873</v>
      </c>
      <c r="AQ77" s="6">
        <f t="shared" ref="AQ77" si="274">AP77+AP$6</f>
        <v>50875</v>
      </c>
      <c r="AR77" s="6">
        <f t="shared" ref="AR77" si="275">AQ77+AQ$6</f>
        <v>50877</v>
      </c>
      <c r="AS77" s="14">
        <f t="shared" ref="AS77" si="276">AR77+AR$6</f>
        <v>50879</v>
      </c>
      <c r="AT77" s="6">
        <f t="shared" ref="AT77" si="277">AS77+AS$6</f>
        <v>50881</v>
      </c>
      <c r="AU77" s="6">
        <f t="shared" ref="AU77" si="278">AT77+AT$6</f>
        <v>50883</v>
      </c>
      <c r="AV77" s="6">
        <f t="shared" ref="AV77" si="279">AU77+AU$6</f>
        <v>50885</v>
      </c>
      <c r="AW77" s="6">
        <f t="shared" ref="AW77" si="280">AV77+AV$6</f>
        <v>50887</v>
      </c>
      <c r="AX77" s="6">
        <f t="shared" ref="AX77" si="281">AW77+AW$6</f>
        <v>50889</v>
      </c>
      <c r="AY77" s="6">
        <f t="shared" ref="AY77" si="282">AX77+AX$6</f>
        <v>50891</v>
      </c>
      <c r="AZ77" s="6">
        <f t="shared" ref="AZ77" si="283">AY77+AY$6</f>
        <v>50893</v>
      </c>
      <c r="BA77" s="6">
        <f t="shared" ref="BA77" si="284">AZ77+AZ$6</f>
        <v>50895</v>
      </c>
      <c r="BB77" s="6">
        <f t="shared" ref="BB77" si="285">BA77+BA$6</f>
        <v>50897</v>
      </c>
      <c r="BC77" s="6">
        <f t="shared" ref="BC77" si="286">BB77+BB$6</f>
        <v>50899</v>
      </c>
      <c r="BD77" s="6">
        <f t="shared" ref="BD77" si="287">BC77+BC$6</f>
        <v>50901</v>
      </c>
      <c r="BE77" s="6">
        <f t="shared" ref="BE77" si="288">BD77+BD$6</f>
        <v>50903</v>
      </c>
      <c r="BF77" s="6">
        <f t="shared" ref="BF77" si="289">BE77+BE$6</f>
        <v>50905</v>
      </c>
      <c r="BG77" s="6">
        <f t="shared" ref="BG77" si="290">BF77+BF$6</f>
        <v>50907</v>
      </c>
      <c r="BH77" s="6">
        <f t="shared" ref="BH77" si="291">BG77+BG$6</f>
        <v>50909</v>
      </c>
      <c r="BI77" s="6">
        <f t="shared" ref="BI77" si="292">BH77+BH$6</f>
        <v>50911</v>
      </c>
      <c r="BJ77" s="6">
        <f t="shared" ref="BJ77" si="293">BI77+BI$6</f>
        <v>50913</v>
      </c>
      <c r="BK77" s="6">
        <f t="shared" si="250"/>
        <v>50915</v>
      </c>
      <c r="BL77" s="6">
        <f t="shared" si="250"/>
        <v>50917</v>
      </c>
      <c r="BM77" s="6">
        <f t="shared" si="250"/>
        <v>50919</v>
      </c>
      <c r="BN77" s="6">
        <f t="shared" si="250"/>
        <v>50921</v>
      </c>
      <c r="BO77" s="6">
        <f t="shared" si="250"/>
        <v>50923</v>
      </c>
      <c r="BP77" s="6">
        <f t="shared" si="250"/>
        <v>50925</v>
      </c>
    </row>
    <row r="78" spans="1:68" x14ac:dyDescent="0.25">
      <c r="A78" s="3">
        <v>71</v>
      </c>
      <c r="B78" s="3" t="s">
        <v>335</v>
      </c>
      <c r="C78" s="3" t="s">
        <v>590</v>
      </c>
      <c r="D78" s="3" t="s">
        <v>291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</row>
    <row r="79" spans="1:68" x14ac:dyDescent="0.25">
      <c r="A79" s="3">
        <v>72</v>
      </c>
      <c r="B79" s="3" t="s">
        <v>335</v>
      </c>
      <c r="C79" s="3" t="s">
        <v>233</v>
      </c>
      <c r="D79" s="3" t="s">
        <v>328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</row>
    <row r="80" spans="1:68" x14ac:dyDescent="0.25">
      <c r="A80" s="3">
        <v>73</v>
      </c>
      <c r="B80" s="3" t="s">
        <v>335</v>
      </c>
      <c r="C80" s="3" t="s">
        <v>234</v>
      </c>
      <c r="D80" s="3" t="s">
        <v>329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</row>
    <row r="81" spans="1:68" x14ac:dyDescent="0.25">
      <c r="A81" s="3">
        <v>74</v>
      </c>
      <c r="B81" s="3" t="s">
        <v>335</v>
      </c>
      <c r="C81" s="3" t="s">
        <v>253</v>
      </c>
      <c r="D81" s="3" t="s">
        <v>305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</row>
    <row r="82" spans="1:68" x14ac:dyDescent="0.25">
      <c r="A82" s="3">
        <v>75</v>
      </c>
      <c r="B82" s="3" t="s">
        <v>335</v>
      </c>
      <c r="C82" s="3" t="s">
        <v>261</v>
      </c>
      <c r="D82" s="3" t="s">
        <v>313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</row>
    <row r="83" spans="1:68" x14ac:dyDescent="0.25">
      <c r="A83" s="3">
        <v>76</v>
      </c>
      <c r="B83" s="3" t="s">
        <v>335</v>
      </c>
      <c r="C83" s="8" t="s">
        <v>58</v>
      </c>
      <c r="D83" s="8" t="s">
        <v>292</v>
      </c>
      <c r="E83" s="4">
        <f>E77+$E$2</f>
        <v>51000</v>
      </c>
      <c r="F83" s="6">
        <f>E83+1</f>
        <v>51001</v>
      </c>
      <c r="G83" s="6">
        <f t="shared" ref="G83" si="294">F83+F$6</f>
        <v>51003</v>
      </c>
      <c r="H83" s="6">
        <f t="shared" ref="H83" si="295">G83+G$6</f>
        <v>51005</v>
      </c>
      <c r="I83" s="6">
        <f>H83+H$6</f>
        <v>51007</v>
      </c>
      <c r="J83" s="6">
        <f>I83+I$6</f>
        <v>51009</v>
      </c>
      <c r="K83" s="6">
        <f t="shared" ref="K83" si="296">J83+J$6</f>
        <v>51011</v>
      </c>
      <c r="L83" s="6">
        <f t="shared" ref="L83" si="297">K83+K$6</f>
        <v>51013</v>
      </c>
      <c r="M83" s="6">
        <f t="shared" ref="M83" si="298">L83+L$6</f>
        <v>51015</v>
      </c>
      <c r="N83" s="6">
        <f t="shared" ref="N83:X83" si="299">M83+M$6</f>
        <v>51017</v>
      </c>
      <c r="O83" s="6">
        <f t="shared" si="299"/>
        <v>51019</v>
      </c>
      <c r="P83" s="6">
        <f t="shared" si="299"/>
        <v>51021</v>
      </c>
      <c r="Q83" s="6">
        <f>P83+P$6</f>
        <v>51023</v>
      </c>
      <c r="R83" s="6">
        <f>Q83+Q$6</f>
        <v>51025</v>
      </c>
      <c r="S83" s="6">
        <f t="shared" si="299"/>
        <v>51027</v>
      </c>
      <c r="T83" s="6">
        <f t="shared" si="299"/>
        <v>51029</v>
      </c>
      <c r="U83" s="6">
        <f t="shared" si="299"/>
        <v>51031</v>
      </c>
      <c r="V83" s="6">
        <f t="shared" si="299"/>
        <v>51033</v>
      </c>
      <c r="W83" s="6">
        <f t="shared" si="299"/>
        <v>51035</v>
      </c>
      <c r="X83" s="6">
        <f t="shared" si="299"/>
        <v>51037</v>
      </c>
      <c r="Y83" s="6">
        <f t="shared" si="220"/>
        <v>51039</v>
      </c>
      <c r="Z83" s="6"/>
      <c r="AA83" s="14">
        <f t="shared" si="84"/>
        <v>51043</v>
      </c>
      <c r="AB83" s="6">
        <f t="shared" ref="AB83" si="300">AA83+AA$6</f>
        <v>51045</v>
      </c>
      <c r="AC83" s="6">
        <f t="shared" ref="AC83" si="301">AB83+AB$6</f>
        <v>51047</v>
      </c>
      <c r="AD83" s="6">
        <f t="shared" ref="AD83" si="302">AC83+AC$6</f>
        <v>51049</v>
      </c>
      <c r="AE83" s="6">
        <f t="shared" ref="AE83" si="303">AD83+AD$6</f>
        <v>51051</v>
      </c>
      <c r="AF83" s="6">
        <f t="shared" ref="AF83" si="304">AE83+AE$6</f>
        <v>51053</v>
      </c>
      <c r="AG83" s="6">
        <f t="shared" ref="AG83" si="305">AF83+AF$6</f>
        <v>51055</v>
      </c>
      <c r="AH83" s="6">
        <f t="shared" ref="AH83" si="306">AG83+AG$6</f>
        <v>51057</v>
      </c>
      <c r="AI83" s="6">
        <f t="shared" ref="AI83" si="307">AH83+AH$6</f>
        <v>51059</v>
      </c>
      <c r="AJ83" s="6">
        <f t="shared" ref="AJ83" si="308">AI83+AI$6</f>
        <v>51061</v>
      </c>
      <c r="AK83" s="6">
        <f t="shared" ref="AK83" si="309">AJ83+AJ$6</f>
        <v>51063</v>
      </c>
      <c r="AL83" s="6">
        <f t="shared" ref="AL83" si="310">AK83+AK$6</f>
        <v>51065</v>
      </c>
      <c r="AM83" s="6">
        <f t="shared" ref="AM83" si="311">AL83+AL$6</f>
        <v>51067</v>
      </c>
      <c r="AN83" s="6">
        <f t="shared" ref="AN83" si="312">AM83+AM$6</f>
        <v>51069</v>
      </c>
      <c r="AO83" s="6">
        <f t="shared" ref="AO83" si="313">AN83+AN$6</f>
        <v>51071</v>
      </c>
      <c r="AP83" s="6">
        <f t="shared" ref="AP83" si="314">AO83+AO$6</f>
        <v>51073</v>
      </c>
      <c r="AQ83" s="6">
        <f t="shared" ref="AQ83" si="315">AP83+AP$6</f>
        <v>51075</v>
      </c>
      <c r="AR83" s="6">
        <f t="shared" ref="AR83" si="316">AQ83+AQ$6</f>
        <v>51077</v>
      </c>
      <c r="AS83" s="14">
        <f>AR83+AR$6</f>
        <v>51079</v>
      </c>
      <c r="AT83" s="6">
        <f t="shared" ref="AT83" si="317">AS83+AS$6</f>
        <v>51081</v>
      </c>
      <c r="AU83" s="6">
        <f t="shared" ref="AU83" si="318">AT83+AT$6</f>
        <v>51083</v>
      </c>
      <c r="AV83" s="6">
        <f t="shared" ref="AV83" si="319">AU83+AU$6</f>
        <v>51085</v>
      </c>
      <c r="AW83" s="6">
        <f t="shared" ref="AW83" si="320">AV83+AV$6</f>
        <v>51087</v>
      </c>
      <c r="AX83" s="6">
        <f t="shared" ref="AX83" si="321">AW83+AW$6</f>
        <v>51089</v>
      </c>
      <c r="AY83" s="6">
        <f t="shared" ref="AY83" si="322">AX83+AX$6</f>
        <v>51091</v>
      </c>
      <c r="AZ83" s="6">
        <f t="shared" ref="AZ83" si="323">AY83+AY$6</f>
        <v>51093</v>
      </c>
      <c r="BA83" s="6">
        <f t="shared" ref="BA83" si="324">AZ83+AZ$6</f>
        <v>51095</v>
      </c>
      <c r="BB83" s="6">
        <f t="shared" ref="BB83" si="325">BA83+BA$6</f>
        <v>51097</v>
      </c>
      <c r="BC83" s="6">
        <f t="shared" ref="BC83" si="326">BB83+BB$6</f>
        <v>51099</v>
      </c>
      <c r="BD83" s="6">
        <f t="shared" ref="BD83" si="327">BC83+BC$6</f>
        <v>51101</v>
      </c>
      <c r="BE83" s="6">
        <f t="shared" ref="BE83" si="328">BD83+BD$6</f>
        <v>51103</v>
      </c>
      <c r="BF83" s="6">
        <f t="shared" ref="BF83" si="329">BE83+BE$6</f>
        <v>51105</v>
      </c>
      <c r="BG83" s="6">
        <f t="shared" ref="BG83" si="330">BF83+BF$6</f>
        <v>51107</v>
      </c>
      <c r="BH83" s="6">
        <f t="shared" ref="BH83" si="331">BG83+BG$6</f>
        <v>51109</v>
      </c>
      <c r="BI83" s="6">
        <f t="shared" ref="BI83" si="332">BH83+BH$6</f>
        <v>51111</v>
      </c>
      <c r="BJ83" s="6">
        <f t="shared" ref="BJ83" si="333">BI83+BI$6</f>
        <v>51113</v>
      </c>
      <c r="BK83" s="6">
        <f>BJ83+BJ$6</f>
        <v>51115</v>
      </c>
      <c r="BL83" s="6">
        <f>BK83+BK$6</f>
        <v>51117</v>
      </c>
      <c r="BM83" s="6">
        <f t="shared" ref="BM83:BP83" si="334">BL83+BL$6</f>
        <v>51119</v>
      </c>
      <c r="BN83" s="6">
        <f t="shared" si="334"/>
        <v>51121</v>
      </c>
      <c r="BO83" s="6">
        <f t="shared" si="334"/>
        <v>51123</v>
      </c>
      <c r="BP83" s="6">
        <f t="shared" si="334"/>
        <v>51125</v>
      </c>
    </row>
    <row r="84" spans="1:68" x14ac:dyDescent="0.25">
      <c r="A84" s="3">
        <v>77</v>
      </c>
      <c r="B84" s="3" t="s">
        <v>335</v>
      </c>
      <c r="C84" s="3" t="s">
        <v>235</v>
      </c>
      <c r="D84" s="3" t="s">
        <v>292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</row>
    <row r="85" spans="1:68" x14ac:dyDescent="0.25">
      <c r="A85" s="3">
        <v>78</v>
      </c>
      <c r="B85" s="3" t="s">
        <v>335</v>
      </c>
      <c r="C85" s="3" t="s">
        <v>236</v>
      </c>
      <c r="D85" s="3" t="s">
        <v>330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</row>
    <row r="86" spans="1:68" x14ac:dyDescent="0.25">
      <c r="A86" s="3">
        <v>79</v>
      </c>
      <c r="B86" s="3" t="s">
        <v>335</v>
      </c>
      <c r="C86" s="3" t="s">
        <v>237</v>
      </c>
      <c r="D86" s="3" t="s">
        <v>331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</row>
    <row r="87" spans="1:68" x14ac:dyDescent="0.25">
      <c r="A87" s="3">
        <v>80</v>
      </c>
      <c r="B87" s="3" t="s">
        <v>335</v>
      </c>
      <c r="C87" s="3" t="s">
        <v>254</v>
      </c>
      <c r="D87" s="3" t="s">
        <v>306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</row>
    <row r="88" spans="1:68" x14ac:dyDescent="0.25">
      <c r="A88" s="3">
        <v>81</v>
      </c>
      <c r="B88" s="3" t="s">
        <v>335</v>
      </c>
      <c r="C88" s="3" t="s">
        <v>262</v>
      </c>
      <c r="D88" s="3" t="s">
        <v>314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</row>
    <row r="89" spans="1:68" x14ac:dyDescent="0.25">
      <c r="A89" s="3">
        <v>82</v>
      </c>
      <c r="B89" s="3" t="s">
        <v>335</v>
      </c>
      <c r="C89" s="8" t="s">
        <v>59</v>
      </c>
      <c r="D89" s="8" t="s">
        <v>293</v>
      </c>
      <c r="E89" s="4">
        <f>E83+$E$2</f>
        <v>51200</v>
      </c>
      <c r="F89" s="6">
        <f>E89+1</f>
        <v>51201</v>
      </c>
      <c r="G89" s="6">
        <f t="shared" ref="G89" si="335">F89+F$6</f>
        <v>51203</v>
      </c>
      <c r="H89" s="6">
        <f t="shared" ref="H89" si="336">G89+G$6</f>
        <v>51205</v>
      </c>
      <c r="I89" s="6">
        <f>H89+H$6</f>
        <v>51207</v>
      </c>
      <c r="J89" s="6">
        <f>I89+I$6</f>
        <v>51209</v>
      </c>
      <c r="K89" s="6">
        <f t="shared" ref="K89" si="337">J89+J$6</f>
        <v>51211</v>
      </c>
      <c r="L89" s="6">
        <f t="shared" ref="L89" si="338">K89+K$6</f>
        <v>51213</v>
      </c>
      <c r="M89" s="6">
        <f t="shared" ref="M89" si="339">L89+L$6</f>
        <v>51215</v>
      </c>
      <c r="N89" s="6">
        <f t="shared" ref="N89:X89" si="340">M89+M$6</f>
        <v>51217</v>
      </c>
      <c r="O89" s="6">
        <f t="shared" si="340"/>
        <v>51219</v>
      </c>
      <c r="P89" s="6">
        <f t="shared" si="340"/>
        <v>51221</v>
      </c>
      <c r="Q89" s="6">
        <f>P89+P$6</f>
        <v>51223</v>
      </c>
      <c r="R89" s="6">
        <f>Q89+Q$6</f>
        <v>51225</v>
      </c>
      <c r="S89" s="6">
        <f t="shared" si="340"/>
        <v>51227</v>
      </c>
      <c r="T89" s="6">
        <f t="shared" si="340"/>
        <v>51229</v>
      </c>
      <c r="U89" s="6">
        <f t="shared" si="340"/>
        <v>51231</v>
      </c>
      <c r="V89" s="6">
        <f t="shared" si="340"/>
        <v>51233</v>
      </c>
      <c r="W89" s="6">
        <f t="shared" si="340"/>
        <v>51235</v>
      </c>
      <c r="X89" s="6">
        <f t="shared" si="340"/>
        <v>51237</v>
      </c>
      <c r="Y89" s="6">
        <f t="shared" si="220"/>
        <v>51239</v>
      </c>
      <c r="Z89" s="6"/>
      <c r="AA89" s="14">
        <f t="shared" si="84"/>
        <v>51243</v>
      </c>
      <c r="AB89" s="6">
        <f t="shared" ref="AB89" si="341">AA89+AA$6</f>
        <v>51245</v>
      </c>
      <c r="AC89" s="6">
        <f t="shared" ref="AC89" si="342">AB89+AB$6</f>
        <v>51247</v>
      </c>
      <c r="AD89" s="6">
        <f t="shared" ref="AD89" si="343">AC89+AC$6</f>
        <v>51249</v>
      </c>
      <c r="AE89" s="6">
        <f t="shared" ref="AE89" si="344">AD89+AD$6</f>
        <v>51251</v>
      </c>
      <c r="AF89" s="6">
        <f t="shared" ref="AF89" si="345">AE89+AE$6</f>
        <v>51253</v>
      </c>
      <c r="AG89" s="6">
        <f t="shared" ref="AG89" si="346">AF89+AF$6</f>
        <v>51255</v>
      </c>
      <c r="AH89" s="6">
        <f t="shared" ref="AH89" si="347">AG89+AG$6</f>
        <v>51257</v>
      </c>
      <c r="AI89" s="6">
        <f t="shared" ref="AI89" si="348">AH89+AH$6</f>
        <v>51259</v>
      </c>
      <c r="AJ89" s="6">
        <f t="shared" ref="AJ89" si="349">AI89+AI$6</f>
        <v>51261</v>
      </c>
      <c r="AK89" s="6">
        <f t="shared" ref="AK89" si="350">AJ89+AJ$6</f>
        <v>51263</v>
      </c>
      <c r="AL89" s="6">
        <f t="shared" ref="AL89" si="351">AK89+AK$6</f>
        <v>51265</v>
      </c>
      <c r="AM89" s="6">
        <f t="shared" ref="AM89" si="352">AL89+AL$6</f>
        <v>51267</v>
      </c>
      <c r="AN89" s="6">
        <f t="shared" ref="AN89" si="353">AM89+AM$6</f>
        <v>51269</v>
      </c>
      <c r="AO89" s="6">
        <f t="shared" ref="AO89" si="354">AN89+AN$6</f>
        <v>51271</v>
      </c>
      <c r="AP89" s="6">
        <f t="shared" ref="AP89" si="355">AO89+AO$6</f>
        <v>51273</v>
      </c>
      <c r="AQ89" s="6">
        <f t="shared" ref="AQ89" si="356">AP89+AP$6</f>
        <v>51275</v>
      </c>
      <c r="AR89" s="6">
        <f t="shared" ref="AR89" si="357">AQ89+AQ$6</f>
        <v>51277</v>
      </c>
      <c r="AS89" s="14">
        <f>AR89+AR$6</f>
        <v>51279</v>
      </c>
      <c r="AT89" s="6">
        <f t="shared" ref="AT89" si="358">AS89+AS$6</f>
        <v>51281</v>
      </c>
      <c r="AU89" s="6">
        <f t="shared" ref="AU89" si="359">AT89+AT$6</f>
        <v>51283</v>
      </c>
      <c r="AV89" s="6">
        <f t="shared" ref="AV89" si="360">AU89+AU$6</f>
        <v>51285</v>
      </c>
      <c r="AW89" s="6">
        <f t="shared" ref="AW89" si="361">AV89+AV$6</f>
        <v>51287</v>
      </c>
      <c r="AX89" s="6">
        <f t="shared" ref="AX89" si="362">AW89+AW$6</f>
        <v>51289</v>
      </c>
      <c r="AY89" s="6">
        <f t="shared" ref="AY89" si="363">AX89+AX$6</f>
        <v>51291</v>
      </c>
      <c r="AZ89" s="6">
        <f t="shared" ref="AZ89" si="364">AY89+AY$6</f>
        <v>51293</v>
      </c>
      <c r="BA89" s="6">
        <f t="shared" ref="BA89" si="365">AZ89+AZ$6</f>
        <v>51295</v>
      </c>
      <c r="BB89" s="6">
        <f t="shared" ref="BB89" si="366">BA89+BA$6</f>
        <v>51297</v>
      </c>
      <c r="BC89" s="6">
        <f t="shared" ref="BC89" si="367">BB89+BB$6</f>
        <v>51299</v>
      </c>
      <c r="BD89" s="6">
        <f t="shared" ref="BD89" si="368">BC89+BC$6</f>
        <v>51301</v>
      </c>
      <c r="BE89" s="6">
        <f t="shared" ref="BE89" si="369">BD89+BD$6</f>
        <v>51303</v>
      </c>
      <c r="BF89" s="6">
        <f t="shared" ref="BF89" si="370">BE89+BE$6</f>
        <v>51305</v>
      </c>
      <c r="BG89" s="6">
        <f t="shared" ref="BG89" si="371">BF89+BF$6</f>
        <v>51307</v>
      </c>
      <c r="BH89" s="6">
        <f t="shared" ref="BH89" si="372">BG89+BG$6</f>
        <v>51309</v>
      </c>
      <c r="BI89" s="6">
        <f t="shared" ref="BI89" si="373">BH89+BH$6</f>
        <v>51311</v>
      </c>
      <c r="BJ89" s="6">
        <f t="shared" ref="BJ89" si="374">BI89+BI$6</f>
        <v>51313</v>
      </c>
      <c r="BK89" s="6">
        <f>BJ89+BJ$6</f>
        <v>51315</v>
      </c>
      <c r="BL89" s="6">
        <f>BK89+BK$6</f>
        <v>51317</v>
      </c>
      <c r="BM89" s="6">
        <f t="shared" ref="BM89:BP89" si="375">BL89+BL$6</f>
        <v>51319</v>
      </c>
      <c r="BN89" s="6">
        <f t="shared" si="375"/>
        <v>51321</v>
      </c>
      <c r="BO89" s="6">
        <f t="shared" si="375"/>
        <v>51323</v>
      </c>
      <c r="BP89" s="6">
        <f t="shared" si="375"/>
        <v>51325</v>
      </c>
    </row>
    <row r="90" spans="1:68" x14ac:dyDescent="0.25">
      <c r="A90" s="3">
        <v>83</v>
      </c>
      <c r="B90" s="3" t="s">
        <v>335</v>
      </c>
      <c r="C90" s="3" t="s">
        <v>238</v>
      </c>
      <c r="D90" s="3" t="s">
        <v>293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</row>
    <row r="91" spans="1:68" x14ac:dyDescent="0.25">
      <c r="A91" s="3">
        <v>84</v>
      </c>
      <c r="B91" s="3" t="s">
        <v>335</v>
      </c>
      <c r="C91" s="3" t="s">
        <v>239</v>
      </c>
      <c r="D91" s="3" t="s">
        <v>332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</row>
    <row r="92" spans="1:68" x14ac:dyDescent="0.25">
      <c r="A92" s="3">
        <v>85</v>
      </c>
      <c r="B92" s="3" t="s">
        <v>335</v>
      </c>
      <c r="C92" s="3" t="s">
        <v>240</v>
      </c>
      <c r="D92" s="3" t="s">
        <v>322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</row>
    <row r="93" spans="1:68" x14ac:dyDescent="0.25">
      <c r="A93" s="3">
        <v>86</v>
      </c>
      <c r="B93" s="3" t="s">
        <v>335</v>
      </c>
      <c r="C93" s="3" t="s">
        <v>255</v>
      </c>
      <c r="D93" s="3" t="s">
        <v>307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</row>
    <row r="94" spans="1:68" x14ac:dyDescent="0.25">
      <c r="A94" s="3">
        <v>87</v>
      </c>
      <c r="B94" s="3" t="s">
        <v>335</v>
      </c>
      <c r="C94" s="3" t="s">
        <v>263</v>
      </c>
      <c r="D94" s="3" t="s">
        <v>315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</row>
    <row r="95" spans="1:68" s="15" customFormat="1" x14ac:dyDescent="0.25">
      <c r="A95" s="11">
        <v>1</v>
      </c>
      <c r="B95" s="11" t="s">
        <v>336</v>
      </c>
      <c r="C95" s="8" t="s">
        <v>60</v>
      </c>
      <c r="D95" s="8" t="s">
        <v>294</v>
      </c>
      <c r="E95" s="16">
        <f>E8</f>
        <v>40000</v>
      </c>
      <c r="F95" s="14">
        <f>E95+1</f>
        <v>40001</v>
      </c>
      <c r="G95" s="14">
        <f t="shared" ref="G95" si="376">F95+F$6</f>
        <v>40003</v>
      </c>
      <c r="H95" s="14">
        <f t="shared" ref="H95" si="377">G95+G$6</f>
        <v>40005</v>
      </c>
      <c r="I95" s="14">
        <f>H95+H$6</f>
        <v>40007</v>
      </c>
      <c r="J95" s="14">
        <f>I95+I$6</f>
        <v>40009</v>
      </c>
      <c r="K95" s="14">
        <f t="shared" ref="K95" si="378">J95+J$6</f>
        <v>40011</v>
      </c>
      <c r="L95" s="14">
        <f t="shared" ref="L95" si="379">K95+K$6</f>
        <v>40013</v>
      </c>
      <c r="M95" s="14">
        <f t="shared" ref="M95" si="380">L95+L$6</f>
        <v>40015</v>
      </c>
      <c r="N95" s="14">
        <f t="shared" ref="N95:X95" si="381">M95+M$6</f>
        <v>40017</v>
      </c>
      <c r="O95" s="14">
        <f t="shared" si="381"/>
        <v>40019</v>
      </c>
      <c r="P95" s="14">
        <f t="shared" si="381"/>
        <v>40021</v>
      </c>
      <c r="Q95" s="14">
        <f>P95+P$6</f>
        <v>40023</v>
      </c>
      <c r="R95" s="14">
        <f>Q95+Q$6</f>
        <v>40025</v>
      </c>
      <c r="S95" s="14">
        <f t="shared" si="381"/>
        <v>40027</v>
      </c>
      <c r="T95" s="14">
        <f t="shared" si="381"/>
        <v>40029</v>
      </c>
      <c r="U95" s="14">
        <f t="shared" si="381"/>
        <v>40031</v>
      </c>
      <c r="V95" s="14">
        <f t="shared" si="381"/>
        <v>40033</v>
      </c>
      <c r="W95" s="14">
        <f t="shared" si="381"/>
        <v>40035</v>
      </c>
      <c r="X95" s="14">
        <f t="shared" si="381"/>
        <v>40037</v>
      </c>
      <c r="Y95" s="14">
        <f t="shared" si="220"/>
        <v>40039</v>
      </c>
      <c r="Z95" s="14"/>
      <c r="AA95" s="14">
        <f t="shared" ref="AA95:AA100" si="382">Y95+$Z$6+$Y$6</f>
        <v>40043</v>
      </c>
      <c r="AB95" s="14">
        <f t="shared" ref="AB95" si="383">AA95+AA$6</f>
        <v>40045</v>
      </c>
      <c r="AC95" s="14">
        <f t="shared" ref="AC95" si="384">AB95+AB$6</f>
        <v>40047</v>
      </c>
      <c r="AD95" s="14">
        <f t="shared" ref="AD95" si="385">AC95+AC$6</f>
        <v>40049</v>
      </c>
      <c r="AE95" s="14">
        <f t="shared" ref="AE95" si="386">AD95+AD$6</f>
        <v>40051</v>
      </c>
      <c r="AF95" s="14">
        <f t="shared" ref="AF95" si="387">AE95+AE$6</f>
        <v>40053</v>
      </c>
      <c r="AG95" s="14">
        <f t="shared" ref="AG95" si="388">AF95+AF$6</f>
        <v>40055</v>
      </c>
      <c r="AH95" s="14">
        <f t="shared" ref="AH95" si="389">AG95+AG$6</f>
        <v>40057</v>
      </c>
      <c r="AI95" s="14">
        <f t="shared" ref="AI95" si="390">AH95+AH$6</f>
        <v>40059</v>
      </c>
      <c r="AJ95" s="14">
        <f t="shared" ref="AJ95" si="391">AI95+AI$6</f>
        <v>40061</v>
      </c>
      <c r="AK95" s="14">
        <f t="shared" ref="AK95" si="392">AJ95+AJ$6</f>
        <v>40063</v>
      </c>
      <c r="AL95" s="14">
        <f t="shared" ref="AL95" si="393">AK95+AK$6</f>
        <v>40065</v>
      </c>
      <c r="AM95" s="14">
        <f t="shared" ref="AM95" si="394">AL95+AL$6</f>
        <v>40067</v>
      </c>
      <c r="AN95" s="14">
        <f t="shared" ref="AN95" si="395">AM95+AM$6</f>
        <v>40069</v>
      </c>
      <c r="AO95" s="14">
        <f t="shared" ref="AO95" si="396">AN95+AN$6</f>
        <v>40071</v>
      </c>
      <c r="AP95" s="14">
        <f t="shared" ref="AP95" si="397">AO95+AO$6</f>
        <v>40073</v>
      </c>
      <c r="AQ95" s="14">
        <f t="shared" ref="AQ95" si="398">AP95+AP$6</f>
        <v>40075</v>
      </c>
      <c r="AR95" s="14">
        <f t="shared" ref="AR95" si="399">AQ95+AQ$6</f>
        <v>40077</v>
      </c>
      <c r="AS95" s="14">
        <f>AR95+AR$6</f>
        <v>40079</v>
      </c>
      <c r="AT95" s="14">
        <f t="shared" ref="AT95" si="400">AS95+AS$6</f>
        <v>40081</v>
      </c>
      <c r="AU95" s="14">
        <f t="shared" ref="AU95" si="401">AT95+AT$6</f>
        <v>40083</v>
      </c>
      <c r="AV95" s="14">
        <f t="shared" ref="AV95" si="402">AU95+AU$6</f>
        <v>40085</v>
      </c>
      <c r="AW95" s="14">
        <f t="shared" ref="AW95" si="403">AV95+AV$6</f>
        <v>40087</v>
      </c>
      <c r="AX95" s="14">
        <f t="shared" ref="AX95" si="404">AW95+AW$6</f>
        <v>40089</v>
      </c>
      <c r="AY95" s="14">
        <f t="shared" ref="AY95" si="405">AX95+AX$6</f>
        <v>40091</v>
      </c>
      <c r="AZ95" s="14">
        <f t="shared" ref="AZ95" si="406">AY95+AY$6</f>
        <v>40093</v>
      </c>
      <c r="BA95" s="14">
        <f t="shared" ref="BA95" si="407">AZ95+AZ$6</f>
        <v>40095</v>
      </c>
      <c r="BB95" s="14">
        <f t="shared" ref="BB95" si="408">BA95+BA$6</f>
        <v>40097</v>
      </c>
      <c r="BC95" s="14">
        <f t="shared" ref="BC95" si="409">BB95+BB$6</f>
        <v>40099</v>
      </c>
      <c r="BD95" s="14">
        <f t="shared" ref="BD95" si="410">BC95+BC$6</f>
        <v>40101</v>
      </c>
      <c r="BE95" s="14">
        <f t="shared" ref="BE95" si="411">BD95+BD$6</f>
        <v>40103</v>
      </c>
      <c r="BF95" s="14">
        <f t="shared" ref="BF95" si="412">BE95+BE$6</f>
        <v>40105</v>
      </c>
      <c r="BG95" s="14">
        <f t="shared" ref="BG95" si="413">BF95+BF$6</f>
        <v>40107</v>
      </c>
      <c r="BH95" s="14">
        <f t="shared" ref="BH95" si="414">BG95+BG$6</f>
        <v>40109</v>
      </c>
      <c r="BI95" s="14">
        <f t="shared" ref="BI95" si="415">BH95+BH$6</f>
        <v>40111</v>
      </c>
      <c r="BJ95" s="14">
        <f t="shared" ref="BJ95" si="416">BI95+BI$6</f>
        <v>40113</v>
      </c>
      <c r="BK95" s="14">
        <f>BJ95+BJ$6</f>
        <v>40115</v>
      </c>
      <c r="BL95" s="14">
        <f>BK95+BK$6</f>
        <v>40117</v>
      </c>
      <c r="BM95" s="14">
        <f t="shared" ref="BM95:BP95" si="417">BL95+BL$6</f>
        <v>40119</v>
      </c>
      <c r="BN95" s="14">
        <f t="shared" si="417"/>
        <v>40121</v>
      </c>
      <c r="BO95" s="14">
        <f t="shared" si="417"/>
        <v>40123</v>
      </c>
      <c r="BP95" s="14">
        <f t="shared" si="417"/>
        <v>40125</v>
      </c>
    </row>
    <row r="96" spans="1:68" x14ac:dyDescent="0.25">
      <c r="A96" s="3">
        <v>2</v>
      </c>
      <c r="B96" s="3" t="s">
        <v>336</v>
      </c>
      <c r="C96" s="3" t="s">
        <v>256</v>
      </c>
      <c r="D96" s="3" t="s">
        <v>308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</row>
    <row r="97" spans="1:68" x14ac:dyDescent="0.25">
      <c r="A97" s="3">
        <v>3</v>
      </c>
      <c r="B97" s="3" t="s">
        <v>336</v>
      </c>
      <c r="C97" s="3" t="s">
        <v>264</v>
      </c>
      <c r="D97" s="3" t="s">
        <v>316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</row>
    <row r="98" spans="1:68" x14ac:dyDescent="0.25">
      <c r="A98" s="3">
        <v>4</v>
      </c>
      <c r="B98" s="3" t="s">
        <v>336</v>
      </c>
      <c r="C98" s="3" t="s">
        <v>63</v>
      </c>
      <c r="D98" s="3" t="s">
        <v>296</v>
      </c>
      <c r="E98" s="4">
        <f>E95+$E$2</f>
        <v>40200</v>
      </c>
      <c r="F98" s="6">
        <f>E98+1</f>
        <v>40201</v>
      </c>
      <c r="G98" s="6">
        <f t="shared" ref="G98:G100" si="418">F98+F$6</f>
        <v>40203</v>
      </c>
      <c r="H98" s="6">
        <f t="shared" ref="H98:H100" si="419">G98+G$6</f>
        <v>40205</v>
      </c>
      <c r="I98" s="6">
        <f t="shared" ref="I98:J98" si="420">H98+H$6</f>
        <v>40207</v>
      </c>
      <c r="J98" s="6">
        <f t="shared" si="420"/>
        <v>40209</v>
      </c>
      <c r="K98" s="6">
        <f t="shared" ref="K98:K100" si="421">J98+J$6</f>
        <v>40211</v>
      </c>
      <c r="L98" s="6">
        <f t="shared" ref="L98:L100" si="422">K98+K$6</f>
        <v>40213</v>
      </c>
      <c r="M98" s="6">
        <f t="shared" ref="M98:M100" si="423">L98+L$6</f>
        <v>40215</v>
      </c>
      <c r="N98" s="6">
        <f t="shared" ref="N98:X100" si="424">M98+M$6</f>
        <v>40217</v>
      </c>
      <c r="O98" s="6">
        <f t="shared" si="424"/>
        <v>40219</v>
      </c>
      <c r="P98" s="6">
        <f t="shared" si="424"/>
        <v>40221</v>
      </c>
      <c r="Q98" s="6">
        <f t="shared" si="424"/>
        <v>40223</v>
      </c>
      <c r="R98" s="6">
        <f t="shared" si="424"/>
        <v>40225</v>
      </c>
      <c r="S98" s="6">
        <f t="shared" si="424"/>
        <v>40227</v>
      </c>
      <c r="T98" s="6">
        <f t="shared" si="424"/>
        <v>40229</v>
      </c>
      <c r="U98" s="6">
        <f t="shared" si="424"/>
        <v>40231</v>
      </c>
      <c r="V98" s="6">
        <f t="shared" si="424"/>
        <v>40233</v>
      </c>
      <c r="W98" s="6">
        <f t="shared" si="424"/>
        <v>40235</v>
      </c>
      <c r="X98" s="6">
        <f t="shared" si="424"/>
        <v>40237</v>
      </c>
      <c r="Y98" s="6">
        <f t="shared" si="220"/>
        <v>40239</v>
      </c>
      <c r="Z98" s="6"/>
      <c r="AA98" s="14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14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</row>
    <row r="99" spans="1:68" x14ac:dyDescent="0.25">
      <c r="A99" s="3">
        <v>5</v>
      </c>
      <c r="B99" s="3" t="s">
        <v>336</v>
      </c>
      <c r="C99" s="8" t="s">
        <v>61</v>
      </c>
      <c r="D99" s="8" t="s">
        <v>295</v>
      </c>
      <c r="E99" s="4">
        <f t="shared" ref="E99:E100" si="425">E98+$E$2</f>
        <v>40400</v>
      </c>
      <c r="F99" s="6">
        <f>E99+1</f>
        <v>40401</v>
      </c>
      <c r="G99" s="6">
        <f t="shared" si="418"/>
        <v>40403</v>
      </c>
      <c r="H99" s="6">
        <f t="shared" si="419"/>
        <v>40405</v>
      </c>
      <c r="I99" s="6">
        <f t="shared" ref="I99:J99" si="426">H99+H$6</f>
        <v>40407</v>
      </c>
      <c r="J99" s="6">
        <f t="shared" si="426"/>
        <v>40409</v>
      </c>
      <c r="K99" s="6">
        <f t="shared" si="421"/>
        <v>40411</v>
      </c>
      <c r="L99" s="6">
        <f t="shared" si="422"/>
        <v>40413</v>
      </c>
      <c r="M99" s="6">
        <f t="shared" si="423"/>
        <v>40415</v>
      </c>
      <c r="N99" s="6">
        <f t="shared" ref="N99:BP100" si="427">M99+M$6</f>
        <v>40417</v>
      </c>
      <c r="O99" s="6">
        <f t="shared" si="427"/>
        <v>40419</v>
      </c>
      <c r="P99" s="6">
        <f t="shared" si="427"/>
        <v>40421</v>
      </c>
      <c r="Q99" s="6">
        <f t="shared" si="424"/>
        <v>40423</v>
      </c>
      <c r="R99" s="6">
        <f t="shared" si="424"/>
        <v>40425</v>
      </c>
      <c r="S99" s="6">
        <f t="shared" si="427"/>
        <v>40427</v>
      </c>
      <c r="T99" s="6">
        <f t="shared" si="427"/>
        <v>40429</v>
      </c>
      <c r="U99" s="6">
        <f t="shared" si="427"/>
        <v>40431</v>
      </c>
      <c r="V99" s="6">
        <f t="shared" si="427"/>
        <v>40433</v>
      </c>
      <c r="W99" s="6">
        <f t="shared" si="427"/>
        <v>40435</v>
      </c>
      <c r="X99" s="6">
        <f t="shared" si="427"/>
        <v>40437</v>
      </c>
      <c r="Y99" s="6">
        <f t="shared" si="220"/>
        <v>40439</v>
      </c>
      <c r="Z99" s="6"/>
      <c r="AA99" s="14">
        <f t="shared" si="382"/>
        <v>40443</v>
      </c>
      <c r="AB99" s="6">
        <f t="shared" ref="AB99:AB100" si="428">AA99+AA$6</f>
        <v>40445</v>
      </c>
      <c r="AC99" s="6">
        <f t="shared" ref="AC99:AC100" si="429">AB99+AB$6</f>
        <v>40447</v>
      </c>
      <c r="AD99" s="6">
        <f t="shared" ref="AD99:AD100" si="430">AC99+AC$6</f>
        <v>40449</v>
      </c>
      <c r="AE99" s="6">
        <f t="shared" ref="AE99:AE100" si="431">AD99+AD$6</f>
        <v>40451</v>
      </c>
      <c r="AF99" s="6">
        <f t="shared" ref="AF99:AF100" si="432">AE99+AE$6</f>
        <v>40453</v>
      </c>
      <c r="AG99" s="6">
        <f t="shared" ref="AG99:AG100" si="433">AF99+AF$6</f>
        <v>40455</v>
      </c>
      <c r="AH99" s="6">
        <f t="shared" ref="AH99:AH100" si="434">AG99+AG$6</f>
        <v>40457</v>
      </c>
      <c r="AI99" s="6">
        <f t="shared" ref="AI99:AI100" si="435">AH99+AH$6</f>
        <v>40459</v>
      </c>
      <c r="AJ99" s="6">
        <f t="shared" ref="AJ99:AJ100" si="436">AI99+AI$6</f>
        <v>40461</v>
      </c>
      <c r="AK99" s="6">
        <f t="shared" ref="AK99:AK100" si="437">AJ99+AJ$6</f>
        <v>40463</v>
      </c>
      <c r="AL99" s="6">
        <f t="shared" ref="AL99:AL100" si="438">AK99+AK$6</f>
        <v>40465</v>
      </c>
      <c r="AM99" s="6">
        <f t="shared" ref="AM99:AM100" si="439">AL99+AL$6</f>
        <v>40467</v>
      </c>
      <c r="AN99" s="6">
        <f t="shared" ref="AN99:AN100" si="440">AM99+AM$6</f>
        <v>40469</v>
      </c>
      <c r="AO99" s="6">
        <f t="shared" ref="AO99:AO100" si="441">AN99+AN$6</f>
        <v>40471</v>
      </c>
      <c r="AP99" s="6">
        <f t="shared" ref="AP99:AP100" si="442">AO99+AO$6</f>
        <v>40473</v>
      </c>
      <c r="AQ99" s="6">
        <f t="shared" ref="AQ99:AQ100" si="443">AP99+AP$6</f>
        <v>40475</v>
      </c>
      <c r="AR99" s="6">
        <f t="shared" ref="AR99:AR100" si="444">AQ99+AQ$6</f>
        <v>40477</v>
      </c>
      <c r="AS99" s="14">
        <f t="shared" ref="AS99:AS100" si="445">AR99+AR$6</f>
        <v>40479</v>
      </c>
      <c r="AT99" s="6">
        <f t="shared" ref="AT99:AT100" si="446">AS99+AS$6</f>
        <v>40481</v>
      </c>
      <c r="AU99" s="6">
        <f t="shared" ref="AU99:AU100" si="447">AT99+AT$6</f>
        <v>40483</v>
      </c>
      <c r="AV99" s="6">
        <f t="shared" ref="AV99:AV100" si="448">AU99+AU$6</f>
        <v>40485</v>
      </c>
      <c r="AW99" s="6">
        <f t="shared" ref="AW99:AW100" si="449">AV99+AV$6</f>
        <v>40487</v>
      </c>
      <c r="AX99" s="6">
        <f t="shared" ref="AX99:AX100" si="450">AW99+AW$6</f>
        <v>40489</v>
      </c>
      <c r="AY99" s="6">
        <f t="shared" ref="AY99:AY100" si="451">AX99+AX$6</f>
        <v>40491</v>
      </c>
      <c r="AZ99" s="6">
        <f t="shared" ref="AZ99:AZ100" si="452">AY99+AY$6</f>
        <v>40493</v>
      </c>
      <c r="BA99" s="6">
        <f t="shared" ref="BA99:BA100" si="453">AZ99+AZ$6</f>
        <v>40495</v>
      </c>
      <c r="BB99" s="6">
        <f t="shared" ref="BB99:BB100" si="454">BA99+BA$6</f>
        <v>40497</v>
      </c>
      <c r="BC99" s="6">
        <f t="shared" ref="BC99:BC100" si="455">BB99+BB$6</f>
        <v>40499</v>
      </c>
      <c r="BD99" s="6">
        <f t="shared" ref="BD99:BD100" si="456">BC99+BC$6</f>
        <v>40501</v>
      </c>
      <c r="BE99" s="6">
        <f t="shared" ref="BE99:BE100" si="457">BD99+BD$6</f>
        <v>40503</v>
      </c>
      <c r="BF99" s="6">
        <f t="shared" ref="BF99:BF100" si="458">BE99+BE$6</f>
        <v>40505</v>
      </c>
      <c r="BG99" s="6">
        <f t="shared" ref="BG99:BG100" si="459">BF99+BF$6</f>
        <v>40507</v>
      </c>
      <c r="BH99" s="6">
        <f t="shared" ref="BH99:BH100" si="460">BG99+BG$6</f>
        <v>40509</v>
      </c>
      <c r="BI99" s="6">
        <f t="shared" ref="BI99:BI100" si="461">BH99+BH$6</f>
        <v>40511</v>
      </c>
      <c r="BJ99" s="6">
        <f t="shared" ref="BJ99:BJ100" si="462">BI99+BI$6</f>
        <v>40513</v>
      </c>
      <c r="BK99" s="6">
        <f t="shared" si="427"/>
        <v>40515</v>
      </c>
      <c r="BL99" s="6">
        <f t="shared" si="427"/>
        <v>40517</v>
      </c>
      <c r="BM99" s="6">
        <f t="shared" si="427"/>
        <v>40519</v>
      </c>
      <c r="BN99" s="6">
        <f t="shared" si="427"/>
        <v>40521</v>
      </c>
      <c r="BO99" s="6">
        <f t="shared" si="427"/>
        <v>40523</v>
      </c>
      <c r="BP99" s="6">
        <f t="shared" si="427"/>
        <v>40525</v>
      </c>
    </row>
    <row r="100" spans="1:68" x14ac:dyDescent="0.25">
      <c r="A100" s="3">
        <v>6</v>
      </c>
      <c r="B100" s="3" t="s">
        <v>336</v>
      </c>
      <c r="C100" s="8" t="s">
        <v>62</v>
      </c>
      <c r="D100" s="8" t="s">
        <v>295</v>
      </c>
      <c r="E100" s="4">
        <f t="shared" si="425"/>
        <v>40600</v>
      </c>
      <c r="F100" s="6">
        <f>E100+1</f>
        <v>40601</v>
      </c>
      <c r="G100" s="6">
        <f t="shared" si="418"/>
        <v>40603</v>
      </c>
      <c r="H100" s="6">
        <f t="shared" si="419"/>
        <v>40605</v>
      </c>
      <c r="I100" s="6">
        <f t="shared" ref="I100:J100" si="463">H100+H$6</f>
        <v>40607</v>
      </c>
      <c r="J100" s="6">
        <f t="shared" si="463"/>
        <v>40609</v>
      </c>
      <c r="K100" s="6">
        <f t="shared" si="421"/>
        <v>40611</v>
      </c>
      <c r="L100" s="6">
        <f t="shared" si="422"/>
        <v>40613</v>
      </c>
      <c r="M100" s="6">
        <f t="shared" si="423"/>
        <v>40615</v>
      </c>
      <c r="N100" s="6">
        <f t="shared" ref="N100:X100" si="464">M100+M$6</f>
        <v>40617</v>
      </c>
      <c r="O100" s="6">
        <f t="shared" si="464"/>
        <v>40619</v>
      </c>
      <c r="P100" s="6">
        <f t="shared" si="464"/>
        <v>40621</v>
      </c>
      <c r="Q100" s="6">
        <f t="shared" si="424"/>
        <v>40623</v>
      </c>
      <c r="R100" s="6">
        <f t="shared" si="424"/>
        <v>40625</v>
      </c>
      <c r="S100" s="6">
        <f t="shared" si="464"/>
        <v>40627</v>
      </c>
      <c r="T100" s="6">
        <f t="shared" si="464"/>
        <v>40629</v>
      </c>
      <c r="U100" s="6">
        <f t="shared" si="464"/>
        <v>40631</v>
      </c>
      <c r="V100" s="6">
        <f t="shared" si="464"/>
        <v>40633</v>
      </c>
      <c r="W100" s="6">
        <f t="shared" si="464"/>
        <v>40635</v>
      </c>
      <c r="X100" s="6">
        <f t="shared" si="464"/>
        <v>40637</v>
      </c>
      <c r="Y100" s="6">
        <f t="shared" si="220"/>
        <v>40639</v>
      </c>
      <c r="Z100" s="6"/>
      <c r="AA100" s="14">
        <f t="shared" si="382"/>
        <v>40643</v>
      </c>
      <c r="AB100" s="6">
        <f t="shared" si="428"/>
        <v>40645</v>
      </c>
      <c r="AC100" s="6">
        <f t="shared" si="429"/>
        <v>40647</v>
      </c>
      <c r="AD100" s="6">
        <f t="shared" si="430"/>
        <v>40649</v>
      </c>
      <c r="AE100" s="6">
        <f t="shared" si="431"/>
        <v>40651</v>
      </c>
      <c r="AF100" s="6">
        <f t="shared" si="432"/>
        <v>40653</v>
      </c>
      <c r="AG100" s="6">
        <f t="shared" si="433"/>
        <v>40655</v>
      </c>
      <c r="AH100" s="6">
        <f t="shared" si="434"/>
        <v>40657</v>
      </c>
      <c r="AI100" s="6">
        <f t="shared" si="435"/>
        <v>40659</v>
      </c>
      <c r="AJ100" s="6">
        <f t="shared" si="436"/>
        <v>40661</v>
      </c>
      <c r="AK100" s="6">
        <f t="shared" si="437"/>
        <v>40663</v>
      </c>
      <c r="AL100" s="6">
        <f t="shared" si="438"/>
        <v>40665</v>
      </c>
      <c r="AM100" s="6">
        <f t="shared" si="439"/>
        <v>40667</v>
      </c>
      <c r="AN100" s="6">
        <f t="shared" si="440"/>
        <v>40669</v>
      </c>
      <c r="AO100" s="6">
        <f t="shared" si="441"/>
        <v>40671</v>
      </c>
      <c r="AP100" s="6">
        <f t="shared" si="442"/>
        <v>40673</v>
      </c>
      <c r="AQ100" s="6">
        <f t="shared" si="443"/>
        <v>40675</v>
      </c>
      <c r="AR100" s="6">
        <f t="shared" si="444"/>
        <v>40677</v>
      </c>
      <c r="AS100" s="14">
        <f t="shared" si="445"/>
        <v>40679</v>
      </c>
      <c r="AT100" s="6">
        <f t="shared" si="446"/>
        <v>40681</v>
      </c>
      <c r="AU100" s="6">
        <f t="shared" si="447"/>
        <v>40683</v>
      </c>
      <c r="AV100" s="6">
        <f t="shared" si="448"/>
        <v>40685</v>
      </c>
      <c r="AW100" s="6">
        <f t="shared" si="449"/>
        <v>40687</v>
      </c>
      <c r="AX100" s="6">
        <f t="shared" si="450"/>
        <v>40689</v>
      </c>
      <c r="AY100" s="6">
        <f t="shared" si="451"/>
        <v>40691</v>
      </c>
      <c r="AZ100" s="6">
        <f t="shared" si="452"/>
        <v>40693</v>
      </c>
      <c r="BA100" s="6">
        <f t="shared" si="453"/>
        <v>40695</v>
      </c>
      <c r="BB100" s="6">
        <f t="shared" si="454"/>
        <v>40697</v>
      </c>
      <c r="BC100" s="6">
        <f t="shared" si="455"/>
        <v>40699</v>
      </c>
      <c r="BD100" s="6">
        <f t="shared" si="456"/>
        <v>40701</v>
      </c>
      <c r="BE100" s="6">
        <f t="shared" si="457"/>
        <v>40703</v>
      </c>
      <c r="BF100" s="6">
        <f t="shared" si="458"/>
        <v>40705</v>
      </c>
      <c r="BG100" s="6">
        <f t="shared" si="459"/>
        <v>40707</v>
      </c>
      <c r="BH100" s="6">
        <f t="shared" si="460"/>
        <v>40709</v>
      </c>
      <c r="BI100" s="6">
        <f t="shared" si="461"/>
        <v>40711</v>
      </c>
      <c r="BJ100" s="6">
        <f t="shared" si="462"/>
        <v>40713</v>
      </c>
      <c r="BK100" s="6">
        <f t="shared" si="427"/>
        <v>40715</v>
      </c>
      <c r="BL100" s="6">
        <f t="shared" si="427"/>
        <v>40717</v>
      </c>
      <c r="BM100" s="6">
        <f t="shared" si="427"/>
        <v>40719</v>
      </c>
      <c r="BN100" s="6">
        <f t="shared" si="427"/>
        <v>40721</v>
      </c>
      <c r="BO100" s="6">
        <f t="shared" si="427"/>
        <v>40723</v>
      </c>
      <c r="BP100" s="6">
        <f t="shared" si="427"/>
        <v>40725</v>
      </c>
    </row>
    <row r="101" spans="1:68" x14ac:dyDescent="0.25">
      <c r="A101" s="3">
        <v>7</v>
      </c>
      <c r="B101" s="3" t="s">
        <v>336</v>
      </c>
      <c r="C101" s="3" t="s">
        <v>257</v>
      </c>
      <c r="D101" s="3" t="s">
        <v>309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</row>
    <row r="102" spans="1:68" x14ac:dyDescent="0.25">
      <c r="A102" s="3">
        <v>8</v>
      </c>
      <c r="B102" s="3" t="s">
        <v>336</v>
      </c>
      <c r="C102" s="3" t="s">
        <v>265</v>
      </c>
      <c r="D102" s="3" t="s">
        <v>317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</row>
    <row r="103" spans="1:68" x14ac:dyDescent="0.25">
      <c r="A103" s="3">
        <v>9</v>
      </c>
      <c r="B103" s="3" t="s">
        <v>336</v>
      </c>
      <c r="C103" s="3" t="s">
        <v>266</v>
      </c>
      <c r="D103" s="3" t="s">
        <v>318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</row>
    <row r="104" spans="1:68" x14ac:dyDescent="0.25">
      <c r="A104" s="3">
        <v>10</v>
      </c>
      <c r="B104" s="3" t="s">
        <v>336</v>
      </c>
      <c r="C104" s="3" t="s">
        <v>64</v>
      </c>
      <c r="D104" s="3" t="s">
        <v>297</v>
      </c>
      <c r="E104" s="4">
        <f>E100+$E$2</f>
        <v>40800</v>
      </c>
      <c r="F104" s="6">
        <f>E104+1</f>
        <v>40801</v>
      </c>
      <c r="G104" s="6">
        <f t="shared" ref="G104" si="465">F104+F$6</f>
        <v>40803</v>
      </c>
      <c r="H104" s="6">
        <f t="shared" ref="H104" si="466">G104+G$6</f>
        <v>40805</v>
      </c>
      <c r="I104" s="6">
        <f>H104+H$6</f>
        <v>40807</v>
      </c>
      <c r="J104" s="6">
        <f>I104+I$6</f>
        <v>40809</v>
      </c>
      <c r="K104" s="6">
        <f t="shared" ref="K104" si="467">J104+J$6</f>
        <v>40811</v>
      </c>
      <c r="L104" s="6">
        <f t="shared" ref="L104" si="468">K104+K$6</f>
        <v>40813</v>
      </c>
      <c r="M104" s="6">
        <f t="shared" ref="M104" si="469">L104+L$6</f>
        <v>40815</v>
      </c>
      <c r="N104" s="6">
        <f t="shared" ref="N104:X104" si="470">M104+M$6</f>
        <v>40817</v>
      </c>
      <c r="O104" s="6">
        <f t="shared" si="470"/>
        <v>40819</v>
      </c>
      <c r="P104" s="6">
        <f t="shared" si="470"/>
        <v>40821</v>
      </c>
      <c r="Q104" s="6">
        <f>P104+P$6</f>
        <v>40823</v>
      </c>
      <c r="R104" s="6">
        <f>Q104+Q$6</f>
        <v>40825</v>
      </c>
      <c r="S104" s="6">
        <f t="shared" si="470"/>
        <v>40827</v>
      </c>
      <c r="T104" s="6">
        <f t="shared" si="470"/>
        <v>40829</v>
      </c>
      <c r="U104" s="6">
        <f t="shared" si="470"/>
        <v>40831</v>
      </c>
      <c r="V104" s="6">
        <f t="shared" si="470"/>
        <v>40833</v>
      </c>
      <c r="W104" s="6">
        <f t="shared" si="470"/>
        <v>40835</v>
      </c>
      <c r="X104" s="6">
        <f t="shared" si="470"/>
        <v>40837</v>
      </c>
      <c r="Y104" s="6">
        <f t="shared" si="220"/>
        <v>40839</v>
      </c>
      <c r="Z104" s="6"/>
      <c r="AA104" s="14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14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</row>
    <row r="105" spans="1:68" x14ac:dyDescent="0.25">
      <c r="A105" s="3">
        <v>11</v>
      </c>
      <c r="B105" s="3" t="s">
        <v>336</v>
      </c>
      <c r="C105" s="3" t="s">
        <v>267</v>
      </c>
      <c r="D105" s="3" t="s">
        <v>319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</row>
    <row r="106" spans="1:68" x14ac:dyDescent="0.25">
      <c r="A106" s="3">
        <v>12</v>
      </c>
      <c r="B106" s="3" t="s">
        <v>336</v>
      </c>
      <c r="C106" s="3" t="s">
        <v>65</v>
      </c>
      <c r="D106" s="3" t="s">
        <v>298</v>
      </c>
      <c r="E106" s="4">
        <f>E104+$E$2</f>
        <v>41000</v>
      </c>
      <c r="F106" s="6">
        <f>E106+1</f>
        <v>41001</v>
      </c>
      <c r="G106" s="6">
        <f t="shared" ref="G106:G107" si="471">F106+F$6</f>
        <v>41003</v>
      </c>
      <c r="H106" s="6">
        <f t="shared" ref="H106:H107" si="472">G106+G$6</f>
        <v>41005</v>
      </c>
      <c r="I106" s="6">
        <f t="shared" ref="I106:J106" si="473">H106+H$6</f>
        <v>41007</v>
      </c>
      <c r="J106" s="6">
        <f t="shared" si="473"/>
        <v>41009</v>
      </c>
      <c r="K106" s="6">
        <f t="shared" ref="K106:K107" si="474">J106+J$6</f>
        <v>41011</v>
      </c>
      <c r="L106" s="6">
        <f t="shared" ref="L106:L107" si="475">K106+K$6</f>
        <v>41013</v>
      </c>
      <c r="M106" s="6">
        <f t="shared" ref="M106:M107" si="476">L106+L$6</f>
        <v>41015</v>
      </c>
      <c r="N106" s="6">
        <f t="shared" ref="N106:X107" si="477">M106+M$6</f>
        <v>41017</v>
      </c>
      <c r="O106" s="6">
        <f t="shared" si="477"/>
        <v>41019</v>
      </c>
      <c r="P106" s="6">
        <f t="shared" si="477"/>
        <v>41021</v>
      </c>
      <c r="Q106" s="6">
        <f t="shared" si="477"/>
        <v>41023</v>
      </c>
      <c r="R106" s="6">
        <f t="shared" si="477"/>
        <v>41025</v>
      </c>
      <c r="S106" s="6">
        <f t="shared" si="477"/>
        <v>41027</v>
      </c>
      <c r="T106" s="6">
        <f t="shared" si="477"/>
        <v>41029</v>
      </c>
      <c r="U106" s="6">
        <f t="shared" si="477"/>
        <v>41031</v>
      </c>
      <c r="V106" s="6">
        <f t="shared" si="477"/>
        <v>41033</v>
      </c>
      <c r="W106" s="6">
        <f t="shared" si="477"/>
        <v>41035</v>
      </c>
      <c r="X106" s="6">
        <f t="shared" si="477"/>
        <v>41037</v>
      </c>
      <c r="Y106" s="6">
        <f t="shared" si="220"/>
        <v>41039</v>
      </c>
      <c r="Z106" s="6"/>
      <c r="AA106" s="14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14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</row>
    <row r="107" spans="1:68" x14ac:dyDescent="0.25">
      <c r="A107" s="3">
        <v>13</v>
      </c>
      <c r="B107" s="3" t="s">
        <v>336</v>
      </c>
      <c r="C107" s="3" t="s">
        <v>66</v>
      </c>
      <c r="D107" s="3" t="s">
        <v>299</v>
      </c>
      <c r="E107" s="4">
        <f>E106+$E$2</f>
        <v>41200</v>
      </c>
      <c r="F107" s="6">
        <f>E107+1</f>
        <v>41201</v>
      </c>
      <c r="G107" s="6">
        <f t="shared" si="471"/>
        <v>41203</v>
      </c>
      <c r="H107" s="6">
        <f t="shared" si="472"/>
        <v>41205</v>
      </c>
      <c r="I107" s="6">
        <f t="shared" ref="I107:J107" si="478">H107+H$6</f>
        <v>41207</v>
      </c>
      <c r="J107" s="6">
        <f t="shared" si="478"/>
        <v>41209</v>
      </c>
      <c r="K107" s="6">
        <f t="shared" si="474"/>
        <v>41211</v>
      </c>
      <c r="L107" s="6">
        <f t="shared" si="475"/>
        <v>41213</v>
      </c>
      <c r="M107" s="6">
        <f t="shared" si="476"/>
        <v>41215</v>
      </c>
      <c r="N107" s="6">
        <f t="shared" ref="N107:X107" si="479">M107+M$6</f>
        <v>41217</v>
      </c>
      <c r="O107" s="6">
        <f t="shared" si="479"/>
        <v>41219</v>
      </c>
      <c r="P107" s="6">
        <f t="shared" si="479"/>
        <v>41221</v>
      </c>
      <c r="Q107" s="6">
        <f t="shared" si="477"/>
        <v>41223</v>
      </c>
      <c r="R107" s="6">
        <f t="shared" si="477"/>
        <v>41225</v>
      </c>
      <c r="S107" s="6">
        <f t="shared" si="479"/>
        <v>41227</v>
      </c>
      <c r="T107" s="6">
        <f t="shared" si="479"/>
        <v>41229</v>
      </c>
      <c r="U107" s="6">
        <f t="shared" si="479"/>
        <v>41231</v>
      </c>
      <c r="V107" s="6">
        <f t="shared" si="479"/>
        <v>41233</v>
      </c>
      <c r="W107" s="6">
        <f t="shared" si="479"/>
        <v>41235</v>
      </c>
      <c r="X107" s="6">
        <f t="shared" si="479"/>
        <v>41237</v>
      </c>
      <c r="Y107" s="6">
        <f t="shared" si="220"/>
        <v>41239</v>
      </c>
      <c r="Z107" s="6"/>
      <c r="AA107" s="14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14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</row>
    <row r="108" spans="1:68" x14ac:dyDescent="0.25">
      <c r="A108" s="3">
        <v>14</v>
      </c>
      <c r="B108" s="3" t="s">
        <v>336</v>
      </c>
      <c r="C108" s="3" t="s">
        <v>249</v>
      </c>
      <c r="D108" s="3" t="s">
        <v>299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</row>
    <row r="109" spans="1:68" x14ac:dyDescent="0.25">
      <c r="A109" s="3">
        <v>15</v>
      </c>
      <c r="B109" s="3" t="s">
        <v>336</v>
      </c>
      <c r="C109" s="3" t="s">
        <v>67</v>
      </c>
      <c r="D109" s="3" t="s">
        <v>300</v>
      </c>
      <c r="E109" s="4">
        <f>E107+$E$2</f>
        <v>41400</v>
      </c>
      <c r="F109" s="6">
        <f>E109+1</f>
        <v>41401</v>
      </c>
      <c r="G109" s="6">
        <f t="shared" ref="G109" si="480">F109+F$6</f>
        <v>41403</v>
      </c>
      <c r="H109" s="6">
        <f t="shared" ref="H109" si="481">G109+G$6</f>
        <v>41405</v>
      </c>
      <c r="I109" s="6">
        <f>H109+H$6</f>
        <v>41407</v>
      </c>
      <c r="J109" s="6">
        <f>I109+I$6</f>
        <v>41409</v>
      </c>
      <c r="K109" s="6">
        <f t="shared" ref="K109" si="482">J109+J$6</f>
        <v>41411</v>
      </c>
      <c r="L109" s="6">
        <f t="shared" ref="L109" si="483">K109+K$6</f>
        <v>41413</v>
      </c>
      <c r="M109" s="6">
        <f t="shared" ref="M109" si="484">L109+L$6</f>
        <v>41415</v>
      </c>
      <c r="N109" s="6">
        <f t="shared" ref="N109:X109" si="485">M109+M$6</f>
        <v>41417</v>
      </c>
      <c r="O109" s="6">
        <f t="shared" si="485"/>
        <v>41419</v>
      </c>
      <c r="P109" s="6">
        <f t="shared" si="485"/>
        <v>41421</v>
      </c>
      <c r="Q109" s="6">
        <f>P109+P$6</f>
        <v>41423</v>
      </c>
      <c r="R109" s="6">
        <f>Q109+Q$6</f>
        <v>41425</v>
      </c>
      <c r="S109" s="6">
        <f t="shared" si="485"/>
        <v>41427</v>
      </c>
      <c r="T109" s="6">
        <f t="shared" si="485"/>
        <v>41429</v>
      </c>
      <c r="U109" s="6">
        <f t="shared" si="485"/>
        <v>41431</v>
      </c>
      <c r="V109" s="6">
        <f t="shared" si="485"/>
        <v>41433</v>
      </c>
      <c r="W109" s="6">
        <f t="shared" si="485"/>
        <v>41435</v>
      </c>
      <c r="X109" s="6">
        <f t="shared" si="485"/>
        <v>41437</v>
      </c>
      <c r="Y109" s="6">
        <f t="shared" si="220"/>
        <v>41439</v>
      </c>
      <c r="Z109" s="6"/>
      <c r="AA109" s="14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14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</row>
    <row r="110" spans="1:68" x14ac:dyDescent="0.25">
      <c r="A110" s="3">
        <v>16</v>
      </c>
      <c r="B110" s="3" t="s">
        <v>336</v>
      </c>
      <c r="C110" s="3" t="s">
        <v>247</v>
      </c>
      <c r="D110" s="3" t="s">
        <v>300</v>
      </c>
      <c r="E110" s="4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</row>
    <row r="111" spans="1:68" x14ac:dyDescent="0.25">
      <c r="A111" s="3">
        <v>17</v>
      </c>
      <c r="B111" s="3" t="s">
        <v>336</v>
      </c>
      <c r="C111" s="3" t="s">
        <v>68</v>
      </c>
      <c r="D111" s="3" t="s">
        <v>301</v>
      </c>
      <c r="E111" s="4">
        <f>E109+$E$2</f>
        <v>41600</v>
      </c>
      <c r="F111" s="6">
        <f>E111+1</f>
        <v>41601</v>
      </c>
      <c r="G111" s="6">
        <f t="shared" ref="G111" si="486">F111+F$6</f>
        <v>41603</v>
      </c>
      <c r="H111" s="6">
        <f t="shared" ref="H111" si="487">G111+G$6</f>
        <v>41605</v>
      </c>
      <c r="I111" s="6">
        <f>H111+H$6</f>
        <v>41607</v>
      </c>
      <c r="J111" s="6">
        <f>I111+I$6</f>
        <v>41609</v>
      </c>
      <c r="K111" s="6">
        <f t="shared" ref="K111" si="488">J111+J$6</f>
        <v>41611</v>
      </c>
      <c r="L111" s="6">
        <f t="shared" ref="L111" si="489">K111+K$6</f>
        <v>41613</v>
      </c>
      <c r="M111" s="6">
        <f t="shared" ref="M111" si="490">L111+L$6</f>
        <v>41615</v>
      </c>
      <c r="N111" s="6">
        <f t="shared" ref="N111:X111" si="491">M111+M$6</f>
        <v>41617</v>
      </c>
      <c r="O111" s="6">
        <f t="shared" si="491"/>
        <v>41619</v>
      </c>
      <c r="P111" s="6">
        <f t="shared" si="491"/>
        <v>41621</v>
      </c>
      <c r="Q111" s="6">
        <f>P111+P$6</f>
        <v>41623</v>
      </c>
      <c r="R111" s="6">
        <f>Q111+Q$6</f>
        <v>41625</v>
      </c>
      <c r="S111" s="6">
        <f t="shared" si="491"/>
        <v>41627</v>
      </c>
      <c r="T111" s="6">
        <f t="shared" si="491"/>
        <v>41629</v>
      </c>
      <c r="U111" s="6">
        <f t="shared" si="491"/>
        <v>41631</v>
      </c>
      <c r="V111" s="6">
        <f t="shared" si="491"/>
        <v>41633</v>
      </c>
      <c r="W111" s="6">
        <f t="shared" si="491"/>
        <v>41635</v>
      </c>
      <c r="X111" s="6">
        <f t="shared" si="491"/>
        <v>41637</v>
      </c>
      <c r="Y111" s="6">
        <f t="shared" si="220"/>
        <v>41639</v>
      </c>
      <c r="Z111" s="6"/>
      <c r="AA111" s="14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14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</row>
    <row r="112" spans="1:68" x14ac:dyDescent="0.25">
      <c r="A112" s="3">
        <v>18</v>
      </c>
      <c r="B112" s="3" t="s">
        <v>336</v>
      </c>
      <c r="C112" s="3" t="s">
        <v>248</v>
      </c>
      <c r="D112" s="3" t="s">
        <v>301</v>
      </c>
      <c r="E112" s="4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</row>
    <row r="113" spans="1:68" x14ac:dyDescent="0.25">
      <c r="A113" s="3">
        <v>19</v>
      </c>
      <c r="B113" s="3" t="s">
        <v>336</v>
      </c>
      <c r="C113" s="36" t="s">
        <v>118</v>
      </c>
      <c r="D113" s="3" t="s">
        <v>291</v>
      </c>
      <c r="E113" s="4">
        <f t="shared" ref="E113" si="492">E111+$E$2</f>
        <v>41800</v>
      </c>
      <c r="F113" s="6">
        <f t="shared" si="232"/>
        <v>41801</v>
      </c>
      <c r="G113" s="6">
        <f t="shared" ref="G113:G115" si="493">F113+F$6</f>
        <v>41803</v>
      </c>
      <c r="H113" s="6">
        <f t="shared" ref="H113:H115" si="494">G113+G$6</f>
        <v>41805</v>
      </c>
      <c r="I113" s="6">
        <f t="shared" ref="I113:J113" si="495">H113+H$6</f>
        <v>41807</v>
      </c>
      <c r="J113" s="6">
        <f t="shared" si="495"/>
        <v>41809</v>
      </c>
      <c r="K113" s="6">
        <f t="shared" ref="K113:K115" si="496">J113+J$6</f>
        <v>41811</v>
      </c>
      <c r="L113" s="6">
        <f t="shared" ref="L113:L115" si="497">K113+K$6</f>
        <v>41813</v>
      </c>
      <c r="M113" s="6">
        <f t="shared" ref="M113:M115" si="498">L113+L$6</f>
        <v>41815</v>
      </c>
      <c r="N113" s="6">
        <f t="shared" ref="N113:X128" si="499">M113+M$6</f>
        <v>41817</v>
      </c>
      <c r="O113" s="6">
        <f t="shared" si="499"/>
        <v>41819</v>
      </c>
      <c r="P113" s="6">
        <f t="shared" si="499"/>
        <v>41821</v>
      </c>
      <c r="Q113" s="6">
        <f t="shared" si="499"/>
        <v>41823</v>
      </c>
      <c r="R113" s="6">
        <f t="shared" si="499"/>
        <v>41825</v>
      </c>
      <c r="S113" s="6">
        <f t="shared" si="499"/>
        <v>41827</v>
      </c>
      <c r="T113" s="6">
        <f t="shared" si="499"/>
        <v>41829</v>
      </c>
      <c r="U113" s="6">
        <f t="shared" si="499"/>
        <v>41831</v>
      </c>
      <c r="V113" s="6">
        <f t="shared" si="499"/>
        <v>41833</v>
      </c>
      <c r="W113" s="6">
        <f t="shared" si="499"/>
        <v>41835</v>
      </c>
      <c r="X113" s="6">
        <f t="shared" si="499"/>
        <v>41837</v>
      </c>
      <c r="Y113" s="6">
        <f t="shared" si="220"/>
        <v>41839</v>
      </c>
      <c r="Z113" s="6">
        <f t="shared" si="220"/>
        <v>41841</v>
      </c>
      <c r="AA113" s="14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14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</row>
    <row r="114" spans="1:68" x14ac:dyDescent="0.25">
      <c r="A114" s="3">
        <v>20</v>
      </c>
      <c r="B114" s="3" t="s">
        <v>336</v>
      </c>
      <c r="C114" s="36" t="s">
        <v>119</v>
      </c>
      <c r="D114" s="3" t="s">
        <v>291</v>
      </c>
      <c r="E114" s="4">
        <f>E113+$E$2</f>
        <v>42000</v>
      </c>
      <c r="F114" s="6">
        <f t="shared" si="232"/>
        <v>42001</v>
      </c>
      <c r="G114" s="6">
        <f t="shared" si="493"/>
        <v>42003</v>
      </c>
      <c r="H114" s="6">
        <f t="shared" si="494"/>
        <v>42005</v>
      </c>
      <c r="I114" s="6">
        <f t="shared" ref="I114:J114" si="500">H114+H$6</f>
        <v>42007</v>
      </c>
      <c r="J114" s="6">
        <f t="shared" si="500"/>
        <v>42009</v>
      </c>
      <c r="K114" s="6">
        <f t="shared" si="496"/>
        <v>42011</v>
      </c>
      <c r="L114" s="6">
        <f t="shared" si="497"/>
        <v>42013</v>
      </c>
      <c r="M114" s="6">
        <f t="shared" si="498"/>
        <v>42015</v>
      </c>
      <c r="N114" s="6">
        <f t="shared" ref="N114:X114" si="501">M114+M$6</f>
        <v>42017</v>
      </c>
      <c r="O114" s="6">
        <f t="shared" si="501"/>
        <v>42019</v>
      </c>
      <c r="P114" s="6">
        <f t="shared" si="501"/>
        <v>42021</v>
      </c>
      <c r="Q114" s="6">
        <f t="shared" si="499"/>
        <v>42023</v>
      </c>
      <c r="R114" s="6">
        <f t="shared" si="499"/>
        <v>42025</v>
      </c>
      <c r="S114" s="6">
        <f t="shared" si="501"/>
        <v>42027</v>
      </c>
      <c r="T114" s="6">
        <f t="shared" si="501"/>
        <v>42029</v>
      </c>
      <c r="U114" s="6">
        <f t="shared" si="501"/>
        <v>42031</v>
      </c>
      <c r="V114" s="6">
        <f t="shared" si="501"/>
        <v>42033</v>
      </c>
      <c r="W114" s="6">
        <f t="shared" si="501"/>
        <v>42035</v>
      </c>
      <c r="X114" s="6">
        <f t="shared" si="501"/>
        <v>42037</v>
      </c>
      <c r="Y114" s="6">
        <f t="shared" si="220"/>
        <v>42039</v>
      </c>
      <c r="Z114" s="6">
        <f t="shared" si="220"/>
        <v>42041</v>
      </c>
      <c r="AA114" s="14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14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</row>
    <row r="115" spans="1:68" x14ac:dyDescent="0.25">
      <c r="A115" s="3">
        <v>21</v>
      </c>
      <c r="B115" s="3" t="s">
        <v>336</v>
      </c>
      <c r="C115" s="36" t="s">
        <v>120</v>
      </c>
      <c r="D115" s="3" t="s">
        <v>291</v>
      </c>
      <c r="E115" s="4">
        <f t="shared" ref="E115:E174" si="502">E114+$E$2</f>
        <v>42200</v>
      </c>
      <c r="F115" s="6">
        <f t="shared" si="232"/>
        <v>42201</v>
      </c>
      <c r="G115" s="6">
        <f t="shared" si="493"/>
        <v>42203</v>
      </c>
      <c r="H115" s="6">
        <f t="shared" si="494"/>
        <v>42205</v>
      </c>
      <c r="I115" s="6">
        <f t="shared" ref="I115:J115" si="503">H115+H$6</f>
        <v>42207</v>
      </c>
      <c r="J115" s="6">
        <f t="shared" si="503"/>
        <v>42209</v>
      </c>
      <c r="K115" s="6">
        <f t="shared" si="496"/>
        <v>42211</v>
      </c>
      <c r="L115" s="6">
        <f t="shared" si="497"/>
        <v>42213</v>
      </c>
      <c r="M115" s="6">
        <f t="shared" si="498"/>
        <v>42215</v>
      </c>
      <c r="N115" s="6">
        <f t="shared" ref="N115:X115" si="504">M115+M$6</f>
        <v>42217</v>
      </c>
      <c r="O115" s="6">
        <f t="shared" si="504"/>
        <v>42219</v>
      </c>
      <c r="P115" s="6">
        <f t="shared" si="504"/>
        <v>42221</v>
      </c>
      <c r="Q115" s="6">
        <f t="shared" si="499"/>
        <v>42223</v>
      </c>
      <c r="R115" s="6">
        <f t="shared" si="499"/>
        <v>42225</v>
      </c>
      <c r="S115" s="6">
        <f t="shared" si="504"/>
        <v>42227</v>
      </c>
      <c r="T115" s="6">
        <f t="shared" si="504"/>
        <v>42229</v>
      </c>
      <c r="U115" s="6">
        <f t="shared" si="504"/>
        <v>42231</v>
      </c>
      <c r="V115" s="6">
        <f t="shared" si="504"/>
        <v>42233</v>
      </c>
      <c r="W115" s="6">
        <f t="shared" si="504"/>
        <v>42235</v>
      </c>
      <c r="X115" s="6">
        <f t="shared" si="504"/>
        <v>42237</v>
      </c>
      <c r="Y115" s="6">
        <f t="shared" si="220"/>
        <v>42239</v>
      </c>
      <c r="Z115" s="6">
        <f t="shared" si="220"/>
        <v>42241</v>
      </c>
      <c r="AA115" s="14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14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</row>
    <row r="116" spans="1:68" x14ac:dyDescent="0.25">
      <c r="A116" s="3">
        <v>22</v>
      </c>
      <c r="B116" s="3" t="s">
        <v>336</v>
      </c>
      <c r="C116" s="36" t="s">
        <v>121</v>
      </c>
      <c r="D116" s="3" t="s">
        <v>328</v>
      </c>
      <c r="E116" s="4">
        <f t="shared" si="502"/>
        <v>42400</v>
      </c>
      <c r="F116" s="6">
        <f t="shared" si="232"/>
        <v>42401</v>
      </c>
      <c r="G116" s="6">
        <f t="shared" ref="G116:G123" si="505">F116+F$6</f>
        <v>42403</v>
      </c>
      <c r="H116" s="6">
        <f t="shared" ref="H116:H123" si="506">G116+G$6</f>
        <v>42405</v>
      </c>
      <c r="I116" s="6">
        <f t="shared" ref="I116:J116" si="507">H116+H$6</f>
        <v>42407</v>
      </c>
      <c r="J116" s="6">
        <f t="shared" si="507"/>
        <v>42409</v>
      </c>
      <c r="K116" s="6">
        <f t="shared" ref="K116:K123" si="508">J116+J$6</f>
        <v>42411</v>
      </c>
      <c r="L116" s="6">
        <f t="shared" ref="L116:L123" si="509">K116+K$6</f>
        <v>42413</v>
      </c>
      <c r="M116" s="6">
        <f t="shared" ref="M116:M123" si="510">L116+L$6</f>
        <v>42415</v>
      </c>
      <c r="N116" s="6">
        <f t="shared" ref="N116:X116" si="511">M116+M$6</f>
        <v>42417</v>
      </c>
      <c r="O116" s="6">
        <f t="shared" si="511"/>
        <v>42419</v>
      </c>
      <c r="P116" s="6">
        <f t="shared" si="511"/>
        <v>42421</v>
      </c>
      <c r="Q116" s="6">
        <f t="shared" si="499"/>
        <v>42423</v>
      </c>
      <c r="R116" s="6">
        <f t="shared" si="499"/>
        <v>42425</v>
      </c>
      <c r="S116" s="6">
        <f t="shared" si="511"/>
        <v>42427</v>
      </c>
      <c r="T116" s="6">
        <f t="shared" si="511"/>
        <v>42429</v>
      </c>
      <c r="U116" s="6">
        <f t="shared" si="511"/>
        <v>42431</v>
      </c>
      <c r="V116" s="6">
        <f t="shared" si="511"/>
        <v>42433</v>
      </c>
      <c r="W116" s="6">
        <f t="shared" si="511"/>
        <v>42435</v>
      </c>
      <c r="X116" s="6">
        <f t="shared" si="511"/>
        <v>42437</v>
      </c>
      <c r="Y116" s="6">
        <f t="shared" si="220"/>
        <v>42439</v>
      </c>
      <c r="Z116" s="6">
        <f t="shared" si="220"/>
        <v>42441</v>
      </c>
      <c r="AA116" s="14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14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</row>
    <row r="117" spans="1:68" x14ac:dyDescent="0.25">
      <c r="A117" s="3">
        <v>23</v>
      </c>
      <c r="B117" s="3" t="s">
        <v>336</v>
      </c>
      <c r="C117" s="36" t="s">
        <v>122</v>
      </c>
      <c r="D117" s="3" t="s">
        <v>328</v>
      </c>
      <c r="E117" s="4">
        <f t="shared" si="502"/>
        <v>42600</v>
      </c>
      <c r="F117" s="6">
        <f t="shared" si="232"/>
        <v>42601</v>
      </c>
      <c r="G117" s="6">
        <f t="shared" si="505"/>
        <v>42603</v>
      </c>
      <c r="H117" s="6">
        <f t="shared" si="506"/>
        <v>42605</v>
      </c>
      <c r="I117" s="6">
        <f t="shared" ref="I117:J117" si="512">H117+H$6</f>
        <v>42607</v>
      </c>
      <c r="J117" s="6">
        <f t="shared" si="512"/>
        <v>42609</v>
      </c>
      <c r="K117" s="6">
        <f t="shared" si="508"/>
        <v>42611</v>
      </c>
      <c r="L117" s="6">
        <f t="shared" si="509"/>
        <v>42613</v>
      </c>
      <c r="M117" s="6">
        <f t="shared" si="510"/>
        <v>42615</v>
      </c>
      <c r="N117" s="6">
        <f t="shared" ref="N117:X117" si="513">M117+M$6</f>
        <v>42617</v>
      </c>
      <c r="O117" s="6">
        <f t="shared" si="513"/>
        <v>42619</v>
      </c>
      <c r="P117" s="6">
        <f t="shared" si="513"/>
        <v>42621</v>
      </c>
      <c r="Q117" s="6">
        <f t="shared" si="499"/>
        <v>42623</v>
      </c>
      <c r="R117" s="6">
        <f t="shared" si="499"/>
        <v>42625</v>
      </c>
      <c r="S117" s="6">
        <f t="shared" si="513"/>
        <v>42627</v>
      </c>
      <c r="T117" s="6">
        <f t="shared" si="513"/>
        <v>42629</v>
      </c>
      <c r="U117" s="6">
        <f t="shared" si="513"/>
        <v>42631</v>
      </c>
      <c r="V117" s="6">
        <f t="shared" si="513"/>
        <v>42633</v>
      </c>
      <c r="W117" s="6">
        <f t="shared" si="513"/>
        <v>42635</v>
      </c>
      <c r="X117" s="6">
        <f t="shared" si="513"/>
        <v>42637</v>
      </c>
      <c r="Y117" s="6">
        <f t="shared" si="220"/>
        <v>42639</v>
      </c>
      <c r="Z117" s="6">
        <f t="shared" si="220"/>
        <v>42641</v>
      </c>
      <c r="AA117" s="14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14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</row>
    <row r="118" spans="1:68" x14ac:dyDescent="0.25">
      <c r="A118" s="3">
        <v>24</v>
      </c>
      <c r="B118" s="3" t="s">
        <v>336</v>
      </c>
      <c r="C118" s="36" t="s">
        <v>123</v>
      </c>
      <c r="D118" s="3" t="s">
        <v>328</v>
      </c>
      <c r="E118" s="4">
        <f t="shared" si="502"/>
        <v>42800</v>
      </c>
      <c r="F118" s="6">
        <f t="shared" si="232"/>
        <v>42801</v>
      </c>
      <c r="G118" s="6">
        <f t="shared" si="505"/>
        <v>42803</v>
      </c>
      <c r="H118" s="6">
        <f t="shared" si="506"/>
        <v>42805</v>
      </c>
      <c r="I118" s="6">
        <f t="shared" ref="I118:J118" si="514">H118+H$6</f>
        <v>42807</v>
      </c>
      <c r="J118" s="6">
        <f t="shared" si="514"/>
        <v>42809</v>
      </c>
      <c r="K118" s="6">
        <f t="shared" si="508"/>
        <v>42811</v>
      </c>
      <c r="L118" s="6">
        <f t="shared" si="509"/>
        <v>42813</v>
      </c>
      <c r="M118" s="6">
        <f t="shared" si="510"/>
        <v>42815</v>
      </c>
      <c r="N118" s="6">
        <f t="shared" ref="N118:X118" si="515">M118+M$6</f>
        <v>42817</v>
      </c>
      <c r="O118" s="6">
        <f t="shared" si="515"/>
        <v>42819</v>
      </c>
      <c r="P118" s="6">
        <f t="shared" si="515"/>
        <v>42821</v>
      </c>
      <c r="Q118" s="6">
        <f t="shared" si="499"/>
        <v>42823</v>
      </c>
      <c r="R118" s="6">
        <f t="shared" si="499"/>
        <v>42825</v>
      </c>
      <c r="S118" s="6">
        <f t="shared" si="515"/>
        <v>42827</v>
      </c>
      <c r="T118" s="6">
        <f t="shared" si="515"/>
        <v>42829</v>
      </c>
      <c r="U118" s="6">
        <f t="shared" si="515"/>
        <v>42831</v>
      </c>
      <c r="V118" s="6">
        <f t="shared" si="515"/>
        <v>42833</v>
      </c>
      <c r="W118" s="6">
        <f t="shared" si="515"/>
        <v>42835</v>
      </c>
      <c r="X118" s="6">
        <f t="shared" si="515"/>
        <v>42837</v>
      </c>
      <c r="Y118" s="6">
        <f t="shared" si="220"/>
        <v>42839</v>
      </c>
      <c r="Z118" s="6">
        <f t="shared" si="220"/>
        <v>42841</v>
      </c>
      <c r="AA118" s="14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14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</row>
    <row r="119" spans="1:68" x14ac:dyDescent="0.25">
      <c r="A119" s="3">
        <v>25</v>
      </c>
      <c r="B119" s="3" t="s">
        <v>336</v>
      </c>
      <c r="C119" s="36" t="s">
        <v>124</v>
      </c>
      <c r="D119" s="3" t="s">
        <v>328</v>
      </c>
      <c r="E119" s="4">
        <f t="shared" si="502"/>
        <v>43000</v>
      </c>
      <c r="F119" s="6">
        <f t="shared" si="232"/>
        <v>43001</v>
      </c>
      <c r="G119" s="6">
        <f t="shared" si="505"/>
        <v>43003</v>
      </c>
      <c r="H119" s="6">
        <f t="shared" si="506"/>
        <v>43005</v>
      </c>
      <c r="I119" s="6">
        <f t="shared" ref="I119:J119" si="516">H119+H$6</f>
        <v>43007</v>
      </c>
      <c r="J119" s="6">
        <f t="shared" si="516"/>
        <v>43009</v>
      </c>
      <c r="K119" s="6">
        <f t="shared" si="508"/>
        <v>43011</v>
      </c>
      <c r="L119" s="6">
        <f t="shared" si="509"/>
        <v>43013</v>
      </c>
      <c r="M119" s="6">
        <f t="shared" si="510"/>
        <v>43015</v>
      </c>
      <c r="N119" s="6">
        <f t="shared" ref="N119:X119" si="517">M119+M$6</f>
        <v>43017</v>
      </c>
      <c r="O119" s="6">
        <f t="shared" si="517"/>
        <v>43019</v>
      </c>
      <c r="P119" s="6">
        <f t="shared" si="517"/>
        <v>43021</v>
      </c>
      <c r="Q119" s="6">
        <f t="shared" si="499"/>
        <v>43023</v>
      </c>
      <c r="R119" s="6">
        <f t="shared" si="499"/>
        <v>43025</v>
      </c>
      <c r="S119" s="6">
        <f t="shared" si="517"/>
        <v>43027</v>
      </c>
      <c r="T119" s="6">
        <f t="shared" si="517"/>
        <v>43029</v>
      </c>
      <c r="U119" s="6">
        <f t="shared" si="517"/>
        <v>43031</v>
      </c>
      <c r="V119" s="6">
        <f t="shared" si="517"/>
        <v>43033</v>
      </c>
      <c r="W119" s="6">
        <f t="shared" si="517"/>
        <v>43035</v>
      </c>
      <c r="X119" s="6">
        <f t="shared" si="517"/>
        <v>43037</v>
      </c>
      <c r="Y119" s="6">
        <f t="shared" si="220"/>
        <v>43039</v>
      </c>
      <c r="Z119" s="6">
        <f t="shared" si="220"/>
        <v>43041</v>
      </c>
      <c r="AA119" s="14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14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</row>
    <row r="120" spans="1:68" x14ac:dyDescent="0.25">
      <c r="A120" s="3">
        <v>26</v>
      </c>
      <c r="B120" s="3" t="s">
        <v>336</v>
      </c>
      <c r="C120" s="36" t="s">
        <v>125</v>
      </c>
      <c r="D120" s="3" t="s">
        <v>328</v>
      </c>
      <c r="E120" s="4">
        <f t="shared" si="502"/>
        <v>43200</v>
      </c>
      <c r="F120" s="6">
        <f t="shared" si="232"/>
        <v>43201</v>
      </c>
      <c r="G120" s="6">
        <f t="shared" si="505"/>
        <v>43203</v>
      </c>
      <c r="H120" s="6">
        <f t="shared" si="506"/>
        <v>43205</v>
      </c>
      <c r="I120" s="6">
        <f t="shared" ref="I120:J120" si="518">H120+H$6</f>
        <v>43207</v>
      </c>
      <c r="J120" s="6">
        <f t="shared" si="518"/>
        <v>43209</v>
      </c>
      <c r="K120" s="6">
        <f t="shared" si="508"/>
        <v>43211</v>
      </c>
      <c r="L120" s="6">
        <f t="shared" si="509"/>
        <v>43213</v>
      </c>
      <c r="M120" s="6">
        <f t="shared" si="510"/>
        <v>43215</v>
      </c>
      <c r="N120" s="6">
        <f t="shared" ref="N120:X120" si="519">M120+M$6</f>
        <v>43217</v>
      </c>
      <c r="O120" s="6">
        <f t="shared" si="519"/>
        <v>43219</v>
      </c>
      <c r="P120" s="6">
        <f t="shared" si="519"/>
        <v>43221</v>
      </c>
      <c r="Q120" s="6">
        <f t="shared" si="499"/>
        <v>43223</v>
      </c>
      <c r="R120" s="6">
        <f t="shared" si="499"/>
        <v>43225</v>
      </c>
      <c r="S120" s="6">
        <f t="shared" si="519"/>
        <v>43227</v>
      </c>
      <c r="T120" s="6">
        <f t="shared" si="519"/>
        <v>43229</v>
      </c>
      <c r="U120" s="6">
        <f t="shared" si="519"/>
        <v>43231</v>
      </c>
      <c r="V120" s="6">
        <f t="shared" si="519"/>
        <v>43233</v>
      </c>
      <c r="W120" s="6">
        <f t="shared" si="519"/>
        <v>43235</v>
      </c>
      <c r="X120" s="6">
        <f t="shared" si="519"/>
        <v>43237</v>
      </c>
      <c r="Y120" s="6">
        <f t="shared" si="220"/>
        <v>43239</v>
      </c>
      <c r="Z120" s="6">
        <f t="shared" si="220"/>
        <v>43241</v>
      </c>
      <c r="AA120" s="14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14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</row>
    <row r="121" spans="1:68" x14ac:dyDescent="0.25">
      <c r="A121" s="3">
        <v>27</v>
      </c>
      <c r="B121" s="3" t="s">
        <v>336</v>
      </c>
      <c r="C121" s="36" t="s">
        <v>126</v>
      </c>
      <c r="D121" s="3" t="s">
        <v>328</v>
      </c>
      <c r="E121" s="4">
        <f t="shared" si="502"/>
        <v>43400</v>
      </c>
      <c r="F121" s="6">
        <f t="shared" si="232"/>
        <v>43401</v>
      </c>
      <c r="G121" s="6">
        <f t="shared" si="505"/>
        <v>43403</v>
      </c>
      <c r="H121" s="6">
        <f t="shared" si="506"/>
        <v>43405</v>
      </c>
      <c r="I121" s="6">
        <f t="shared" ref="I121:J121" si="520">H121+H$6</f>
        <v>43407</v>
      </c>
      <c r="J121" s="6">
        <f t="shared" si="520"/>
        <v>43409</v>
      </c>
      <c r="K121" s="6">
        <f t="shared" si="508"/>
        <v>43411</v>
      </c>
      <c r="L121" s="6">
        <f t="shared" si="509"/>
        <v>43413</v>
      </c>
      <c r="M121" s="6">
        <f t="shared" si="510"/>
        <v>43415</v>
      </c>
      <c r="N121" s="6">
        <f t="shared" ref="N121:Y136" si="521">M121+M$6</f>
        <v>43417</v>
      </c>
      <c r="O121" s="6">
        <f t="shared" si="521"/>
        <v>43419</v>
      </c>
      <c r="P121" s="6">
        <f t="shared" si="521"/>
        <v>43421</v>
      </c>
      <c r="Q121" s="6">
        <f t="shared" si="499"/>
        <v>43423</v>
      </c>
      <c r="R121" s="6">
        <f t="shared" si="499"/>
        <v>43425</v>
      </c>
      <c r="S121" s="6">
        <f t="shared" si="521"/>
        <v>43427</v>
      </c>
      <c r="T121" s="6">
        <f t="shared" si="521"/>
        <v>43429</v>
      </c>
      <c r="U121" s="6">
        <f t="shared" si="521"/>
        <v>43431</v>
      </c>
      <c r="V121" s="6">
        <f t="shared" si="521"/>
        <v>43433</v>
      </c>
      <c r="W121" s="6">
        <f t="shared" si="521"/>
        <v>43435</v>
      </c>
      <c r="X121" s="6">
        <f t="shared" si="521"/>
        <v>43437</v>
      </c>
      <c r="Y121" s="6">
        <f t="shared" si="521"/>
        <v>43439</v>
      </c>
      <c r="Z121" s="6">
        <f t="shared" ref="Z121:Z180" si="522">Y121+Y$6</f>
        <v>43441</v>
      </c>
      <c r="AA121" s="14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14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</row>
    <row r="122" spans="1:68" x14ac:dyDescent="0.25">
      <c r="A122" s="3">
        <v>28</v>
      </c>
      <c r="B122" s="3" t="s">
        <v>336</v>
      </c>
      <c r="C122" s="36" t="s">
        <v>127</v>
      </c>
      <c r="D122" s="3" t="s">
        <v>328</v>
      </c>
      <c r="E122" s="4">
        <f t="shared" si="502"/>
        <v>43600</v>
      </c>
      <c r="F122" s="6">
        <f t="shared" si="232"/>
        <v>43601</v>
      </c>
      <c r="G122" s="6">
        <f t="shared" si="505"/>
        <v>43603</v>
      </c>
      <c r="H122" s="6">
        <f t="shared" si="506"/>
        <v>43605</v>
      </c>
      <c r="I122" s="6">
        <f t="shared" ref="I122:J122" si="523">H122+H$6</f>
        <v>43607</v>
      </c>
      <c r="J122" s="6">
        <f t="shared" si="523"/>
        <v>43609</v>
      </c>
      <c r="K122" s="6">
        <f t="shared" si="508"/>
        <v>43611</v>
      </c>
      <c r="L122" s="6">
        <f t="shared" si="509"/>
        <v>43613</v>
      </c>
      <c r="M122" s="6">
        <f t="shared" si="510"/>
        <v>43615</v>
      </c>
      <c r="N122" s="6">
        <f t="shared" ref="N122:X122" si="524">M122+M$6</f>
        <v>43617</v>
      </c>
      <c r="O122" s="6">
        <f t="shared" si="524"/>
        <v>43619</v>
      </c>
      <c r="P122" s="6">
        <f t="shared" si="524"/>
        <v>43621</v>
      </c>
      <c r="Q122" s="6">
        <f t="shared" si="499"/>
        <v>43623</v>
      </c>
      <c r="R122" s="6">
        <f t="shared" si="499"/>
        <v>43625</v>
      </c>
      <c r="S122" s="6">
        <f t="shared" si="524"/>
        <v>43627</v>
      </c>
      <c r="T122" s="6">
        <f t="shared" si="524"/>
        <v>43629</v>
      </c>
      <c r="U122" s="6">
        <f t="shared" si="524"/>
        <v>43631</v>
      </c>
      <c r="V122" s="6">
        <f t="shared" si="524"/>
        <v>43633</v>
      </c>
      <c r="W122" s="6">
        <f t="shared" si="524"/>
        <v>43635</v>
      </c>
      <c r="X122" s="6">
        <f t="shared" si="524"/>
        <v>43637</v>
      </c>
      <c r="Y122" s="6">
        <f t="shared" si="521"/>
        <v>43639</v>
      </c>
      <c r="Z122" s="6">
        <f t="shared" si="522"/>
        <v>43641</v>
      </c>
      <c r="AA122" s="14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14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</row>
    <row r="123" spans="1:68" x14ac:dyDescent="0.25">
      <c r="A123" s="3">
        <v>29</v>
      </c>
      <c r="B123" s="3" t="s">
        <v>336</v>
      </c>
      <c r="C123" s="36" t="s">
        <v>128</v>
      </c>
      <c r="D123" s="3" t="s">
        <v>328</v>
      </c>
      <c r="E123" s="4">
        <f t="shared" si="502"/>
        <v>43800</v>
      </c>
      <c r="F123" s="6">
        <f t="shared" si="232"/>
        <v>43801</v>
      </c>
      <c r="G123" s="6">
        <f t="shared" si="505"/>
        <v>43803</v>
      </c>
      <c r="H123" s="6">
        <f t="shared" si="506"/>
        <v>43805</v>
      </c>
      <c r="I123" s="6">
        <f t="shared" ref="I123:J123" si="525">H123+H$6</f>
        <v>43807</v>
      </c>
      <c r="J123" s="6">
        <f t="shared" si="525"/>
        <v>43809</v>
      </c>
      <c r="K123" s="6">
        <f t="shared" si="508"/>
        <v>43811</v>
      </c>
      <c r="L123" s="6">
        <f t="shared" si="509"/>
        <v>43813</v>
      </c>
      <c r="M123" s="6">
        <f t="shared" si="510"/>
        <v>43815</v>
      </c>
      <c r="N123" s="6">
        <f t="shared" ref="N123:X123" si="526">M123+M$6</f>
        <v>43817</v>
      </c>
      <c r="O123" s="6">
        <f t="shared" si="526"/>
        <v>43819</v>
      </c>
      <c r="P123" s="6">
        <f t="shared" si="526"/>
        <v>43821</v>
      </c>
      <c r="Q123" s="6">
        <f t="shared" si="499"/>
        <v>43823</v>
      </c>
      <c r="R123" s="6">
        <f t="shared" si="499"/>
        <v>43825</v>
      </c>
      <c r="S123" s="6">
        <f t="shared" si="526"/>
        <v>43827</v>
      </c>
      <c r="T123" s="6">
        <f t="shared" si="526"/>
        <v>43829</v>
      </c>
      <c r="U123" s="6">
        <f t="shared" si="526"/>
        <v>43831</v>
      </c>
      <c r="V123" s="6">
        <f t="shared" si="526"/>
        <v>43833</v>
      </c>
      <c r="W123" s="6">
        <f t="shared" si="526"/>
        <v>43835</v>
      </c>
      <c r="X123" s="6">
        <f t="shared" si="526"/>
        <v>43837</v>
      </c>
      <c r="Y123" s="6">
        <f t="shared" si="521"/>
        <v>43839</v>
      </c>
      <c r="Z123" s="6">
        <f t="shared" si="522"/>
        <v>43841</v>
      </c>
      <c r="AA123" s="14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14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</row>
    <row r="124" spans="1:68" x14ac:dyDescent="0.25">
      <c r="A124" s="3">
        <v>30</v>
      </c>
      <c r="B124" s="3" t="s">
        <v>336</v>
      </c>
      <c r="C124" s="36" t="s">
        <v>129</v>
      </c>
      <c r="D124" s="3" t="s">
        <v>329</v>
      </c>
      <c r="E124" s="4">
        <f t="shared" si="502"/>
        <v>44000</v>
      </c>
      <c r="F124" s="6">
        <f t="shared" si="232"/>
        <v>44001</v>
      </c>
      <c r="G124" s="6">
        <f t="shared" ref="G124:G133" si="527">F124+F$6</f>
        <v>44003</v>
      </c>
      <c r="H124" s="6">
        <f t="shared" ref="H124:H133" si="528">G124+G$6</f>
        <v>44005</v>
      </c>
      <c r="I124" s="6">
        <f t="shared" ref="I124:J124" si="529">H124+H$6</f>
        <v>44007</v>
      </c>
      <c r="J124" s="6">
        <f t="shared" si="529"/>
        <v>44009</v>
      </c>
      <c r="K124" s="6">
        <f t="shared" ref="K124:K133" si="530">J124+J$6</f>
        <v>44011</v>
      </c>
      <c r="L124" s="6">
        <f t="shared" ref="L124:L133" si="531">K124+K$6</f>
        <v>44013</v>
      </c>
      <c r="M124" s="6">
        <f t="shared" ref="M124:M133" si="532">L124+L$6</f>
        <v>44015</v>
      </c>
      <c r="N124" s="6">
        <f t="shared" ref="N124:X124" si="533">M124+M$6</f>
        <v>44017</v>
      </c>
      <c r="O124" s="6">
        <f t="shared" si="533"/>
        <v>44019</v>
      </c>
      <c r="P124" s="6">
        <f t="shared" si="533"/>
        <v>44021</v>
      </c>
      <c r="Q124" s="6">
        <f t="shared" si="499"/>
        <v>44023</v>
      </c>
      <c r="R124" s="6">
        <f t="shared" si="499"/>
        <v>44025</v>
      </c>
      <c r="S124" s="6">
        <f t="shared" si="533"/>
        <v>44027</v>
      </c>
      <c r="T124" s="6">
        <f t="shared" si="533"/>
        <v>44029</v>
      </c>
      <c r="U124" s="6">
        <f t="shared" si="533"/>
        <v>44031</v>
      </c>
      <c r="V124" s="6">
        <f t="shared" si="533"/>
        <v>44033</v>
      </c>
      <c r="W124" s="6">
        <f t="shared" si="533"/>
        <v>44035</v>
      </c>
      <c r="X124" s="6">
        <f t="shared" si="533"/>
        <v>44037</v>
      </c>
      <c r="Y124" s="6">
        <f t="shared" si="521"/>
        <v>44039</v>
      </c>
      <c r="Z124" s="6">
        <f t="shared" si="522"/>
        <v>44041</v>
      </c>
      <c r="AA124" s="14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14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</row>
    <row r="125" spans="1:68" x14ac:dyDescent="0.25">
      <c r="A125" s="3">
        <v>31</v>
      </c>
      <c r="B125" s="3" t="s">
        <v>336</v>
      </c>
      <c r="C125" s="36" t="s">
        <v>130</v>
      </c>
      <c r="D125" s="3" t="s">
        <v>329</v>
      </c>
      <c r="E125" s="4">
        <f t="shared" si="502"/>
        <v>44200</v>
      </c>
      <c r="F125" s="6">
        <f t="shared" si="232"/>
        <v>44201</v>
      </c>
      <c r="G125" s="6">
        <f t="shared" si="527"/>
        <v>44203</v>
      </c>
      <c r="H125" s="6">
        <f t="shared" si="528"/>
        <v>44205</v>
      </c>
      <c r="I125" s="6">
        <f t="shared" ref="I125:J125" si="534">H125+H$6</f>
        <v>44207</v>
      </c>
      <c r="J125" s="6">
        <f t="shared" si="534"/>
        <v>44209</v>
      </c>
      <c r="K125" s="6">
        <f t="shared" si="530"/>
        <v>44211</v>
      </c>
      <c r="L125" s="6">
        <f t="shared" si="531"/>
        <v>44213</v>
      </c>
      <c r="M125" s="6">
        <f t="shared" si="532"/>
        <v>44215</v>
      </c>
      <c r="N125" s="6">
        <f t="shared" ref="N125:X125" si="535">M125+M$6</f>
        <v>44217</v>
      </c>
      <c r="O125" s="6">
        <f t="shared" si="535"/>
        <v>44219</v>
      </c>
      <c r="P125" s="6">
        <f t="shared" si="535"/>
        <v>44221</v>
      </c>
      <c r="Q125" s="6">
        <f t="shared" si="499"/>
        <v>44223</v>
      </c>
      <c r="R125" s="6">
        <f t="shared" si="499"/>
        <v>44225</v>
      </c>
      <c r="S125" s="6">
        <f t="shared" si="535"/>
        <v>44227</v>
      </c>
      <c r="T125" s="6">
        <f t="shared" si="535"/>
        <v>44229</v>
      </c>
      <c r="U125" s="6">
        <f t="shared" si="535"/>
        <v>44231</v>
      </c>
      <c r="V125" s="6">
        <f t="shared" si="535"/>
        <v>44233</v>
      </c>
      <c r="W125" s="6">
        <f t="shared" si="535"/>
        <v>44235</v>
      </c>
      <c r="X125" s="6">
        <f t="shared" si="535"/>
        <v>44237</v>
      </c>
      <c r="Y125" s="6">
        <f t="shared" si="521"/>
        <v>44239</v>
      </c>
      <c r="Z125" s="6">
        <f t="shared" si="522"/>
        <v>44241</v>
      </c>
      <c r="AA125" s="14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14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</row>
    <row r="126" spans="1:68" x14ac:dyDescent="0.25">
      <c r="A126" s="3">
        <v>32</v>
      </c>
      <c r="B126" s="3" t="s">
        <v>336</v>
      </c>
      <c r="C126" s="36" t="s">
        <v>131</v>
      </c>
      <c r="D126" s="3" t="s">
        <v>329</v>
      </c>
      <c r="E126" s="4">
        <f t="shared" si="502"/>
        <v>44400</v>
      </c>
      <c r="F126" s="6">
        <f t="shared" si="232"/>
        <v>44401</v>
      </c>
      <c r="G126" s="6">
        <f t="shared" si="527"/>
        <v>44403</v>
      </c>
      <c r="H126" s="6">
        <f t="shared" si="528"/>
        <v>44405</v>
      </c>
      <c r="I126" s="6">
        <f t="shared" ref="I126:J126" si="536">H126+H$6</f>
        <v>44407</v>
      </c>
      <c r="J126" s="6">
        <f t="shared" si="536"/>
        <v>44409</v>
      </c>
      <c r="K126" s="6">
        <f t="shared" si="530"/>
        <v>44411</v>
      </c>
      <c r="L126" s="6">
        <f t="shared" si="531"/>
        <v>44413</v>
      </c>
      <c r="M126" s="6">
        <f t="shared" si="532"/>
        <v>44415</v>
      </c>
      <c r="N126" s="6">
        <f t="shared" ref="N126:X126" si="537">M126+M$6</f>
        <v>44417</v>
      </c>
      <c r="O126" s="6">
        <f t="shared" si="537"/>
        <v>44419</v>
      </c>
      <c r="P126" s="6">
        <f t="shared" si="537"/>
        <v>44421</v>
      </c>
      <c r="Q126" s="6">
        <f t="shared" si="499"/>
        <v>44423</v>
      </c>
      <c r="R126" s="6">
        <f t="shared" si="499"/>
        <v>44425</v>
      </c>
      <c r="S126" s="6">
        <f t="shared" si="537"/>
        <v>44427</v>
      </c>
      <c r="T126" s="6">
        <f t="shared" si="537"/>
        <v>44429</v>
      </c>
      <c r="U126" s="6">
        <f t="shared" si="537"/>
        <v>44431</v>
      </c>
      <c r="V126" s="6">
        <f t="shared" si="537"/>
        <v>44433</v>
      </c>
      <c r="W126" s="6">
        <f t="shared" si="537"/>
        <v>44435</v>
      </c>
      <c r="X126" s="6">
        <f t="shared" si="537"/>
        <v>44437</v>
      </c>
      <c r="Y126" s="6">
        <f t="shared" si="521"/>
        <v>44439</v>
      </c>
      <c r="Z126" s="6">
        <f t="shared" si="522"/>
        <v>44441</v>
      </c>
      <c r="AA126" s="14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14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</row>
    <row r="127" spans="1:68" x14ac:dyDescent="0.25">
      <c r="A127" s="3">
        <v>33</v>
      </c>
      <c r="B127" s="3" t="s">
        <v>336</v>
      </c>
      <c r="C127" s="36" t="s">
        <v>132</v>
      </c>
      <c r="D127" s="3" t="s">
        <v>329</v>
      </c>
      <c r="E127" s="4">
        <f t="shared" si="502"/>
        <v>44600</v>
      </c>
      <c r="F127" s="6">
        <f t="shared" si="232"/>
        <v>44601</v>
      </c>
      <c r="G127" s="6">
        <f t="shared" si="527"/>
        <v>44603</v>
      </c>
      <c r="H127" s="6">
        <f t="shared" si="528"/>
        <v>44605</v>
      </c>
      <c r="I127" s="6">
        <f t="shared" ref="I127:J127" si="538">H127+H$6</f>
        <v>44607</v>
      </c>
      <c r="J127" s="6">
        <f t="shared" si="538"/>
        <v>44609</v>
      </c>
      <c r="K127" s="6">
        <f t="shared" si="530"/>
        <v>44611</v>
      </c>
      <c r="L127" s="6">
        <f t="shared" si="531"/>
        <v>44613</v>
      </c>
      <c r="M127" s="6">
        <f t="shared" si="532"/>
        <v>44615</v>
      </c>
      <c r="N127" s="6">
        <f t="shared" ref="N127:X127" si="539">M127+M$6</f>
        <v>44617</v>
      </c>
      <c r="O127" s="6">
        <f t="shared" si="539"/>
        <v>44619</v>
      </c>
      <c r="P127" s="6">
        <f t="shared" si="539"/>
        <v>44621</v>
      </c>
      <c r="Q127" s="6">
        <f t="shared" si="499"/>
        <v>44623</v>
      </c>
      <c r="R127" s="6">
        <f t="shared" si="499"/>
        <v>44625</v>
      </c>
      <c r="S127" s="6">
        <f t="shared" si="539"/>
        <v>44627</v>
      </c>
      <c r="T127" s="6">
        <f t="shared" si="539"/>
        <v>44629</v>
      </c>
      <c r="U127" s="6">
        <f t="shared" si="539"/>
        <v>44631</v>
      </c>
      <c r="V127" s="6">
        <f t="shared" si="539"/>
        <v>44633</v>
      </c>
      <c r="W127" s="6">
        <f t="shared" si="539"/>
        <v>44635</v>
      </c>
      <c r="X127" s="6">
        <f t="shared" si="539"/>
        <v>44637</v>
      </c>
      <c r="Y127" s="6">
        <f t="shared" si="521"/>
        <v>44639</v>
      </c>
      <c r="Z127" s="6">
        <f t="shared" si="522"/>
        <v>44641</v>
      </c>
      <c r="AA127" s="14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14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</row>
    <row r="128" spans="1:68" x14ac:dyDescent="0.25">
      <c r="A128" s="3">
        <v>34</v>
      </c>
      <c r="B128" s="3" t="s">
        <v>336</v>
      </c>
      <c r="C128" s="36" t="s">
        <v>133</v>
      </c>
      <c r="D128" s="3" t="s">
        <v>329</v>
      </c>
      <c r="E128" s="4">
        <f t="shared" si="502"/>
        <v>44800</v>
      </c>
      <c r="F128" s="6">
        <f t="shared" si="232"/>
        <v>44801</v>
      </c>
      <c r="G128" s="6">
        <f t="shared" si="527"/>
        <v>44803</v>
      </c>
      <c r="H128" s="6">
        <f t="shared" si="528"/>
        <v>44805</v>
      </c>
      <c r="I128" s="6">
        <f t="shared" ref="I128:J128" si="540">H128+H$6</f>
        <v>44807</v>
      </c>
      <c r="J128" s="6">
        <f t="shared" si="540"/>
        <v>44809</v>
      </c>
      <c r="K128" s="6">
        <f t="shared" si="530"/>
        <v>44811</v>
      </c>
      <c r="L128" s="6">
        <f t="shared" si="531"/>
        <v>44813</v>
      </c>
      <c r="M128" s="6">
        <f t="shared" si="532"/>
        <v>44815</v>
      </c>
      <c r="N128" s="6">
        <f t="shared" ref="N128:X128" si="541">M128+M$6</f>
        <v>44817</v>
      </c>
      <c r="O128" s="6">
        <f t="shared" si="541"/>
        <v>44819</v>
      </c>
      <c r="P128" s="6">
        <f t="shared" si="541"/>
        <v>44821</v>
      </c>
      <c r="Q128" s="6">
        <f t="shared" si="499"/>
        <v>44823</v>
      </c>
      <c r="R128" s="6">
        <f t="shared" si="499"/>
        <v>44825</v>
      </c>
      <c r="S128" s="6">
        <f t="shared" si="541"/>
        <v>44827</v>
      </c>
      <c r="T128" s="6">
        <f t="shared" si="541"/>
        <v>44829</v>
      </c>
      <c r="U128" s="6">
        <f t="shared" si="541"/>
        <v>44831</v>
      </c>
      <c r="V128" s="6">
        <f t="shared" si="541"/>
        <v>44833</v>
      </c>
      <c r="W128" s="6">
        <f t="shared" si="541"/>
        <v>44835</v>
      </c>
      <c r="X128" s="6">
        <f t="shared" si="541"/>
        <v>44837</v>
      </c>
      <c r="Y128" s="6">
        <f t="shared" si="521"/>
        <v>44839</v>
      </c>
      <c r="Z128" s="6">
        <f t="shared" si="522"/>
        <v>44841</v>
      </c>
      <c r="AA128" s="14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14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</row>
    <row r="129" spans="1:68" x14ac:dyDescent="0.25">
      <c r="A129" s="3">
        <v>35</v>
      </c>
      <c r="B129" s="3" t="s">
        <v>336</v>
      </c>
      <c r="C129" s="36" t="s">
        <v>134</v>
      </c>
      <c r="D129" s="3" t="s">
        <v>329</v>
      </c>
      <c r="E129" s="4">
        <f t="shared" si="502"/>
        <v>45000</v>
      </c>
      <c r="F129" s="6">
        <f t="shared" si="232"/>
        <v>45001</v>
      </c>
      <c r="G129" s="6">
        <f t="shared" si="527"/>
        <v>45003</v>
      </c>
      <c r="H129" s="6">
        <f t="shared" si="528"/>
        <v>45005</v>
      </c>
      <c r="I129" s="6">
        <f t="shared" ref="I129:J129" si="542">H129+H$6</f>
        <v>45007</v>
      </c>
      <c r="J129" s="6">
        <f t="shared" si="542"/>
        <v>45009</v>
      </c>
      <c r="K129" s="6">
        <f t="shared" si="530"/>
        <v>45011</v>
      </c>
      <c r="L129" s="6">
        <f t="shared" si="531"/>
        <v>45013</v>
      </c>
      <c r="M129" s="6">
        <f t="shared" si="532"/>
        <v>45015</v>
      </c>
      <c r="N129" s="6">
        <f t="shared" ref="N129:X144" si="543">M129+M$6</f>
        <v>45017</v>
      </c>
      <c r="O129" s="6">
        <f t="shared" si="543"/>
        <v>45019</v>
      </c>
      <c r="P129" s="6">
        <f t="shared" si="543"/>
        <v>45021</v>
      </c>
      <c r="Q129" s="6">
        <f t="shared" si="543"/>
        <v>45023</v>
      </c>
      <c r="R129" s="6">
        <f t="shared" si="543"/>
        <v>45025</v>
      </c>
      <c r="S129" s="6">
        <f t="shared" si="543"/>
        <v>45027</v>
      </c>
      <c r="T129" s="6">
        <f t="shared" si="543"/>
        <v>45029</v>
      </c>
      <c r="U129" s="6">
        <f t="shared" si="543"/>
        <v>45031</v>
      </c>
      <c r="V129" s="6">
        <f t="shared" si="543"/>
        <v>45033</v>
      </c>
      <c r="W129" s="6">
        <f t="shared" si="543"/>
        <v>45035</v>
      </c>
      <c r="X129" s="6">
        <f t="shared" si="543"/>
        <v>45037</v>
      </c>
      <c r="Y129" s="6">
        <f t="shared" si="521"/>
        <v>45039</v>
      </c>
      <c r="Z129" s="6">
        <f t="shared" si="522"/>
        <v>45041</v>
      </c>
      <c r="AA129" s="14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14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</row>
    <row r="130" spans="1:68" x14ac:dyDescent="0.25">
      <c r="A130" s="3">
        <v>36</v>
      </c>
      <c r="B130" s="3" t="s">
        <v>336</v>
      </c>
      <c r="C130" s="36" t="s">
        <v>135</v>
      </c>
      <c r="D130" s="3" t="s">
        <v>329</v>
      </c>
      <c r="E130" s="4">
        <f t="shared" si="502"/>
        <v>45200</v>
      </c>
      <c r="F130" s="6">
        <f t="shared" si="232"/>
        <v>45201</v>
      </c>
      <c r="G130" s="6">
        <f t="shared" si="527"/>
        <v>45203</v>
      </c>
      <c r="H130" s="6">
        <f t="shared" si="528"/>
        <v>45205</v>
      </c>
      <c r="I130" s="6">
        <f t="shared" ref="I130:J130" si="544">H130+H$6</f>
        <v>45207</v>
      </c>
      <c r="J130" s="6">
        <f t="shared" si="544"/>
        <v>45209</v>
      </c>
      <c r="K130" s="6">
        <f t="shared" si="530"/>
        <v>45211</v>
      </c>
      <c r="L130" s="6">
        <f t="shared" si="531"/>
        <v>45213</v>
      </c>
      <c r="M130" s="6">
        <f t="shared" si="532"/>
        <v>45215</v>
      </c>
      <c r="N130" s="6">
        <f t="shared" ref="N130:X130" si="545">M130+M$6</f>
        <v>45217</v>
      </c>
      <c r="O130" s="6">
        <f t="shared" si="545"/>
        <v>45219</v>
      </c>
      <c r="P130" s="6">
        <f t="shared" si="545"/>
        <v>45221</v>
      </c>
      <c r="Q130" s="6">
        <f t="shared" si="543"/>
        <v>45223</v>
      </c>
      <c r="R130" s="6">
        <f t="shared" si="543"/>
        <v>45225</v>
      </c>
      <c r="S130" s="6">
        <f t="shared" si="545"/>
        <v>45227</v>
      </c>
      <c r="T130" s="6">
        <f t="shared" si="545"/>
        <v>45229</v>
      </c>
      <c r="U130" s="6">
        <f t="shared" si="545"/>
        <v>45231</v>
      </c>
      <c r="V130" s="6">
        <f t="shared" si="545"/>
        <v>45233</v>
      </c>
      <c r="W130" s="6">
        <f t="shared" si="545"/>
        <v>45235</v>
      </c>
      <c r="X130" s="6">
        <f t="shared" si="545"/>
        <v>45237</v>
      </c>
      <c r="Y130" s="6">
        <f t="shared" si="521"/>
        <v>45239</v>
      </c>
      <c r="Z130" s="6">
        <f t="shared" si="522"/>
        <v>45241</v>
      </c>
      <c r="AA130" s="14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14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</row>
    <row r="131" spans="1:68" x14ac:dyDescent="0.25">
      <c r="A131" s="3">
        <v>37</v>
      </c>
      <c r="B131" s="3" t="s">
        <v>336</v>
      </c>
      <c r="C131" s="36" t="s">
        <v>136</v>
      </c>
      <c r="D131" s="3" t="s">
        <v>329</v>
      </c>
      <c r="E131" s="4">
        <f t="shared" si="502"/>
        <v>45400</v>
      </c>
      <c r="F131" s="6">
        <f t="shared" si="232"/>
        <v>45401</v>
      </c>
      <c r="G131" s="6">
        <f t="shared" si="527"/>
        <v>45403</v>
      </c>
      <c r="H131" s="6">
        <f t="shared" si="528"/>
        <v>45405</v>
      </c>
      <c r="I131" s="6">
        <f t="shared" ref="I131:J131" si="546">H131+H$6</f>
        <v>45407</v>
      </c>
      <c r="J131" s="6">
        <f t="shared" si="546"/>
        <v>45409</v>
      </c>
      <c r="K131" s="6">
        <f t="shared" si="530"/>
        <v>45411</v>
      </c>
      <c r="L131" s="6">
        <f t="shared" si="531"/>
        <v>45413</v>
      </c>
      <c r="M131" s="6">
        <f t="shared" si="532"/>
        <v>45415</v>
      </c>
      <c r="N131" s="6">
        <f t="shared" ref="N131:X131" si="547">M131+M$6</f>
        <v>45417</v>
      </c>
      <c r="O131" s="6">
        <f t="shared" si="547"/>
        <v>45419</v>
      </c>
      <c r="P131" s="6">
        <f t="shared" si="547"/>
        <v>45421</v>
      </c>
      <c r="Q131" s="6">
        <f t="shared" si="543"/>
        <v>45423</v>
      </c>
      <c r="R131" s="6">
        <f t="shared" si="543"/>
        <v>45425</v>
      </c>
      <c r="S131" s="6">
        <f t="shared" si="547"/>
        <v>45427</v>
      </c>
      <c r="T131" s="6">
        <f t="shared" si="547"/>
        <v>45429</v>
      </c>
      <c r="U131" s="6">
        <f t="shared" si="547"/>
        <v>45431</v>
      </c>
      <c r="V131" s="6">
        <f t="shared" si="547"/>
        <v>45433</v>
      </c>
      <c r="W131" s="6">
        <f t="shared" si="547"/>
        <v>45435</v>
      </c>
      <c r="X131" s="6">
        <f t="shared" si="547"/>
        <v>45437</v>
      </c>
      <c r="Y131" s="6">
        <f t="shared" si="521"/>
        <v>45439</v>
      </c>
      <c r="Z131" s="6">
        <f t="shared" si="522"/>
        <v>45441</v>
      </c>
      <c r="AA131" s="14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14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</row>
    <row r="132" spans="1:68" x14ac:dyDescent="0.25">
      <c r="A132" s="3">
        <v>38</v>
      </c>
      <c r="B132" s="3" t="s">
        <v>336</v>
      </c>
      <c r="C132" s="36" t="s">
        <v>137</v>
      </c>
      <c r="D132" s="3" t="s">
        <v>329</v>
      </c>
      <c r="E132" s="4">
        <f t="shared" si="502"/>
        <v>45600</v>
      </c>
      <c r="F132" s="6">
        <f t="shared" si="232"/>
        <v>45601</v>
      </c>
      <c r="G132" s="6">
        <f t="shared" si="527"/>
        <v>45603</v>
      </c>
      <c r="H132" s="6">
        <f t="shared" si="528"/>
        <v>45605</v>
      </c>
      <c r="I132" s="6">
        <f t="shared" ref="I132:J132" si="548">H132+H$6</f>
        <v>45607</v>
      </c>
      <c r="J132" s="6">
        <f t="shared" si="548"/>
        <v>45609</v>
      </c>
      <c r="K132" s="6">
        <f t="shared" si="530"/>
        <v>45611</v>
      </c>
      <c r="L132" s="6">
        <f t="shared" si="531"/>
        <v>45613</v>
      </c>
      <c r="M132" s="6">
        <f t="shared" si="532"/>
        <v>45615</v>
      </c>
      <c r="N132" s="6">
        <f t="shared" ref="N132:X132" si="549">M132+M$6</f>
        <v>45617</v>
      </c>
      <c r="O132" s="6">
        <f t="shared" si="549"/>
        <v>45619</v>
      </c>
      <c r="P132" s="6">
        <f t="shared" si="549"/>
        <v>45621</v>
      </c>
      <c r="Q132" s="6">
        <f t="shared" si="543"/>
        <v>45623</v>
      </c>
      <c r="R132" s="6">
        <f t="shared" si="543"/>
        <v>45625</v>
      </c>
      <c r="S132" s="6">
        <f t="shared" si="549"/>
        <v>45627</v>
      </c>
      <c r="T132" s="6">
        <f t="shared" si="549"/>
        <v>45629</v>
      </c>
      <c r="U132" s="6">
        <f t="shared" si="549"/>
        <v>45631</v>
      </c>
      <c r="V132" s="6">
        <f t="shared" si="549"/>
        <v>45633</v>
      </c>
      <c r="W132" s="6">
        <f t="shared" si="549"/>
        <v>45635</v>
      </c>
      <c r="X132" s="6">
        <f t="shared" si="549"/>
        <v>45637</v>
      </c>
      <c r="Y132" s="6">
        <f t="shared" si="521"/>
        <v>45639</v>
      </c>
      <c r="Z132" s="6">
        <f t="shared" si="522"/>
        <v>45641</v>
      </c>
      <c r="AA132" s="14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14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</row>
    <row r="133" spans="1:68" x14ac:dyDescent="0.25">
      <c r="A133" s="3">
        <v>39</v>
      </c>
      <c r="B133" s="3" t="s">
        <v>336</v>
      </c>
      <c r="C133" s="36" t="s">
        <v>138</v>
      </c>
      <c r="D133" s="3" t="s">
        <v>329</v>
      </c>
      <c r="E133" s="4">
        <f t="shared" si="502"/>
        <v>45800</v>
      </c>
      <c r="F133" s="6">
        <f t="shared" si="232"/>
        <v>45801</v>
      </c>
      <c r="G133" s="6">
        <f t="shared" si="527"/>
        <v>45803</v>
      </c>
      <c r="H133" s="6">
        <f t="shared" si="528"/>
        <v>45805</v>
      </c>
      <c r="I133" s="6">
        <f t="shared" ref="I133:J133" si="550">H133+H$6</f>
        <v>45807</v>
      </c>
      <c r="J133" s="6">
        <f t="shared" si="550"/>
        <v>45809</v>
      </c>
      <c r="K133" s="6">
        <f t="shared" si="530"/>
        <v>45811</v>
      </c>
      <c r="L133" s="6">
        <f t="shared" si="531"/>
        <v>45813</v>
      </c>
      <c r="M133" s="6">
        <f t="shared" si="532"/>
        <v>45815</v>
      </c>
      <c r="N133" s="6">
        <f t="shared" ref="N133:X133" si="551">M133+M$6</f>
        <v>45817</v>
      </c>
      <c r="O133" s="6">
        <f t="shared" si="551"/>
        <v>45819</v>
      </c>
      <c r="P133" s="6">
        <f t="shared" si="551"/>
        <v>45821</v>
      </c>
      <c r="Q133" s="6">
        <f t="shared" si="543"/>
        <v>45823</v>
      </c>
      <c r="R133" s="6">
        <f t="shared" si="543"/>
        <v>45825</v>
      </c>
      <c r="S133" s="6">
        <f t="shared" si="551"/>
        <v>45827</v>
      </c>
      <c r="T133" s="6">
        <f t="shared" si="551"/>
        <v>45829</v>
      </c>
      <c r="U133" s="6">
        <f t="shared" si="551"/>
        <v>45831</v>
      </c>
      <c r="V133" s="6">
        <f t="shared" si="551"/>
        <v>45833</v>
      </c>
      <c r="W133" s="6">
        <f t="shared" si="551"/>
        <v>45835</v>
      </c>
      <c r="X133" s="6">
        <f t="shared" si="551"/>
        <v>45837</v>
      </c>
      <c r="Y133" s="6">
        <f t="shared" si="521"/>
        <v>45839</v>
      </c>
      <c r="Z133" s="6">
        <f t="shared" si="522"/>
        <v>45841</v>
      </c>
      <c r="AA133" s="14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14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</row>
    <row r="134" spans="1:68" x14ac:dyDescent="0.25">
      <c r="A134" s="3">
        <v>40</v>
      </c>
      <c r="B134" s="3" t="s">
        <v>336</v>
      </c>
      <c r="C134" s="36" t="s">
        <v>139</v>
      </c>
      <c r="D134" s="3" t="s">
        <v>292</v>
      </c>
      <c r="E134" s="4">
        <f t="shared" si="502"/>
        <v>46000</v>
      </c>
      <c r="F134" s="6">
        <f t="shared" si="232"/>
        <v>46001</v>
      </c>
      <c r="G134" s="6">
        <f t="shared" ref="G134:G137" si="552">F134+F$6</f>
        <v>46003</v>
      </c>
      <c r="H134" s="6">
        <f t="shared" ref="H134:H137" si="553">G134+G$6</f>
        <v>46005</v>
      </c>
      <c r="I134" s="6">
        <f t="shared" ref="I134:J134" si="554">H134+H$6</f>
        <v>46007</v>
      </c>
      <c r="J134" s="6">
        <f t="shared" si="554"/>
        <v>46009</v>
      </c>
      <c r="K134" s="6">
        <f t="shared" ref="K134:K137" si="555">J134+J$6</f>
        <v>46011</v>
      </c>
      <c r="L134" s="6">
        <f t="shared" ref="L134:L137" si="556">K134+K$6</f>
        <v>46013</v>
      </c>
      <c r="M134" s="6">
        <f t="shared" ref="M134:M137" si="557">L134+L$6</f>
        <v>46015</v>
      </c>
      <c r="N134" s="6">
        <f t="shared" ref="N134:X134" si="558">M134+M$6</f>
        <v>46017</v>
      </c>
      <c r="O134" s="6">
        <f t="shared" si="558"/>
        <v>46019</v>
      </c>
      <c r="P134" s="6">
        <f t="shared" si="558"/>
        <v>46021</v>
      </c>
      <c r="Q134" s="6">
        <f t="shared" si="543"/>
        <v>46023</v>
      </c>
      <c r="R134" s="6">
        <f t="shared" si="543"/>
        <v>46025</v>
      </c>
      <c r="S134" s="6">
        <f t="shared" si="558"/>
        <v>46027</v>
      </c>
      <c r="T134" s="6">
        <f t="shared" si="558"/>
        <v>46029</v>
      </c>
      <c r="U134" s="6">
        <f t="shared" si="558"/>
        <v>46031</v>
      </c>
      <c r="V134" s="6">
        <f t="shared" si="558"/>
        <v>46033</v>
      </c>
      <c r="W134" s="6">
        <f t="shared" si="558"/>
        <v>46035</v>
      </c>
      <c r="X134" s="6">
        <f t="shared" si="558"/>
        <v>46037</v>
      </c>
      <c r="Y134" s="6">
        <f t="shared" si="521"/>
        <v>46039</v>
      </c>
      <c r="Z134" s="6">
        <f t="shared" si="522"/>
        <v>46041</v>
      </c>
      <c r="AA134" s="14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14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</row>
    <row r="135" spans="1:68" x14ac:dyDescent="0.25">
      <c r="A135" s="3">
        <v>41</v>
      </c>
      <c r="B135" s="3" t="s">
        <v>336</v>
      </c>
      <c r="C135" s="36" t="s">
        <v>140</v>
      </c>
      <c r="D135" s="3" t="s">
        <v>292</v>
      </c>
      <c r="E135" s="4">
        <f t="shared" si="502"/>
        <v>46200</v>
      </c>
      <c r="F135" s="6">
        <f t="shared" si="232"/>
        <v>46201</v>
      </c>
      <c r="G135" s="6">
        <f t="shared" si="552"/>
        <v>46203</v>
      </c>
      <c r="H135" s="6">
        <f t="shared" si="553"/>
        <v>46205</v>
      </c>
      <c r="I135" s="6">
        <f t="shared" ref="I135:J135" si="559">H135+H$6</f>
        <v>46207</v>
      </c>
      <c r="J135" s="6">
        <f t="shared" si="559"/>
        <v>46209</v>
      </c>
      <c r="K135" s="6">
        <f t="shared" si="555"/>
        <v>46211</v>
      </c>
      <c r="L135" s="6">
        <f t="shared" si="556"/>
        <v>46213</v>
      </c>
      <c r="M135" s="6">
        <f t="shared" si="557"/>
        <v>46215</v>
      </c>
      <c r="N135" s="6">
        <f t="shared" ref="N135:X135" si="560">M135+M$6</f>
        <v>46217</v>
      </c>
      <c r="O135" s="6">
        <f t="shared" si="560"/>
        <v>46219</v>
      </c>
      <c r="P135" s="6">
        <f t="shared" si="560"/>
        <v>46221</v>
      </c>
      <c r="Q135" s="6">
        <f t="shared" si="543"/>
        <v>46223</v>
      </c>
      <c r="R135" s="6">
        <f t="shared" si="543"/>
        <v>46225</v>
      </c>
      <c r="S135" s="6">
        <f t="shared" si="560"/>
        <v>46227</v>
      </c>
      <c r="T135" s="6">
        <f t="shared" si="560"/>
        <v>46229</v>
      </c>
      <c r="U135" s="6">
        <f t="shared" si="560"/>
        <v>46231</v>
      </c>
      <c r="V135" s="6">
        <f t="shared" si="560"/>
        <v>46233</v>
      </c>
      <c r="W135" s="6">
        <f t="shared" si="560"/>
        <v>46235</v>
      </c>
      <c r="X135" s="6">
        <f t="shared" si="560"/>
        <v>46237</v>
      </c>
      <c r="Y135" s="6">
        <f t="shared" si="521"/>
        <v>46239</v>
      </c>
      <c r="Z135" s="6">
        <f t="shared" si="522"/>
        <v>46241</v>
      </c>
      <c r="AA135" s="14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14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</row>
    <row r="136" spans="1:68" x14ac:dyDescent="0.25">
      <c r="A136" s="3">
        <v>42</v>
      </c>
      <c r="B136" s="3" t="s">
        <v>336</v>
      </c>
      <c r="C136" s="36" t="s">
        <v>141</v>
      </c>
      <c r="D136" s="3" t="s">
        <v>292</v>
      </c>
      <c r="E136" s="4">
        <f t="shared" si="502"/>
        <v>46400</v>
      </c>
      <c r="F136" s="6">
        <f t="shared" si="232"/>
        <v>46401</v>
      </c>
      <c r="G136" s="6">
        <f t="shared" si="552"/>
        <v>46403</v>
      </c>
      <c r="H136" s="6">
        <f t="shared" si="553"/>
        <v>46405</v>
      </c>
      <c r="I136" s="6">
        <f t="shared" ref="I136:J136" si="561">H136+H$6</f>
        <v>46407</v>
      </c>
      <c r="J136" s="6">
        <f t="shared" si="561"/>
        <v>46409</v>
      </c>
      <c r="K136" s="6">
        <f t="shared" si="555"/>
        <v>46411</v>
      </c>
      <c r="L136" s="6">
        <f t="shared" si="556"/>
        <v>46413</v>
      </c>
      <c r="M136" s="6">
        <f t="shared" si="557"/>
        <v>46415</v>
      </c>
      <c r="N136" s="6">
        <f t="shared" ref="N136:X136" si="562">M136+M$6</f>
        <v>46417</v>
      </c>
      <c r="O136" s="6">
        <f t="shared" si="562"/>
        <v>46419</v>
      </c>
      <c r="P136" s="6">
        <f t="shared" si="562"/>
        <v>46421</v>
      </c>
      <c r="Q136" s="6">
        <f t="shared" si="543"/>
        <v>46423</v>
      </c>
      <c r="R136" s="6">
        <f t="shared" si="543"/>
        <v>46425</v>
      </c>
      <c r="S136" s="6">
        <f t="shared" si="562"/>
        <v>46427</v>
      </c>
      <c r="T136" s="6">
        <f t="shared" si="562"/>
        <v>46429</v>
      </c>
      <c r="U136" s="6">
        <f t="shared" si="562"/>
        <v>46431</v>
      </c>
      <c r="V136" s="6">
        <f t="shared" si="562"/>
        <v>46433</v>
      </c>
      <c r="W136" s="6">
        <f t="shared" si="562"/>
        <v>46435</v>
      </c>
      <c r="X136" s="6">
        <f t="shared" si="562"/>
        <v>46437</v>
      </c>
      <c r="Y136" s="6">
        <f t="shared" si="521"/>
        <v>46439</v>
      </c>
      <c r="Z136" s="6">
        <f t="shared" si="522"/>
        <v>46441</v>
      </c>
      <c r="AA136" s="14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14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</row>
    <row r="137" spans="1:68" x14ac:dyDescent="0.25">
      <c r="A137" s="3">
        <v>43</v>
      </c>
      <c r="B137" s="3" t="s">
        <v>336</v>
      </c>
      <c r="C137" s="36" t="s">
        <v>142</v>
      </c>
      <c r="D137" s="3" t="s">
        <v>292</v>
      </c>
      <c r="E137" s="4">
        <f t="shared" si="502"/>
        <v>46600</v>
      </c>
      <c r="F137" s="6">
        <f t="shared" si="232"/>
        <v>46601</v>
      </c>
      <c r="G137" s="6">
        <f t="shared" si="552"/>
        <v>46603</v>
      </c>
      <c r="H137" s="6">
        <f t="shared" si="553"/>
        <v>46605</v>
      </c>
      <c r="I137" s="6">
        <f t="shared" ref="I137:J137" si="563">H137+H$6</f>
        <v>46607</v>
      </c>
      <c r="J137" s="6">
        <f t="shared" si="563"/>
        <v>46609</v>
      </c>
      <c r="K137" s="6">
        <f t="shared" si="555"/>
        <v>46611</v>
      </c>
      <c r="L137" s="6">
        <f t="shared" si="556"/>
        <v>46613</v>
      </c>
      <c r="M137" s="6">
        <f t="shared" si="557"/>
        <v>46615</v>
      </c>
      <c r="N137" s="6">
        <f t="shared" ref="N137:Y152" si="564">M137+M$6</f>
        <v>46617</v>
      </c>
      <c r="O137" s="6">
        <f t="shared" si="564"/>
        <v>46619</v>
      </c>
      <c r="P137" s="6">
        <f t="shared" si="564"/>
        <v>46621</v>
      </c>
      <c r="Q137" s="6">
        <f t="shared" si="543"/>
        <v>46623</v>
      </c>
      <c r="R137" s="6">
        <f t="shared" si="543"/>
        <v>46625</v>
      </c>
      <c r="S137" s="6">
        <f t="shared" si="564"/>
        <v>46627</v>
      </c>
      <c r="T137" s="6">
        <f t="shared" si="564"/>
        <v>46629</v>
      </c>
      <c r="U137" s="6">
        <f t="shared" si="564"/>
        <v>46631</v>
      </c>
      <c r="V137" s="6">
        <f t="shared" si="564"/>
        <v>46633</v>
      </c>
      <c r="W137" s="6">
        <f t="shared" si="564"/>
        <v>46635</v>
      </c>
      <c r="X137" s="6">
        <f t="shared" si="564"/>
        <v>46637</v>
      </c>
      <c r="Y137" s="6">
        <f t="shared" si="564"/>
        <v>46639</v>
      </c>
      <c r="Z137" s="6">
        <f t="shared" si="522"/>
        <v>46641</v>
      </c>
      <c r="AA137" s="14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14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</row>
    <row r="138" spans="1:68" x14ac:dyDescent="0.25">
      <c r="A138" s="3">
        <v>44</v>
      </c>
      <c r="B138" s="3" t="s">
        <v>336</v>
      </c>
      <c r="C138" s="36" t="s">
        <v>143</v>
      </c>
      <c r="D138" s="3" t="s">
        <v>330</v>
      </c>
      <c r="E138" s="4">
        <f t="shared" si="502"/>
        <v>46800</v>
      </c>
      <c r="F138" s="6">
        <f t="shared" si="232"/>
        <v>46801</v>
      </c>
      <c r="G138" s="6">
        <f t="shared" ref="G138:G149" si="565">F138+F$6</f>
        <v>46803</v>
      </c>
      <c r="H138" s="6">
        <f t="shared" ref="H138:H149" si="566">G138+G$6</f>
        <v>46805</v>
      </c>
      <c r="I138" s="6">
        <f t="shared" ref="I138:J138" si="567">H138+H$6</f>
        <v>46807</v>
      </c>
      <c r="J138" s="6">
        <f t="shared" si="567"/>
        <v>46809</v>
      </c>
      <c r="K138" s="6">
        <f t="shared" ref="K138:K149" si="568">J138+J$6</f>
        <v>46811</v>
      </c>
      <c r="L138" s="6">
        <f t="shared" ref="L138:L149" si="569">K138+K$6</f>
        <v>46813</v>
      </c>
      <c r="M138" s="6">
        <f t="shared" ref="M138:M149" si="570">L138+L$6</f>
        <v>46815</v>
      </c>
      <c r="N138" s="6">
        <f t="shared" ref="N138:X138" si="571">M138+M$6</f>
        <v>46817</v>
      </c>
      <c r="O138" s="6">
        <f t="shared" si="571"/>
        <v>46819</v>
      </c>
      <c r="P138" s="6">
        <f t="shared" si="571"/>
        <v>46821</v>
      </c>
      <c r="Q138" s="6">
        <f t="shared" si="543"/>
        <v>46823</v>
      </c>
      <c r="R138" s="6">
        <f t="shared" si="543"/>
        <v>46825</v>
      </c>
      <c r="S138" s="6">
        <f t="shared" si="571"/>
        <v>46827</v>
      </c>
      <c r="T138" s="6">
        <f t="shared" si="571"/>
        <v>46829</v>
      </c>
      <c r="U138" s="6">
        <f t="shared" si="571"/>
        <v>46831</v>
      </c>
      <c r="V138" s="6">
        <f t="shared" si="571"/>
        <v>46833</v>
      </c>
      <c r="W138" s="6">
        <f t="shared" si="571"/>
        <v>46835</v>
      </c>
      <c r="X138" s="6">
        <f t="shared" si="571"/>
        <v>46837</v>
      </c>
      <c r="Y138" s="6">
        <f t="shared" si="564"/>
        <v>46839</v>
      </c>
      <c r="Z138" s="6">
        <f t="shared" si="522"/>
        <v>46841</v>
      </c>
      <c r="AA138" s="14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14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</row>
    <row r="139" spans="1:68" x14ac:dyDescent="0.25">
      <c r="A139" s="3">
        <v>45</v>
      </c>
      <c r="B139" s="3" t="s">
        <v>336</v>
      </c>
      <c r="C139" s="36" t="s">
        <v>144</v>
      </c>
      <c r="D139" s="3" t="s">
        <v>330</v>
      </c>
      <c r="E139" s="4">
        <f t="shared" si="502"/>
        <v>47000</v>
      </c>
      <c r="F139" s="6">
        <f t="shared" si="232"/>
        <v>47001</v>
      </c>
      <c r="G139" s="6">
        <f t="shared" si="565"/>
        <v>47003</v>
      </c>
      <c r="H139" s="6">
        <f t="shared" si="566"/>
        <v>47005</v>
      </c>
      <c r="I139" s="6">
        <f t="shared" ref="I139:J139" si="572">H139+H$6</f>
        <v>47007</v>
      </c>
      <c r="J139" s="6">
        <f t="shared" si="572"/>
        <v>47009</v>
      </c>
      <c r="K139" s="6">
        <f t="shared" si="568"/>
        <v>47011</v>
      </c>
      <c r="L139" s="6">
        <f t="shared" si="569"/>
        <v>47013</v>
      </c>
      <c r="M139" s="6">
        <f t="shared" si="570"/>
        <v>47015</v>
      </c>
      <c r="N139" s="6">
        <f t="shared" ref="N139:X139" si="573">M139+M$6</f>
        <v>47017</v>
      </c>
      <c r="O139" s="6">
        <f t="shared" si="573"/>
        <v>47019</v>
      </c>
      <c r="P139" s="6">
        <f t="shared" si="573"/>
        <v>47021</v>
      </c>
      <c r="Q139" s="6">
        <f t="shared" si="543"/>
        <v>47023</v>
      </c>
      <c r="R139" s="6">
        <f t="shared" si="543"/>
        <v>47025</v>
      </c>
      <c r="S139" s="6">
        <f t="shared" si="573"/>
        <v>47027</v>
      </c>
      <c r="T139" s="6">
        <f t="shared" si="573"/>
        <v>47029</v>
      </c>
      <c r="U139" s="6">
        <f t="shared" si="573"/>
        <v>47031</v>
      </c>
      <c r="V139" s="6">
        <f t="shared" si="573"/>
        <v>47033</v>
      </c>
      <c r="W139" s="6">
        <f t="shared" si="573"/>
        <v>47035</v>
      </c>
      <c r="X139" s="6">
        <f t="shared" si="573"/>
        <v>47037</v>
      </c>
      <c r="Y139" s="6">
        <f t="shared" si="564"/>
        <v>47039</v>
      </c>
      <c r="Z139" s="6">
        <f t="shared" si="522"/>
        <v>47041</v>
      </c>
      <c r="AA139" s="14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14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</row>
    <row r="140" spans="1:68" x14ac:dyDescent="0.25">
      <c r="A140" s="3">
        <v>46</v>
      </c>
      <c r="B140" s="3" t="s">
        <v>336</v>
      </c>
      <c r="C140" s="36" t="s">
        <v>145</v>
      </c>
      <c r="D140" s="3" t="s">
        <v>330</v>
      </c>
      <c r="E140" s="4">
        <f t="shared" si="502"/>
        <v>47200</v>
      </c>
      <c r="F140" s="6">
        <f t="shared" si="232"/>
        <v>47201</v>
      </c>
      <c r="G140" s="6">
        <f t="shared" si="565"/>
        <v>47203</v>
      </c>
      <c r="H140" s="6">
        <f t="shared" si="566"/>
        <v>47205</v>
      </c>
      <c r="I140" s="6">
        <f t="shared" ref="I140:J140" si="574">H140+H$6</f>
        <v>47207</v>
      </c>
      <c r="J140" s="6">
        <f t="shared" si="574"/>
        <v>47209</v>
      </c>
      <c r="K140" s="6">
        <f t="shared" si="568"/>
        <v>47211</v>
      </c>
      <c r="L140" s="6">
        <f t="shared" si="569"/>
        <v>47213</v>
      </c>
      <c r="M140" s="6">
        <f t="shared" si="570"/>
        <v>47215</v>
      </c>
      <c r="N140" s="6">
        <f t="shared" ref="N140:X140" si="575">M140+M$6</f>
        <v>47217</v>
      </c>
      <c r="O140" s="6">
        <f t="shared" si="575"/>
        <v>47219</v>
      </c>
      <c r="P140" s="6">
        <f t="shared" si="575"/>
        <v>47221</v>
      </c>
      <c r="Q140" s="6">
        <f t="shared" si="543"/>
        <v>47223</v>
      </c>
      <c r="R140" s="6">
        <f t="shared" si="543"/>
        <v>47225</v>
      </c>
      <c r="S140" s="6">
        <f t="shared" si="575"/>
        <v>47227</v>
      </c>
      <c r="T140" s="6">
        <f t="shared" si="575"/>
        <v>47229</v>
      </c>
      <c r="U140" s="6">
        <f t="shared" si="575"/>
        <v>47231</v>
      </c>
      <c r="V140" s="6">
        <f t="shared" si="575"/>
        <v>47233</v>
      </c>
      <c r="W140" s="6">
        <f t="shared" si="575"/>
        <v>47235</v>
      </c>
      <c r="X140" s="6">
        <f t="shared" si="575"/>
        <v>47237</v>
      </c>
      <c r="Y140" s="6">
        <f t="shared" si="564"/>
        <v>47239</v>
      </c>
      <c r="Z140" s="6">
        <f t="shared" si="522"/>
        <v>47241</v>
      </c>
      <c r="AA140" s="14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14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</row>
    <row r="141" spans="1:68" x14ac:dyDescent="0.25">
      <c r="A141" s="3">
        <v>47</v>
      </c>
      <c r="B141" s="3" t="s">
        <v>336</v>
      </c>
      <c r="C141" s="36" t="s">
        <v>146</v>
      </c>
      <c r="D141" s="3" t="s">
        <v>330</v>
      </c>
      <c r="E141" s="4">
        <f t="shared" si="502"/>
        <v>47400</v>
      </c>
      <c r="F141" s="6">
        <f t="shared" si="232"/>
        <v>47401</v>
      </c>
      <c r="G141" s="6">
        <f t="shared" si="565"/>
        <v>47403</v>
      </c>
      <c r="H141" s="6">
        <f t="shared" si="566"/>
        <v>47405</v>
      </c>
      <c r="I141" s="6">
        <f t="shared" ref="I141:J141" si="576">H141+H$6</f>
        <v>47407</v>
      </c>
      <c r="J141" s="6">
        <f t="shared" si="576"/>
        <v>47409</v>
      </c>
      <c r="K141" s="6">
        <f t="shared" si="568"/>
        <v>47411</v>
      </c>
      <c r="L141" s="6">
        <f t="shared" si="569"/>
        <v>47413</v>
      </c>
      <c r="M141" s="6">
        <f t="shared" si="570"/>
        <v>47415</v>
      </c>
      <c r="N141" s="6">
        <f t="shared" ref="N141:X141" si="577">M141+M$6</f>
        <v>47417</v>
      </c>
      <c r="O141" s="6">
        <f t="shared" si="577"/>
        <v>47419</v>
      </c>
      <c r="P141" s="6">
        <f t="shared" si="577"/>
        <v>47421</v>
      </c>
      <c r="Q141" s="6">
        <f t="shared" si="543"/>
        <v>47423</v>
      </c>
      <c r="R141" s="6">
        <f t="shared" si="543"/>
        <v>47425</v>
      </c>
      <c r="S141" s="6">
        <f t="shared" si="577"/>
        <v>47427</v>
      </c>
      <c r="T141" s="6">
        <f t="shared" si="577"/>
        <v>47429</v>
      </c>
      <c r="U141" s="6">
        <f t="shared" si="577"/>
        <v>47431</v>
      </c>
      <c r="V141" s="6">
        <f t="shared" si="577"/>
        <v>47433</v>
      </c>
      <c r="W141" s="6">
        <f t="shared" si="577"/>
        <v>47435</v>
      </c>
      <c r="X141" s="6">
        <f t="shared" si="577"/>
        <v>47437</v>
      </c>
      <c r="Y141" s="6">
        <f t="shared" si="564"/>
        <v>47439</v>
      </c>
      <c r="Z141" s="6">
        <f t="shared" si="522"/>
        <v>47441</v>
      </c>
      <c r="AA141" s="14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14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</row>
    <row r="142" spans="1:68" x14ac:dyDescent="0.25">
      <c r="A142" s="3">
        <v>48</v>
      </c>
      <c r="B142" s="3" t="s">
        <v>336</v>
      </c>
      <c r="C142" s="36" t="s">
        <v>147</v>
      </c>
      <c r="D142" s="3" t="s">
        <v>330</v>
      </c>
      <c r="E142" s="4">
        <f t="shared" si="502"/>
        <v>47600</v>
      </c>
      <c r="F142" s="6">
        <f t="shared" si="232"/>
        <v>47601</v>
      </c>
      <c r="G142" s="6">
        <f t="shared" si="565"/>
        <v>47603</v>
      </c>
      <c r="H142" s="6">
        <f t="shared" si="566"/>
        <v>47605</v>
      </c>
      <c r="I142" s="6">
        <f t="shared" ref="I142:J142" si="578">H142+H$6</f>
        <v>47607</v>
      </c>
      <c r="J142" s="6">
        <f t="shared" si="578"/>
        <v>47609</v>
      </c>
      <c r="K142" s="6">
        <f t="shared" si="568"/>
        <v>47611</v>
      </c>
      <c r="L142" s="6">
        <f t="shared" si="569"/>
        <v>47613</v>
      </c>
      <c r="M142" s="6">
        <f t="shared" si="570"/>
        <v>47615</v>
      </c>
      <c r="N142" s="6">
        <f t="shared" ref="N142:X142" si="579">M142+M$6</f>
        <v>47617</v>
      </c>
      <c r="O142" s="6">
        <f t="shared" si="579"/>
        <v>47619</v>
      </c>
      <c r="P142" s="6">
        <f t="shared" si="579"/>
        <v>47621</v>
      </c>
      <c r="Q142" s="6">
        <f t="shared" si="543"/>
        <v>47623</v>
      </c>
      <c r="R142" s="6">
        <f t="shared" si="543"/>
        <v>47625</v>
      </c>
      <c r="S142" s="6">
        <f t="shared" si="579"/>
        <v>47627</v>
      </c>
      <c r="T142" s="6">
        <f t="shared" si="579"/>
        <v>47629</v>
      </c>
      <c r="U142" s="6">
        <f t="shared" si="579"/>
        <v>47631</v>
      </c>
      <c r="V142" s="6">
        <f t="shared" si="579"/>
        <v>47633</v>
      </c>
      <c r="W142" s="6">
        <f t="shared" si="579"/>
        <v>47635</v>
      </c>
      <c r="X142" s="6">
        <f t="shared" si="579"/>
        <v>47637</v>
      </c>
      <c r="Y142" s="6">
        <f t="shared" si="564"/>
        <v>47639</v>
      </c>
      <c r="Z142" s="6">
        <f t="shared" si="522"/>
        <v>47641</v>
      </c>
      <c r="AA142" s="14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14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</row>
    <row r="143" spans="1:68" x14ac:dyDescent="0.25">
      <c r="A143" s="3">
        <v>49</v>
      </c>
      <c r="B143" s="3" t="s">
        <v>336</v>
      </c>
      <c r="C143" s="36" t="s">
        <v>148</v>
      </c>
      <c r="D143" s="3" t="s">
        <v>330</v>
      </c>
      <c r="E143" s="4">
        <f t="shared" si="502"/>
        <v>47800</v>
      </c>
      <c r="F143" s="6">
        <f t="shared" si="232"/>
        <v>47801</v>
      </c>
      <c r="G143" s="6">
        <f t="shared" si="565"/>
        <v>47803</v>
      </c>
      <c r="H143" s="6">
        <f t="shared" si="566"/>
        <v>47805</v>
      </c>
      <c r="I143" s="6">
        <f t="shared" ref="I143:J143" si="580">H143+H$6</f>
        <v>47807</v>
      </c>
      <c r="J143" s="6">
        <f t="shared" si="580"/>
        <v>47809</v>
      </c>
      <c r="K143" s="6">
        <f t="shared" si="568"/>
        <v>47811</v>
      </c>
      <c r="L143" s="6">
        <f t="shared" si="569"/>
        <v>47813</v>
      </c>
      <c r="M143" s="6">
        <f t="shared" si="570"/>
        <v>47815</v>
      </c>
      <c r="N143" s="6">
        <f t="shared" ref="N143:X143" si="581">M143+M$6</f>
        <v>47817</v>
      </c>
      <c r="O143" s="6">
        <f t="shared" si="581"/>
        <v>47819</v>
      </c>
      <c r="P143" s="6">
        <f t="shared" si="581"/>
        <v>47821</v>
      </c>
      <c r="Q143" s="6">
        <f t="shared" si="543"/>
        <v>47823</v>
      </c>
      <c r="R143" s="6">
        <f t="shared" si="543"/>
        <v>47825</v>
      </c>
      <c r="S143" s="6">
        <f t="shared" si="581"/>
        <v>47827</v>
      </c>
      <c r="T143" s="6">
        <f t="shared" si="581"/>
        <v>47829</v>
      </c>
      <c r="U143" s="6">
        <f t="shared" si="581"/>
        <v>47831</v>
      </c>
      <c r="V143" s="6">
        <f t="shared" si="581"/>
        <v>47833</v>
      </c>
      <c r="W143" s="6">
        <f t="shared" si="581"/>
        <v>47835</v>
      </c>
      <c r="X143" s="6">
        <f t="shared" si="581"/>
        <v>47837</v>
      </c>
      <c r="Y143" s="6">
        <f t="shared" si="564"/>
        <v>47839</v>
      </c>
      <c r="Z143" s="6">
        <f t="shared" si="522"/>
        <v>47841</v>
      </c>
      <c r="AA143" s="14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14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</row>
    <row r="144" spans="1:68" x14ac:dyDescent="0.25">
      <c r="A144" s="3">
        <v>50</v>
      </c>
      <c r="B144" s="3" t="s">
        <v>336</v>
      </c>
      <c r="C144" s="36" t="s">
        <v>149</v>
      </c>
      <c r="D144" s="3" t="s">
        <v>330</v>
      </c>
      <c r="E144" s="4">
        <f t="shared" si="502"/>
        <v>48000</v>
      </c>
      <c r="F144" s="6">
        <f t="shared" si="232"/>
        <v>48001</v>
      </c>
      <c r="G144" s="6">
        <f t="shared" si="565"/>
        <v>48003</v>
      </c>
      <c r="H144" s="6">
        <f t="shared" si="566"/>
        <v>48005</v>
      </c>
      <c r="I144" s="6">
        <f t="shared" ref="I144:J144" si="582">H144+H$6</f>
        <v>48007</v>
      </c>
      <c r="J144" s="6">
        <f t="shared" si="582"/>
        <v>48009</v>
      </c>
      <c r="K144" s="6">
        <f t="shared" si="568"/>
        <v>48011</v>
      </c>
      <c r="L144" s="6">
        <f t="shared" si="569"/>
        <v>48013</v>
      </c>
      <c r="M144" s="6">
        <f t="shared" si="570"/>
        <v>48015</v>
      </c>
      <c r="N144" s="6">
        <f t="shared" ref="N144:X144" si="583">M144+M$6</f>
        <v>48017</v>
      </c>
      <c r="O144" s="6">
        <f t="shared" si="583"/>
        <v>48019</v>
      </c>
      <c r="P144" s="6">
        <f t="shared" si="583"/>
        <v>48021</v>
      </c>
      <c r="Q144" s="6">
        <f t="shared" si="543"/>
        <v>48023</v>
      </c>
      <c r="R144" s="6">
        <f t="shared" si="543"/>
        <v>48025</v>
      </c>
      <c r="S144" s="6">
        <f t="shared" si="583"/>
        <v>48027</v>
      </c>
      <c r="T144" s="6">
        <f t="shared" si="583"/>
        <v>48029</v>
      </c>
      <c r="U144" s="6">
        <f t="shared" si="583"/>
        <v>48031</v>
      </c>
      <c r="V144" s="6">
        <f t="shared" si="583"/>
        <v>48033</v>
      </c>
      <c r="W144" s="6">
        <f t="shared" si="583"/>
        <v>48035</v>
      </c>
      <c r="X144" s="6">
        <f t="shared" si="583"/>
        <v>48037</v>
      </c>
      <c r="Y144" s="6">
        <f t="shared" si="564"/>
        <v>48039</v>
      </c>
      <c r="Z144" s="6">
        <f t="shared" si="522"/>
        <v>48041</v>
      </c>
      <c r="AA144" s="14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14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</row>
    <row r="145" spans="1:68" x14ac:dyDescent="0.25">
      <c r="A145" s="3">
        <v>51</v>
      </c>
      <c r="B145" s="3" t="s">
        <v>336</v>
      </c>
      <c r="C145" s="36" t="s">
        <v>150</v>
      </c>
      <c r="D145" s="3" t="s">
        <v>330</v>
      </c>
      <c r="E145" s="4">
        <f t="shared" si="502"/>
        <v>48200</v>
      </c>
      <c r="F145" s="6">
        <f t="shared" si="232"/>
        <v>48201</v>
      </c>
      <c r="G145" s="6">
        <f t="shared" si="565"/>
        <v>48203</v>
      </c>
      <c r="H145" s="6">
        <f t="shared" si="566"/>
        <v>48205</v>
      </c>
      <c r="I145" s="6">
        <f t="shared" ref="I145:J145" si="584">H145+H$6</f>
        <v>48207</v>
      </c>
      <c r="J145" s="6">
        <f t="shared" si="584"/>
        <v>48209</v>
      </c>
      <c r="K145" s="6">
        <f t="shared" si="568"/>
        <v>48211</v>
      </c>
      <c r="L145" s="6">
        <f t="shared" si="569"/>
        <v>48213</v>
      </c>
      <c r="M145" s="6">
        <f t="shared" si="570"/>
        <v>48215</v>
      </c>
      <c r="N145" s="6">
        <f t="shared" ref="N145:X160" si="585">M145+M$6</f>
        <v>48217</v>
      </c>
      <c r="O145" s="6">
        <f t="shared" si="585"/>
        <v>48219</v>
      </c>
      <c r="P145" s="6">
        <f t="shared" si="585"/>
        <v>48221</v>
      </c>
      <c r="Q145" s="6">
        <f t="shared" si="585"/>
        <v>48223</v>
      </c>
      <c r="R145" s="6">
        <f t="shared" si="585"/>
        <v>48225</v>
      </c>
      <c r="S145" s="6">
        <f t="shared" si="585"/>
        <v>48227</v>
      </c>
      <c r="T145" s="6">
        <f t="shared" si="585"/>
        <v>48229</v>
      </c>
      <c r="U145" s="6">
        <f t="shared" si="585"/>
        <v>48231</v>
      </c>
      <c r="V145" s="6">
        <f t="shared" si="585"/>
        <v>48233</v>
      </c>
      <c r="W145" s="6">
        <f t="shared" si="585"/>
        <v>48235</v>
      </c>
      <c r="X145" s="6">
        <f t="shared" si="585"/>
        <v>48237</v>
      </c>
      <c r="Y145" s="6">
        <f t="shared" si="564"/>
        <v>48239</v>
      </c>
      <c r="Z145" s="6">
        <f t="shared" si="522"/>
        <v>48241</v>
      </c>
      <c r="AA145" s="14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14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</row>
    <row r="146" spans="1:68" x14ac:dyDescent="0.25">
      <c r="A146" s="3">
        <v>52</v>
      </c>
      <c r="B146" s="3" t="s">
        <v>336</v>
      </c>
      <c r="C146" s="36" t="s">
        <v>151</v>
      </c>
      <c r="D146" s="3" t="s">
        <v>330</v>
      </c>
      <c r="E146" s="4">
        <f t="shared" si="502"/>
        <v>48400</v>
      </c>
      <c r="F146" s="6">
        <f t="shared" si="232"/>
        <v>48401</v>
      </c>
      <c r="G146" s="6">
        <f t="shared" si="565"/>
        <v>48403</v>
      </c>
      <c r="H146" s="6">
        <f t="shared" si="566"/>
        <v>48405</v>
      </c>
      <c r="I146" s="6">
        <f t="shared" ref="I146:J146" si="586">H146+H$6</f>
        <v>48407</v>
      </c>
      <c r="J146" s="6">
        <f t="shared" si="586"/>
        <v>48409</v>
      </c>
      <c r="K146" s="6">
        <f t="shared" si="568"/>
        <v>48411</v>
      </c>
      <c r="L146" s="6">
        <f t="shared" si="569"/>
        <v>48413</v>
      </c>
      <c r="M146" s="6">
        <f t="shared" si="570"/>
        <v>48415</v>
      </c>
      <c r="N146" s="6">
        <f t="shared" ref="N146:X146" si="587">M146+M$6</f>
        <v>48417</v>
      </c>
      <c r="O146" s="6">
        <f t="shared" si="587"/>
        <v>48419</v>
      </c>
      <c r="P146" s="6">
        <f t="shared" si="587"/>
        <v>48421</v>
      </c>
      <c r="Q146" s="6">
        <f t="shared" si="585"/>
        <v>48423</v>
      </c>
      <c r="R146" s="6">
        <f t="shared" si="585"/>
        <v>48425</v>
      </c>
      <c r="S146" s="6">
        <f t="shared" si="587"/>
        <v>48427</v>
      </c>
      <c r="T146" s="6">
        <f t="shared" si="587"/>
        <v>48429</v>
      </c>
      <c r="U146" s="6">
        <f t="shared" si="587"/>
        <v>48431</v>
      </c>
      <c r="V146" s="6">
        <f t="shared" si="587"/>
        <v>48433</v>
      </c>
      <c r="W146" s="6">
        <f t="shared" si="587"/>
        <v>48435</v>
      </c>
      <c r="X146" s="6">
        <f t="shared" si="587"/>
        <v>48437</v>
      </c>
      <c r="Y146" s="6">
        <f t="shared" si="564"/>
        <v>48439</v>
      </c>
      <c r="Z146" s="6">
        <f t="shared" si="522"/>
        <v>48441</v>
      </c>
      <c r="AA146" s="14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14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</row>
    <row r="147" spans="1:68" x14ac:dyDescent="0.25">
      <c r="A147" s="3">
        <v>53</v>
      </c>
      <c r="B147" s="3" t="s">
        <v>336</v>
      </c>
      <c r="C147" s="36" t="s">
        <v>152</v>
      </c>
      <c r="D147" s="3" t="s">
        <v>330</v>
      </c>
      <c r="E147" s="4">
        <f t="shared" si="502"/>
        <v>48600</v>
      </c>
      <c r="F147" s="6">
        <f t="shared" si="232"/>
        <v>48601</v>
      </c>
      <c r="G147" s="6">
        <f t="shared" si="565"/>
        <v>48603</v>
      </c>
      <c r="H147" s="6">
        <f t="shared" si="566"/>
        <v>48605</v>
      </c>
      <c r="I147" s="6">
        <f t="shared" ref="I147:J147" si="588">H147+H$6</f>
        <v>48607</v>
      </c>
      <c r="J147" s="6">
        <f t="shared" si="588"/>
        <v>48609</v>
      </c>
      <c r="K147" s="6">
        <f t="shared" si="568"/>
        <v>48611</v>
      </c>
      <c r="L147" s="6">
        <f t="shared" si="569"/>
        <v>48613</v>
      </c>
      <c r="M147" s="6">
        <f t="shared" si="570"/>
        <v>48615</v>
      </c>
      <c r="N147" s="6">
        <f t="shared" ref="N147:X147" si="589">M147+M$6</f>
        <v>48617</v>
      </c>
      <c r="O147" s="6">
        <f t="shared" si="589"/>
        <v>48619</v>
      </c>
      <c r="P147" s="6">
        <f t="shared" si="589"/>
        <v>48621</v>
      </c>
      <c r="Q147" s="6">
        <f t="shared" si="585"/>
        <v>48623</v>
      </c>
      <c r="R147" s="6">
        <f t="shared" si="585"/>
        <v>48625</v>
      </c>
      <c r="S147" s="6">
        <f t="shared" si="589"/>
        <v>48627</v>
      </c>
      <c r="T147" s="6">
        <f t="shared" si="589"/>
        <v>48629</v>
      </c>
      <c r="U147" s="6">
        <f t="shared" si="589"/>
        <v>48631</v>
      </c>
      <c r="V147" s="6">
        <f t="shared" si="589"/>
        <v>48633</v>
      </c>
      <c r="W147" s="6">
        <f t="shared" si="589"/>
        <v>48635</v>
      </c>
      <c r="X147" s="6">
        <f t="shared" si="589"/>
        <v>48637</v>
      </c>
      <c r="Y147" s="6">
        <f t="shared" si="564"/>
        <v>48639</v>
      </c>
      <c r="Z147" s="6">
        <f t="shared" si="522"/>
        <v>48641</v>
      </c>
      <c r="AA147" s="14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14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</row>
    <row r="148" spans="1:68" x14ac:dyDescent="0.25">
      <c r="A148" s="3">
        <v>54</v>
      </c>
      <c r="B148" s="3" t="s">
        <v>336</v>
      </c>
      <c r="C148" s="36" t="s">
        <v>153</v>
      </c>
      <c r="D148" s="3" t="s">
        <v>330</v>
      </c>
      <c r="E148" s="4">
        <f t="shared" si="502"/>
        <v>48800</v>
      </c>
      <c r="F148" s="6">
        <f t="shared" si="232"/>
        <v>48801</v>
      </c>
      <c r="G148" s="6">
        <f t="shared" si="565"/>
        <v>48803</v>
      </c>
      <c r="H148" s="6">
        <f t="shared" si="566"/>
        <v>48805</v>
      </c>
      <c r="I148" s="6">
        <f t="shared" ref="I148:J148" si="590">H148+H$6</f>
        <v>48807</v>
      </c>
      <c r="J148" s="6">
        <f t="shared" si="590"/>
        <v>48809</v>
      </c>
      <c r="K148" s="6">
        <f t="shared" si="568"/>
        <v>48811</v>
      </c>
      <c r="L148" s="6">
        <f t="shared" si="569"/>
        <v>48813</v>
      </c>
      <c r="M148" s="6">
        <f t="shared" si="570"/>
        <v>48815</v>
      </c>
      <c r="N148" s="6">
        <f t="shared" ref="N148:X148" si="591">M148+M$6</f>
        <v>48817</v>
      </c>
      <c r="O148" s="6">
        <f t="shared" si="591"/>
        <v>48819</v>
      </c>
      <c r="P148" s="6">
        <f t="shared" si="591"/>
        <v>48821</v>
      </c>
      <c r="Q148" s="6">
        <f t="shared" si="585"/>
        <v>48823</v>
      </c>
      <c r="R148" s="6">
        <f t="shared" si="585"/>
        <v>48825</v>
      </c>
      <c r="S148" s="6">
        <f t="shared" si="591"/>
        <v>48827</v>
      </c>
      <c r="T148" s="6">
        <f t="shared" si="591"/>
        <v>48829</v>
      </c>
      <c r="U148" s="6">
        <f t="shared" si="591"/>
        <v>48831</v>
      </c>
      <c r="V148" s="6">
        <f t="shared" si="591"/>
        <v>48833</v>
      </c>
      <c r="W148" s="6">
        <f t="shared" si="591"/>
        <v>48835</v>
      </c>
      <c r="X148" s="6">
        <f t="shared" si="591"/>
        <v>48837</v>
      </c>
      <c r="Y148" s="6">
        <f t="shared" si="564"/>
        <v>48839</v>
      </c>
      <c r="Z148" s="6">
        <f t="shared" si="522"/>
        <v>48841</v>
      </c>
      <c r="AA148" s="14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14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</row>
    <row r="149" spans="1:68" x14ac:dyDescent="0.25">
      <c r="A149" s="3">
        <v>55</v>
      </c>
      <c r="B149" s="3" t="s">
        <v>336</v>
      </c>
      <c r="C149" s="36" t="s">
        <v>154</v>
      </c>
      <c r="D149" s="3" t="s">
        <v>330</v>
      </c>
      <c r="E149" s="4">
        <f t="shared" si="502"/>
        <v>49000</v>
      </c>
      <c r="F149" s="6">
        <f t="shared" si="232"/>
        <v>49001</v>
      </c>
      <c r="G149" s="6">
        <f t="shared" si="565"/>
        <v>49003</v>
      </c>
      <c r="H149" s="6">
        <f t="shared" si="566"/>
        <v>49005</v>
      </c>
      <c r="I149" s="6">
        <f t="shared" ref="I149:J149" si="592">H149+H$6</f>
        <v>49007</v>
      </c>
      <c r="J149" s="6">
        <f t="shared" si="592"/>
        <v>49009</v>
      </c>
      <c r="K149" s="6">
        <f t="shared" si="568"/>
        <v>49011</v>
      </c>
      <c r="L149" s="6">
        <f t="shared" si="569"/>
        <v>49013</v>
      </c>
      <c r="M149" s="6">
        <f t="shared" si="570"/>
        <v>49015</v>
      </c>
      <c r="N149" s="6">
        <f t="shared" ref="N149:X149" si="593">M149+M$6</f>
        <v>49017</v>
      </c>
      <c r="O149" s="6">
        <f t="shared" si="593"/>
        <v>49019</v>
      </c>
      <c r="P149" s="6">
        <f t="shared" si="593"/>
        <v>49021</v>
      </c>
      <c r="Q149" s="6">
        <f t="shared" si="585"/>
        <v>49023</v>
      </c>
      <c r="R149" s="6">
        <f t="shared" si="585"/>
        <v>49025</v>
      </c>
      <c r="S149" s="6">
        <f t="shared" si="593"/>
        <v>49027</v>
      </c>
      <c r="T149" s="6">
        <f t="shared" si="593"/>
        <v>49029</v>
      </c>
      <c r="U149" s="6">
        <f t="shared" si="593"/>
        <v>49031</v>
      </c>
      <c r="V149" s="6">
        <f t="shared" si="593"/>
        <v>49033</v>
      </c>
      <c r="W149" s="6">
        <f t="shared" si="593"/>
        <v>49035</v>
      </c>
      <c r="X149" s="6">
        <f t="shared" si="593"/>
        <v>49037</v>
      </c>
      <c r="Y149" s="6">
        <f t="shared" si="564"/>
        <v>49039</v>
      </c>
      <c r="Z149" s="6">
        <f t="shared" si="522"/>
        <v>49041</v>
      </c>
      <c r="AA149" s="14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14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</row>
    <row r="150" spans="1:68" x14ac:dyDescent="0.25">
      <c r="A150" s="3">
        <v>56</v>
      </c>
      <c r="B150" s="3" t="s">
        <v>336</v>
      </c>
      <c r="C150" s="36" t="s">
        <v>155</v>
      </c>
      <c r="D150" s="3" t="s">
        <v>331</v>
      </c>
      <c r="E150" s="4">
        <f t="shared" si="502"/>
        <v>49200</v>
      </c>
      <c r="F150" s="6">
        <f t="shared" si="232"/>
        <v>49201</v>
      </c>
      <c r="G150" s="6">
        <f t="shared" ref="G150:G159" si="594">F150+F$6</f>
        <v>49203</v>
      </c>
      <c r="H150" s="6">
        <f t="shared" ref="H150:H159" si="595">G150+G$6</f>
        <v>49205</v>
      </c>
      <c r="I150" s="6">
        <f t="shared" ref="I150:J150" si="596">H150+H$6</f>
        <v>49207</v>
      </c>
      <c r="J150" s="6">
        <f t="shared" si="596"/>
        <v>49209</v>
      </c>
      <c r="K150" s="6">
        <f t="shared" ref="K150:K159" si="597">J150+J$6</f>
        <v>49211</v>
      </c>
      <c r="L150" s="6">
        <f t="shared" ref="L150:L159" si="598">K150+K$6</f>
        <v>49213</v>
      </c>
      <c r="M150" s="6">
        <f t="shared" ref="M150:M159" si="599">L150+L$6</f>
        <v>49215</v>
      </c>
      <c r="N150" s="6">
        <f t="shared" ref="N150:X150" si="600">M150+M$6</f>
        <v>49217</v>
      </c>
      <c r="O150" s="6">
        <f t="shared" si="600"/>
        <v>49219</v>
      </c>
      <c r="P150" s="6">
        <f t="shared" si="600"/>
        <v>49221</v>
      </c>
      <c r="Q150" s="6">
        <f t="shared" si="585"/>
        <v>49223</v>
      </c>
      <c r="R150" s="6">
        <f t="shared" si="585"/>
        <v>49225</v>
      </c>
      <c r="S150" s="6">
        <f t="shared" si="600"/>
        <v>49227</v>
      </c>
      <c r="T150" s="6">
        <f t="shared" si="600"/>
        <v>49229</v>
      </c>
      <c r="U150" s="6">
        <f t="shared" si="600"/>
        <v>49231</v>
      </c>
      <c r="V150" s="6">
        <f t="shared" si="600"/>
        <v>49233</v>
      </c>
      <c r="W150" s="6">
        <f t="shared" si="600"/>
        <v>49235</v>
      </c>
      <c r="X150" s="6">
        <f t="shared" si="600"/>
        <v>49237</v>
      </c>
      <c r="Y150" s="6">
        <f t="shared" si="564"/>
        <v>49239</v>
      </c>
      <c r="Z150" s="6">
        <f t="shared" si="522"/>
        <v>49241</v>
      </c>
      <c r="AA150" s="14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14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</row>
    <row r="151" spans="1:68" x14ac:dyDescent="0.25">
      <c r="A151" s="3">
        <v>57</v>
      </c>
      <c r="B151" s="3" t="s">
        <v>336</v>
      </c>
      <c r="C151" s="36" t="s">
        <v>156</v>
      </c>
      <c r="D151" s="3" t="s">
        <v>331</v>
      </c>
      <c r="E151" s="4">
        <f t="shared" si="502"/>
        <v>49400</v>
      </c>
      <c r="F151" s="6">
        <f t="shared" si="232"/>
        <v>49401</v>
      </c>
      <c r="G151" s="6">
        <f t="shared" si="594"/>
        <v>49403</v>
      </c>
      <c r="H151" s="6">
        <f t="shared" si="595"/>
        <v>49405</v>
      </c>
      <c r="I151" s="6">
        <f t="shared" ref="I151:J151" si="601">H151+H$6</f>
        <v>49407</v>
      </c>
      <c r="J151" s="6">
        <f t="shared" si="601"/>
        <v>49409</v>
      </c>
      <c r="K151" s="6">
        <f t="shared" si="597"/>
        <v>49411</v>
      </c>
      <c r="L151" s="6">
        <f t="shared" si="598"/>
        <v>49413</v>
      </c>
      <c r="M151" s="6">
        <f t="shared" si="599"/>
        <v>49415</v>
      </c>
      <c r="N151" s="6">
        <f t="shared" ref="N151:X151" si="602">M151+M$6</f>
        <v>49417</v>
      </c>
      <c r="O151" s="6">
        <f t="shared" si="602"/>
        <v>49419</v>
      </c>
      <c r="P151" s="6">
        <f t="shared" si="602"/>
        <v>49421</v>
      </c>
      <c r="Q151" s="6">
        <f t="shared" si="585"/>
        <v>49423</v>
      </c>
      <c r="R151" s="6">
        <f t="shared" si="585"/>
        <v>49425</v>
      </c>
      <c r="S151" s="6">
        <f t="shared" si="602"/>
        <v>49427</v>
      </c>
      <c r="T151" s="6">
        <f t="shared" si="602"/>
        <v>49429</v>
      </c>
      <c r="U151" s="6">
        <f t="shared" si="602"/>
        <v>49431</v>
      </c>
      <c r="V151" s="6">
        <f t="shared" si="602"/>
        <v>49433</v>
      </c>
      <c r="W151" s="6">
        <f t="shared" si="602"/>
        <v>49435</v>
      </c>
      <c r="X151" s="6">
        <f t="shared" si="602"/>
        <v>49437</v>
      </c>
      <c r="Y151" s="6">
        <f t="shared" si="564"/>
        <v>49439</v>
      </c>
      <c r="Z151" s="6">
        <f t="shared" si="522"/>
        <v>49441</v>
      </c>
      <c r="AA151" s="14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14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</row>
    <row r="152" spans="1:68" x14ac:dyDescent="0.25">
      <c r="A152" s="3">
        <v>58</v>
      </c>
      <c r="B152" s="3" t="s">
        <v>336</v>
      </c>
      <c r="C152" s="36" t="s">
        <v>157</v>
      </c>
      <c r="D152" s="3" t="s">
        <v>331</v>
      </c>
      <c r="E152" s="4">
        <f t="shared" si="502"/>
        <v>49600</v>
      </c>
      <c r="F152" s="6">
        <f t="shared" si="232"/>
        <v>49601</v>
      </c>
      <c r="G152" s="6">
        <f t="shared" si="594"/>
        <v>49603</v>
      </c>
      <c r="H152" s="6">
        <f t="shared" si="595"/>
        <v>49605</v>
      </c>
      <c r="I152" s="6">
        <f t="shared" ref="I152:J152" si="603">H152+H$6</f>
        <v>49607</v>
      </c>
      <c r="J152" s="6">
        <f t="shared" si="603"/>
        <v>49609</v>
      </c>
      <c r="K152" s="6">
        <f t="shared" si="597"/>
        <v>49611</v>
      </c>
      <c r="L152" s="6">
        <f t="shared" si="598"/>
        <v>49613</v>
      </c>
      <c r="M152" s="6">
        <f t="shared" si="599"/>
        <v>49615</v>
      </c>
      <c r="N152" s="6">
        <f t="shared" ref="N152:X152" si="604">M152+M$6</f>
        <v>49617</v>
      </c>
      <c r="O152" s="6">
        <f t="shared" si="604"/>
        <v>49619</v>
      </c>
      <c r="P152" s="6">
        <f t="shared" si="604"/>
        <v>49621</v>
      </c>
      <c r="Q152" s="6">
        <f t="shared" si="585"/>
        <v>49623</v>
      </c>
      <c r="R152" s="6">
        <f t="shared" si="585"/>
        <v>49625</v>
      </c>
      <c r="S152" s="6">
        <f t="shared" si="604"/>
        <v>49627</v>
      </c>
      <c r="T152" s="6">
        <f t="shared" si="604"/>
        <v>49629</v>
      </c>
      <c r="U152" s="6">
        <f t="shared" si="604"/>
        <v>49631</v>
      </c>
      <c r="V152" s="6">
        <f t="shared" si="604"/>
        <v>49633</v>
      </c>
      <c r="W152" s="6">
        <f t="shared" si="604"/>
        <v>49635</v>
      </c>
      <c r="X152" s="6">
        <f t="shared" si="604"/>
        <v>49637</v>
      </c>
      <c r="Y152" s="6">
        <f t="shared" si="564"/>
        <v>49639</v>
      </c>
      <c r="Z152" s="6">
        <f t="shared" si="522"/>
        <v>49641</v>
      </c>
      <c r="AA152" s="14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14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</row>
    <row r="153" spans="1:68" x14ac:dyDescent="0.25">
      <c r="A153" s="3">
        <v>59</v>
      </c>
      <c r="B153" s="3" t="s">
        <v>336</v>
      </c>
      <c r="C153" s="36" t="s">
        <v>158</v>
      </c>
      <c r="D153" s="3" t="s">
        <v>331</v>
      </c>
      <c r="E153" s="4">
        <f t="shared" si="502"/>
        <v>49800</v>
      </c>
      <c r="F153" s="6">
        <f t="shared" si="232"/>
        <v>49801</v>
      </c>
      <c r="G153" s="6">
        <f t="shared" si="594"/>
        <v>49803</v>
      </c>
      <c r="H153" s="6">
        <f t="shared" si="595"/>
        <v>49805</v>
      </c>
      <c r="I153" s="6">
        <f t="shared" ref="I153:J153" si="605">H153+H$6</f>
        <v>49807</v>
      </c>
      <c r="J153" s="6">
        <f t="shared" si="605"/>
        <v>49809</v>
      </c>
      <c r="K153" s="6">
        <f t="shared" si="597"/>
        <v>49811</v>
      </c>
      <c r="L153" s="6">
        <f t="shared" si="598"/>
        <v>49813</v>
      </c>
      <c r="M153" s="6">
        <f t="shared" si="599"/>
        <v>49815</v>
      </c>
      <c r="N153" s="6">
        <f t="shared" ref="N153:Y168" si="606">M153+M$6</f>
        <v>49817</v>
      </c>
      <c r="O153" s="6">
        <f t="shared" si="606"/>
        <v>49819</v>
      </c>
      <c r="P153" s="6">
        <f t="shared" si="606"/>
        <v>49821</v>
      </c>
      <c r="Q153" s="6">
        <f t="shared" si="585"/>
        <v>49823</v>
      </c>
      <c r="R153" s="6">
        <f t="shared" si="585"/>
        <v>49825</v>
      </c>
      <c r="S153" s="6">
        <f t="shared" si="606"/>
        <v>49827</v>
      </c>
      <c r="T153" s="6">
        <f t="shared" si="606"/>
        <v>49829</v>
      </c>
      <c r="U153" s="6">
        <f t="shared" si="606"/>
        <v>49831</v>
      </c>
      <c r="V153" s="6">
        <f t="shared" si="606"/>
        <v>49833</v>
      </c>
      <c r="W153" s="6">
        <f t="shared" si="606"/>
        <v>49835</v>
      </c>
      <c r="X153" s="6">
        <f t="shared" si="606"/>
        <v>49837</v>
      </c>
      <c r="Y153" s="6">
        <f t="shared" si="606"/>
        <v>49839</v>
      </c>
      <c r="Z153" s="6">
        <f t="shared" si="522"/>
        <v>49841</v>
      </c>
      <c r="AA153" s="14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14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</row>
    <row r="154" spans="1:68" x14ac:dyDescent="0.25">
      <c r="A154" s="3">
        <v>60</v>
      </c>
      <c r="B154" s="3" t="s">
        <v>336</v>
      </c>
      <c r="C154" s="36" t="s">
        <v>159</v>
      </c>
      <c r="D154" s="3" t="s">
        <v>331</v>
      </c>
      <c r="E154" s="4">
        <f t="shared" si="502"/>
        <v>50000</v>
      </c>
      <c r="F154" s="6">
        <f t="shared" si="232"/>
        <v>50001</v>
      </c>
      <c r="G154" s="6">
        <f t="shared" si="594"/>
        <v>50003</v>
      </c>
      <c r="H154" s="6">
        <f t="shared" si="595"/>
        <v>50005</v>
      </c>
      <c r="I154" s="6">
        <f t="shared" ref="I154:J154" si="607">H154+H$6</f>
        <v>50007</v>
      </c>
      <c r="J154" s="6">
        <f t="shared" si="607"/>
        <v>50009</v>
      </c>
      <c r="K154" s="6">
        <f t="shared" si="597"/>
        <v>50011</v>
      </c>
      <c r="L154" s="6">
        <f t="shared" si="598"/>
        <v>50013</v>
      </c>
      <c r="M154" s="6">
        <f t="shared" si="599"/>
        <v>50015</v>
      </c>
      <c r="N154" s="6">
        <f t="shared" ref="N154:X154" si="608">M154+M$6</f>
        <v>50017</v>
      </c>
      <c r="O154" s="6">
        <f t="shared" si="608"/>
        <v>50019</v>
      </c>
      <c r="P154" s="6">
        <f t="shared" si="608"/>
        <v>50021</v>
      </c>
      <c r="Q154" s="6">
        <f t="shared" si="585"/>
        <v>50023</v>
      </c>
      <c r="R154" s="6">
        <f t="shared" si="585"/>
        <v>50025</v>
      </c>
      <c r="S154" s="6">
        <f t="shared" si="608"/>
        <v>50027</v>
      </c>
      <c r="T154" s="6">
        <f t="shared" si="608"/>
        <v>50029</v>
      </c>
      <c r="U154" s="6">
        <f t="shared" si="608"/>
        <v>50031</v>
      </c>
      <c r="V154" s="6">
        <f t="shared" si="608"/>
        <v>50033</v>
      </c>
      <c r="W154" s="6">
        <f t="shared" si="608"/>
        <v>50035</v>
      </c>
      <c r="X154" s="6">
        <f t="shared" si="608"/>
        <v>50037</v>
      </c>
      <c r="Y154" s="6">
        <f t="shared" si="606"/>
        <v>50039</v>
      </c>
      <c r="Z154" s="6">
        <f t="shared" si="522"/>
        <v>50041</v>
      </c>
      <c r="AA154" s="14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14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</row>
    <row r="155" spans="1:68" x14ac:dyDescent="0.25">
      <c r="A155" s="3">
        <v>61</v>
      </c>
      <c r="B155" s="3" t="s">
        <v>336</v>
      </c>
      <c r="C155" s="36" t="s">
        <v>160</v>
      </c>
      <c r="D155" s="3" t="s">
        <v>331</v>
      </c>
      <c r="E155" s="4">
        <f t="shared" si="502"/>
        <v>50200</v>
      </c>
      <c r="F155" s="6">
        <f t="shared" si="232"/>
        <v>50201</v>
      </c>
      <c r="G155" s="6">
        <f t="shared" si="594"/>
        <v>50203</v>
      </c>
      <c r="H155" s="6">
        <f t="shared" si="595"/>
        <v>50205</v>
      </c>
      <c r="I155" s="6">
        <f t="shared" ref="I155:J155" si="609">H155+H$6</f>
        <v>50207</v>
      </c>
      <c r="J155" s="6">
        <f t="shared" si="609"/>
        <v>50209</v>
      </c>
      <c r="K155" s="6">
        <f t="shared" si="597"/>
        <v>50211</v>
      </c>
      <c r="L155" s="6">
        <f t="shared" si="598"/>
        <v>50213</v>
      </c>
      <c r="M155" s="6">
        <f t="shared" si="599"/>
        <v>50215</v>
      </c>
      <c r="N155" s="6">
        <f t="shared" ref="N155:X155" si="610">M155+M$6</f>
        <v>50217</v>
      </c>
      <c r="O155" s="6">
        <f t="shared" si="610"/>
        <v>50219</v>
      </c>
      <c r="P155" s="6">
        <f t="shared" si="610"/>
        <v>50221</v>
      </c>
      <c r="Q155" s="6">
        <f t="shared" si="585"/>
        <v>50223</v>
      </c>
      <c r="R155" s="6">
        <f t="shared" si="585"/>
        <v>50225</v>
      </c>
      <c r="S155" s="6">
        <f t="shared" si="610"/>
        <v>50227</v>
      </c>
      <c r="T155" s="6">
        <f t="shared" si="610"/>
        <v>50229</v>
      </c>
      <c r="U155" s="6">
        <f t="shared" si="610"/>
        <v>50231</v>
      </c>
      <c r="V155" s="6">
        <f t="shared" si="610"/>
        <v>50233</v>
      </c>
      <c r="W155" s="6">
        <f t="shared" si="610"/>
        <v>50235</v>
      </c>
      <c r="X155" s="6">
        <f t="shared" si="610"/>
        <v>50237</v>
      </c>
      <c r="Y155" s="6">
        <f t="shared" si="606"/>
        <v>50239</v>
      </c>
      <c r="Z155" s="6">
        <f t="shared" si="522"/>
        <v>50241</v>
      </c>
      <c r="AA155" s="14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14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</row>
    <row r="156" spans="1:68" x14ac:dyDescent="0.25">
      <c r="A156" s="3">
        <v>62</v>
      </c>
      <c r="B156" s="3" t="s">
        <v>336</v>
      </c>
      <c r="C156" s="36" t="s">
        <v>161</v>
      </c>
      <c r="D156" s="3" t="s">
        <v>331</v>
      </c>
      <c r="E156" s="4">
        <f t="shared" si="502"/>
        <v>50400</v>
      </c>
      <c r="F156" s="6">
        <f t="shared" si="232"/>
        <v>50401</v>
      </c>
      <c r="G156" s="6">
        <f t="shared" si="594"/>
        <v>50403</v>
      </c>
      <c r="H156" s="6">
        <f t="shared" si="595"/>
        <v>50405</v>
      </c>
      <c r="I156" s="6">
        <f t="shared" ref="I156:J156" si="611">H156+H$6</f>
        <v>50407</v>
      </c>
      <c r="J156" s="6">
        <f t="shared" si="611"/>
        <v>50409</v>
      </c>
      <c r="K156" s="6">
        <f t="shared" si="597"/>
        <v>50411</v>
      </c>
      <c r="L156" s="6">
        <f t="shared" si="598"/>
        <v>50413</v>
      </c>
      <c r="M156" s="6">
        <f t="shared" si="599"/>
        <v>50415</v>
      </c>
      <c r="N156" s="6">
        <f t="shared" ref="N156:X156" si="612">M156+M$6</f>
        <v>50417</v>
      </c>
      <c r="O156" s="6">
        <f t="shared" si="612"/>
        <v>50419</v>
      </c>
      <c r="P156" s="6">
        <f t="shared" si="612"/>
        <v>50421</v>
      </c>
      <c r="Q156" s="6">
        <f t="shared" si="585"/>
        <v>50423</v>
      </c>
      <c r="R156" s="6">
        <f t="shared" si="585"/>
        <v>50425</v>
      </c>
      <c r="S156" s="6">
        <f t="shared" si="612"/>
        <v>50427</v>
      </c>
      <c r="T156" s="6">
        <f t="shared" si="612"/>
        <v>50429</v>
      </c>
      <c r="U156" s="6">
        <f t="shared" si="612"/>
        <v>50431</v>
      </c>
      <c r="V156" s="6">
        <f t="shared" si="612"/>
        <v>50433</v>
      </c>
      <c r="W156" s="6">
        <f t="shared" si="612"/>
        <v>50435</v>
      </c>
      <c r="X156" s="6">
        <f t="shared" si="612"/>
        <v>50437</v>
      </c>
      <c r="Y156" s="6">
        <f t="shared" si="606"/>
        <v>50439</v>
      </c>
      <c r="Z156" s="6">
        <f t="shared" si="522"/>
        <v>50441</v>
      </c>
      <c r="AA156" s="14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14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</row>
    <row r="157" spans="1:68" x14ac:dyDescent="0.25">
      <c r="A157" s="3">
        <v>63</v>
      </c>
      <c r="B157" s="3" t="s">
        <v>336</v>
      </c>
      <c r="C157" s="36" t="s">
        <v>162</v>
      </c>
      <c r="D157" s="3" t="s">
        <v>331</v>
      </c>
      <c r="E157" s="4">
        <f t="shared" si="502"/>
        <v>50600</v>
      </c>
      <c r="F157" s="6">
        <f t="shared" si="232"/>
        <v>50601</v>
      </c>
      <c r="G157" s="6">
        <f t="shared" si="594"/>
        <v>50603</v>
      </c>
      <c r="H157" s="6">
        <f t="shared" si="595"/>
        <v>50605</v>
      </c>
      <c r="I157" s="6">
        <f t="shared" ref="I157:J157" si="613">H157+H$6</f>
        <v>50607</v>
      </c>
      <c r="J157" s="6">
        <f t="shared" si="613"/>
        <v>50609</v>
      </c>
      <c r="K157" s="6">
        <f t="shared" si="597"/>
        <v>50611</v>
      </c>
      <c r="L157" s="6">
        <f t="shared" si="598"/>
        <v>50613</v>
      </c>
      <c r="M157" s="6">
        <f t="shared" si="599"/>
        <v>50615</v>
      </c>
      <c r="N157" s="6">
        <f t="shared" ref="N157:X157" si="614">M157+M$6</f>
        <v>50617</v>
      </c>
      <c r="O157" s="6">
        <f t="shared" si="614"/>
        <v>50619</v>
      </c>
      <c r="P157" s="6">
        <f t="shared" si="614"/>
        <v>50621</v>
      </c>
      <c r="Q157" s="6">
        <f t="shared" si="585"/>
        <v>50623</v>
      </c>
      <c r="R157" s="6">
        <f t="shared" si="585"/>
        <v>50625</v>
      </c>
      <c r="S157" s="6">
        <f t="shared" si="614"/>
        <v>50627</v>
      </c>
      <c r="T157" s="6">
        <f t="shared" si="614"/>
        <v>50629</v>
      </c>
      <c r="U157" s="6">
        <f t="shared" si="614"/>
        <v>50631</v>
      </c>
      <c r="V157" s="6">
        <f t="shared" si="614"/>
        <v>50633</v>
      </c>
      <c r="W157" s="6">
        <f t="shared" si="614"/>
        <v>50635</v>
      </c>
      <c r="X157" s="6">
        <f t="shared" si="614"/>
        <v>50637</v>
      </c>
      <c r="Y157" s="6">
        <f t="shared" si="606"/>
        <v>50639</v>
      </c>
      <c r="Z157" s="6">
        <f t="shared" si="522"/>
        <v>50641</v>
      </c>
      <c r="AA157" s="14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14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</row>
    <row r="158" spans="1:68" x14ac:dyDescent="0.25">
      <c r="A158" s="3">
        <v>64</v>
      </c>
      <c r="B158" s="3" t="s">
        <v>336</v>
      </c>
      <c r="C158" s="36" t="s">
        <v>163</v>
      </c>
      <c r="D158" s="3" t="s">
        <v>331</v>
      </c>
      <c r="E158" s="4">
        <f t="shared" si="502"/>
        <v>50800</v>
      </c>
      <c r="F158" s="6">
        <f t="shared" si="232"/>
        <v>50801</v>
      </c>
      <c r="G158" s="6">
        <f t="shared" si="594"/>
        <v>50803</v>
      </c>
      <c r="H158" s="6">
        <f t="shared" si="595"/>
        <v>50805</v>
      </c>
      <c r="I158" s="6">
        <f t="shared" ref="I158:J158" si="615">H158+H$6</f>
        <v>50807</v>
      </c>
      <c r="J158" s="6">
        <f t="shared" si="615"/>
        <v>50809</v>
      </c>
      <c r="K158" s="6">
        <f t="shared" si="597"/>
        <v>50811</v>
      </c>
      <c r="L158" s="6">
        <f t="shared" si="598"/>
        <v>50813</v>
      </c>
      <c r="M158" s="6">
        <f t="shared" si="599"/>
        <v>50815</v>
      </c>
      <c r="N158" s="6">
        <f t="shared" ref="N158:X158" si="616">M158+M$6</f>
        <v>50817</v>
      </c>
      <c r="O158" s="6">
        <f t="shared" si="616"/>
        <v>50819</v>
      </c>
      <c r="P158" s="6">
        <f t="shared" si="616"/>
        <v>50821</v>
      </c>
      <c r="Q158" s="6">
        <f t="shared" si="585"/>
        <v>50823</v>
      </c>
      <c r="R158" s="6">
        <f t="shared" si="585"/>
        <v>50825</v>
      </c>
      <c r="S158" s="6">
        <f t="shared" si="616"/>
        <v>50827</v>
      </c>
      <c r="T158" s="6">
        <f t="shared" si="616"/>
        <v>50829</v>
      </c>
      <c r="U158" s="6">
        <f t="shared" si="616"/>
        <v>50831</v>
      </c>
      <c r="V158" s="6">
        <f t="shared" si="616"/>
        <v>50833</v>
      </c>
      <c r="W158" s="6">
        <f t="shared" si="616"/>
        <v>50835</v>
      </c>
      <c r="X158" s="6">
        <f t="shared" si="616"/>
        <v>50837</v>
      </c>
      <c r="Y158" s="6">
        <f t="shared" si="606"/>
        <v>50839</v>
      </c>
      <c r="Z158" s="6">
        <f t="shared" si="522"/>
        <v>50841</v>
      </c>
      <c r="AA158" s="14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14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</row>
    <row r="159" spans="1:68" x14ac:dyDescent="0.25">
      <c r="A159" s="3">
        <v>65</v>
      </c>
      <c r="B159" s="3" t="s">
        <v>336</v>
      </c>
      <c r="C159" s="36" t="s">
        <v>164</v>
      </c>
      <c r="D159" s="3" t="s">
        <v>331</v>
      </c>
      <c r="E159" s="4">
        <f t="shared" si="502"/>
        <v>51000</v>
      </c>
      <c r="F159" s="6">
        <f t="shared" si="232"/>
        <v>51001</v>
      </c>
      <c r="G159" s="6">
        <f t="shared" si="594"/>
        <v>51003</v>
      </c>
      <c r="H159" s="6">
        <f t="shared" si="595"/>
        <v>51005</v>
      </c>
      <c r="I159" s="6">
        <f t="shared" ref="I159:J159" si="617">H159+H$6</f>
        <v>51007</v>
      </c>
      <c r="J159" s="6">
        <f t="shared" si="617"/>
        <v>51009</v>
      </c>
      <c r="K159" s="6">
        <f t="shared" si="597"/>
        <v>51011</v>
      </c>
      <c r="L159" s="6">
        <f t="shared" si="598"/>
        <v>51013</v>
      </c>
      <c r="M159" s="6">
        <f t="shared" si="599"/>
        <v>51015</v>
      </c>
      <c r="N159" s="6">
        <f t="shared" ref="N159:X159" si="618">M159+M$6</f>
        <v>51017</v>
      </c>
      <c r="O159" s="6">
        <f t="shared" si="618"/>
        <v>51019</v>
      </c>
      <c r="P159" s="6">
        <f t="shared" si="618"/>
        <v>51021</v>
      </c>
      <c r="Q159" s="6">
        <f t="shared" si="585"/>
        <v>51023</v>
      </c>
      <c r="R159" s="6">
        <f t="shared" si="585"/>
        <v>51025</v>
      </c>
      <c r="S159" s="6">
        <f t="shared" si="618"/>
        <v>51027</v>
      </c>
      <c r="T159" s="6">
        <f t="shared" si="618"/>
        <v>51029</v>
      </c>
      <c r="U159" s="6">
        <f t="shared" si="618"/>
        <v>51031</v>
      </c>
      <c r="V159" s="6">
        <f t="shared" si="618"/>
        <v>51033</v>
      </c>
      <c r="W159" s="6">
        <f t="shared" si="618"/>
        <v>51035</v>
      </c>
      <c r="X159" s="6">
        <f t="shared" si="618"/>
        <v>51037</v>
      </c>
      <c r="Y159" s="6">
        <f t="shared" si="606"/>
        <v>51039</v>
      </c>
      <c r="Z159" s="6">
        <f t="shared" si="522"/>
        <v>51041</v>
      </c>
      <c r="AA159" s="14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14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</row>
    <row r="160" spans="1:68" x14ac:dyDescent="0.25">
      <c r="A160" s="3">
        <v>66</v>
      </c>
      <c r="B160" s="3" t="s">
        <v>336</v>
      </c>
      <c r="C160" s="36" t="s">
        <v>165</v>
      </c>
      <c r="D160" s="3" t="s">
        <v>293</v>
      </c>
      <c r="E160" s="4">
        <f t="shared" si="502"/>
        <v>51200</v>
      </c>
      <c r="F160" s="6">
        <f t="shared" si="232"/>
        <v>51201</v>
      </c>
      <c r="G160" s="6">
        <f t="shared" ref="G160:G163" si="619">F160+F$6</f>
        <v>51203</v>
      </c>
      <c r="H160" s="6">
        <f t="shared" ref="H160:H163" si="620">G160+G$6</f>
        <v>51205</v>
      </c>
      <c r="I160" s="6">
        <f t="shared" ref="I160:J160" si="621">H160+H$6</f>
        <v>51207</v>
      </c>
      <c r="J160" s="6">
        <f t="shared" si="621"/>
        <v>51209</v>
      </c>
      <c r="K160" s="6">
        <f t="shared" ref="K160:K163" si="622">J160+J$6</f>
        <v>51211</v>
      </c>
      <c r="L160" s="6">
        <f t="shared" ref="L160:L163" si="623">K160+K$6</f>
        <v>51213</v>
      </c>
      <c r="M160" s="6">
        <f t="shared" ref="M160:M163" si="624">L160+L$6</f>
        <v>51215</v>
      </c>
      <c r="N160" s="6">
        <f t="shared" ref="N160:X160" si="625">M160+M$6</f>
        <v>51217</v>
      </c>
      <c r="O160" s="6">
        <f t="shared" si="625"/>
        <v>51219</v>
      </c>
      <c r="P160" s="6">
        <f t="shared" si="625"/>
        <v>51221</v>
      </c>
      <c r="Q160" s="6">
        <f t="shared" si="585"/>
        <v>51223</v>
      </c>
      <c r="R160" s="6">
        <f t="shared" si="585"/>
        <v>51225</v>
      </c>
      <c r="S160" s="6">
        <f t="shared" si="625"/>
        <v>51227</v>
      </c>
      <c r="T160" s="6">
        <f t="shared" si="625"/>
        <v>51229</v>
      </c>
      <c r="U160" s="6">
        <f t="shared" si="625"/>
        <v>51231</v>
      </c>
      <c r="V160" s="6">
        <f t="shared" si="625"/>
        <v>51233</v>
      </c>
      <c r="W160" s="6">
        <f t="shared" si="625"/>
        <v>51235</v>
      </c>
      <c r="X160" s="6">
        <f t="shared" si="625"/>
        <v>51237</v>
      </c>
      <c r="Y160" s="6">
        <f t="shared" si="606"/>
        <v>51239</v>
      </c>
      <c r="Z160" s="6">
        <f t="shared" si="522"/>
        <v>51241</v>
      </c>
      <c r="AA160" s="14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14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</row>
    <row r="161" spans="1:68" x14ac:dyDescent="0.25">
      <c r="A161" s="3">
        <v>67</v>
      </c>
      <c r="B161" s="3" t="s">
        <v>336</v>
      </c>
      <c r="C161" s="36" t="s">
        <v>166</v>
      </c>
      <c r="D161" s="3" t="s">
        <v>293</v>
      </c>
      <c r="E161" s="4">
        <f t="shared" si="502"/>
        <v>51400</v>
      </c>
      <c r="F161" s="6">
        <f t="shared" si="232"/>
        <v>51401</v>
      </c>
      <c r="G161" s="6">
        <f t="shared" si="619"/>
        <v>51403</v>
      </c>
      <c r="H161" s="6">
        <f t="shared" si="620"/>
        <v>51405</v>
      </c>
      <c r="I161" s="6">
        <f t="shared" ref="I161:J161" si="626">H161+H$6</f>
        <v>51407</v>
      </c>
      <c r="J161" s="6">
        <f t="shared" si="626"/>
        <v>51409</v>
      </c>
      <c r="K161" s="6">
        <f t="shared" si="622"/>
        <v>51411</v>
      </c>
      <c r="L161" s="6">
        <f t="shared" si="623"/>
        <v>51413</v>
      </c>
      <c r="M161" s="6">
        <f t="shared" si="624"/>
        <v>51415</v>
      </c>
      <c r="N161" s="6">
        <f t="shared" ref="N161:X174" si="627">M161+M$6</f>
        <v>51417</v>
      </c>
      <c r="O161" s="6">
        <f t="shared" si="627"/>
        <v>51419</v>
      </c>
      <c r="P161" s="6">
        <f t="shared" si="627"/>
        <v>51421</v>
      </c>
      <c r="Q161" s="6">
        <f t="shared" si="627"/>
        <v>51423</v>
      </c>
      <c r="R161" s="6">
        <f t="shared" si="627"/>
        <v>51425</v>
      </c>
      <c r="S161" s="6">
        <f t="shared" si="627"/>
        <v>51427</v>
      </c>
      <c r="T161" s="6">
        <f t="shared" si="627"/>
        <v>51429</v>
      </c>
      <c r="U161" s="6">
        <f t="shared" si="627"/>
        <v>51431</v>
      </c>
      <c r="V161" s="6">
        <f t="shared" si="627"/>
        <v>51433</v>
      </c>
      <c r="W161" s="6">
        <f t="shared" si="627"/>
        <v>51435</v>
      </c>
      <c r="X161" s="6">
        <f t="shared" si="627"/>
        <v>51437</v>
      </c>
      <c r="Y161" s="6">
        <f t="shared" si="606"/>
        <v>51439</v>
      </c>
      <c r="Z161" s="6">
        <f t="shared" si="522"/>
        <v>51441</v>
      </c>
      <c r="AA161" s="14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14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</row>
    <row r="162" spans="1:68" x14ac:dyDescent="0.25">
      <c r="A162" s="3">
        <v>68</v>
      </c>
      <c r="B162" s="3" t="s">
        <v>336</v>
      </c>
      <c r="C162" s="36" t="s">
        <v>167</v>
      </c>
      <c r="D162" s="3" t="s">
        <v>293</v>
      </c>
      <c r="E162" s="4">
        <f t="shared" si="502"/>
        <v>51600</v>
      </c>
      <c r="F162" s="6">
        <f t="shared" si="232"/>
        <v>51601</v>
      </c>
      <c r="G162" s="6">
        <f t="shared" si="619"/>
        <v>51603</v>
      </c>
      <c r="H162" s="6">
        <f t="shared" si="620"/>
        <v>51605</v>
      </c>
      <c r="I162" s="6">
        <f t="shared" ref="I162:J162" si="628">H162+H$6</f>
        <v>51607</v>
      </c>
      <c r="J162" s="6">
        <f t="shared" si="628"/>
        <v>51609</v>
      </c>
      <c r="K162" s="6">
        <f t="shared" si="622"/>
        <v>51611</v>
      </c>
      <c r="L162" s="6">
        <f t="shared" si="623"/>
        <v>51613</v>
      </c>
      <c r="M162" s="6">
        <f t="shared" si="624"/>
        <v>51615</v>
      </c>
      <c r="N162" s="6">
        <f t="shared" ref="N162:X162" si="629">M162+M$6</f>
        <v>51617</v>
      </c>
      <c r="O162" s="6">
        <f t="shared" si="629"/>
        <v>51619</v>
      </c>
      <c r="P162" s="6">
        <f t="shared" si="629"/>
        <v>51621</v>
      </c>
      <c r="Q162" s="6">
        <f t="shared" si="627"/>
        <v>51623</v>
      </c>
      <c r="R162" s="6">
        <f t="shared" si="627"/>
        <v>51625</v>
      </c>
      <c r="S162" s="6">
        <f t="shared" si="629"/>
        <v>51627</v>
      </c>
      <c r="T162" s="6">
        <f t="shared" si="629"/>
        <v>51629</v>
      </c>
      <c r="U162" s="6">
        <f t="shared" si="629"/>
        <v>51631</v>
      </c>
      <c r="V162" s="6">
        <f t="shared" si="629"/>
        <v>51633</v>
      </c>
      <c r="W162" s="6">
        <f t="shared" si="629"/>
        <v>51635</v>
      </c>
      <c r="X162" s="6">
        <f t="shared" si="629"/>
        <v>51637</v>
      </c>
      <c r="Y162" s="6">
        <f t="shared" si="606"/>
        <v>51639</v>
      </c>
      <c r="Z162" s="6">
        <f t="shared" si="522"/>
        <v>51641</v>
      </c>
      <c r="AA162" s="14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14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</row>
    <row r="163" spans="1:68" x14ac:dyDescent="0.25">
      <c r="A163" s="3">
        <v>69</v>
      </c>
      <c r="B163" s="3" t="s">
        <v>336</v>
      </c>
      <c r="C163" s="36" t="s">
        <v>168</v>
      </c>
      <c r="D163" s="3" t="s">
        <v>293</v>
      </c>
      <c r="E163" s="4">
        <f t="shared" si="502"/>
        <v>51800</v>
      </c>
      <c r="F163" s="6">
        <f t="shared" si="232"/>
        <v>51801</v>
      </c>
      <c r="G163" s="6">
        <f t="shared" si="619"/>
        <v>51803</v>
      </c>
      <c r="H163" s="6">
        <f t="shared" si="620"/>
        <v>51805</v>
      </c>
      <c r="I163" s="6">
        <f t="shared" ref="I163:J163" si="630">H163+H$6</f>
        <v>51807</v>
      </c>
      <c r="J163" s="6">
        <f t="shared" si="630"/>
        <v>51809</v>
      </c>
      <c r="K163" s="6">
        <f t="shared" si="622"/>
        <v>51811</v>
      </c>
      <c r="L163" s="6">
        <f t="shared" si="623"/>
        <v>51813</v>
      </c>
      <c r="M163" s="6">
        <f t="shared" si="624"/>
        <v>51815</v>
      </c>
      <c r="N163" s="6">
        <f t="shared" ref="N163:X163" si="631">M163+M$6</f>
        <v>51817</v>
      </c>
      <c r="O163" s="6">
        <f t="shared" si="631"/>
        <v>51819</v>
      </c>
      <c r="P163" s="6">
        <f t="shared" si="631"/>
        <v>51821</v>
      </c>
      <c r="Q163" s="6">
        <f t="shared" si="627"/>
        <v>51823</v>
      </c>
      <c r="R163" s="6">
        <f t="shared" si="627"/>
        <v>51825</v>
      </c>
      <c r="S163" s="6">
        <f t="shared" si="631"/>
        <v>51827</v>
      </c>
      <c r="T163" s="6">
        <f t="shared" si="631"/>
        <v>51829</v>
      </c>
      <c r="U163" s="6">
        <f t="shared" si="631"/>
        <v>51831</v>
      </c>
      <c r="V163" s="6">
        <f t="shared" si="631"/>
        <v>51833</v>
      </c>
      <c r="W163" s="6">
        <f t="shared" si="631"/>
        <v>51835</v>
      </c>
      <c r="X163" s="6">
        <f t="shared" si="631"/>
        <v>51837</v>
      </c>
      <c r="Y163" s="6">
        <f t="shared" si="606"/>
        <v>51839</v>
      </c>
      <c r="Z163" s="6">
        <f t="shared" si="522"/>
        <v>51841</v>
      </c>
      <c r="AA163" s="14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14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</row>
    <row r="164" spans="1:68" x14ac:dyDescent="0.25">
      <c r="A164" s="3">
        <v>70</v>
      </c>
      <c r="B164" s="3" t="s">
        <v>336</v>
      </c>
      <c r="C164" s="36" t="s">
        <v>169</v>
      </c>
      <c r="D164" s="3" t="s">
        <v>332</v>
      </c>
      <c r="E164" s="4">
        <f t="shared" si="502"/>
        <v>52000</v>
      </c>
      <c r="F164" s="6">
        <f t="shared" si="232"/>
        <v>52001</v>
      </c>
      <c r="G164" s="6">
        <f t="shared" ref="G164:G174" si="632">F164+F$6</f>
        <v>52003</v>
      </c>
      <c r="H164" s="6">
        <f t="shared" ref="H164:H174" si="633">G164+G$6</f>
        <v>52005</v>
      </c>
      <c r="I164" s="6">
        <f t="shared" ref="I164:J164" si="634">H164+H$6</f>
        <v>52007</v>
      </c>
      <c r="J164" s="6">
        <f t="shared" si="634"/>
        <v>52009</v>
      </c>
      <c r="K164" s="6">
        <f t="shared" ref="K164:K174" si="635">J164+J$6</f>
        <v>52011</v>
      </c>
      <c r="L164" s="6">
        <f t="shared" ref="L164:L174" si="636">K164+K$6</f>
        <v>52013</v>
      </c>
      <c r="M164" s="6">
        <f t="shared" ref="M164:M174" si="637">L164+L$6</f>
        <v>52015</v>
      </c>
      <c r="N164" s="6">
        <f t="shared" ref="N164:X164" si="638">M164+M$6</f>
        <v>52017</v>
      </c>
      <c r="O164" s="6">
        <f t="shared" si="638"/>
        <v>52019</v>
      </c>
      <c r="P164" s="6">
        <f t="shared" si="638"/>
        <v>52021</v>
      </c>
      <c r="Q164" s="6">
        <f t="shared" si="627"/>
        <v>52023</v>
      </c>
      <c r="R164" s="6">
        <f t="shared" si="627"/>
        <v>52025</v>
      </c>
      <c r="S164" s="6">
        <f t="shared" si="638"/>
        <v>52027</v>
      </c>
      <c r="T164" s="6">
        <f t="shared" si="638"/>
        <v>52029</v>
      </c>
      <c r="U164" s="6">
        <f t="shared" si="638"/>
        <v>52031</v>
      </c>
      <c r="V164" s="6">
        <f t="shared" si="638"/>
        <v>52033</v>
      </c>
      <c r="W164" s="6">
        <f t="shared" si="638"/>
        <v>52035</v>
      </c>
      <c r="X164" s="6">
        <f t="shared" si="638"/>
        <v>52037</v>
      </c>
      <c r="Y164" s="6">
        <f t="shared" si="606"/>
        <v>52039</v>
      </c>
      <c r="Z164" s="6">
        <f t="shared" si="522"/>
        <v>52041</v>
      </c>
      <c r="AA164" s="14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14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</row>
    <row r="165" spans="1:68" x14ac:dyDescent="0.25">
      <c r="A165" s="3">
        <v>71</v>
      </c>
      <c r="B165" s="3" t="s">
        <v>336</v>
      </c>
      <c r="C165" s="36" t="s">
        <v>170</v>
      </c>
      <c r="D165" s="3" t="s">
        <v>332</v>
      </c>
      <c r="E165" s="4">
        <f t="shared" si="502"/>
        <v>52200</v>
      </c>
      <c r="F165" s="6">
        <f t="shared" si="232"/>
        <v>52201</v>
      </c>
      <c r="G165" s="6">
        <f t="shared" si="632"/>
        <v>52203</v>
      </c>
      <c r="H165" s="6">
        <f t="shared" si="633"/>
        <v>52205</v>
      </c>
      <c r="I165" s="6">
        <f t="shared" ref="I165:J165" si="639">H165+H$6</f>
        <v>52207</v>
      </c>
      <c r="J165" s="6">
        <f t="shared" si="639"/>
        <v>52209</v>
      </c>
      <c r="K165" s="6">
        <f t="shared" si="635"/>
        <v>52211</v>
      </c>
      <c r="L165" s="6">
        <f t="shared" si="636"/>
        <v>52213</v>
      </c>
      <c r="M165" s="6">
        <f t="shared" si="637"/>
        <v>52215</v>
      </c>
      <c r="N165" s="6">
        <f t="shared" ref="N165:X165" si="640">M165+M$6</f>
        <v>52217</v>
      </c>
      <c r="O165" s="6">
        <f t="shared" si="640"/>
        <v>52219</v>
      </c>
      <c r="P165" s="6">
        <f t="shared" si="640"/>
        <v>52221</v>
      </c>
      <c r="Q165" s="6">
        <f t="shared" si="627"/>
        <v>52223</v>
      </c>
      <c r="R165" s="6">
        <f t="shared" si="627"/>
        <v>52225</v>
      </c>
      <c r="S165" s="6">
        <f t="shared" si="640"/>
        <v>52227</v>
      </c>
      <c r="T165" s="6">
        <f t="shared" si="640"/>
        <v>52229</v>
      </c>
      <c r="U165" s="6">
        <f t="shared" si="640"/>
        <v>52231</v>
      </c>
      <c r="V165" s="6">
        <f t="shared" si="640"/>
        <v>52233</v>
      </c>
      <c r="W165" s="6">
        <f t="shared" si="640"/>
        <v>52235</v>
      </c>
      <c r="X165" s="6">
        <f t="shared" si="640"/>
        <v>52237</v>
      </c>
      <c r="Y165" s="6">
        <f t="shared" si="606"/>
        <v>52239</v>
      </c>
      <c r="Z165" s="6">
        <f t="shared" si="522"/>
        <v>52241</v>
      </c>
      <c r="AA165" s="14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14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</row>
    <row r="166" spans="1:68" x14ac:dyDescent="0.25">
      <c r="A166" s="3">
        <v>72</v>
      </c>
      <c r="B166" s="3" t="s">
        <v>336</v>
      </c>
      <c r="C166" s="36" t="s">
        <v>171</v>
      </c>
      <c r="D166" s="3" t="s">
        <v>332</v>
      </c>
      <c r="E166" s="4">
        <f t="shared" si="502"/>
        <v>52400</v>
      </c>
      <c r="F166" s="6">
        <f t="shared" si="232"/>
        <v>52401</v>
      </c>
      <c r="G166" s="6">
        <f t="shared" si="632"/>
        <v>52403</v>
      </c>
      <c r="H166" s="6">
        <f t="shared" si="633"/>
        <v>52405</v>
      </c>
      <c r="I166" s="6">
        <f t="shared" ref="I166:J166" si="641">H166+H$6</f>
        <v>52407</v>
      </c>
      <c r="J166" s="6">
        <f t="shared" si="641"/>
        <v>52409</v>
      </c>
      <c r="K166" s="6">
        <f t="shared" si="635"/>
        <v>52411</v>
      </c>
      <c r="L166" s="6">
        <f t="shared" si="636"/>
        <v>52413</v>
      </c>
      <c r="M166" s="6">
        <f t="shared" si="637"/>
        <v>52415</v>
      </c>
      <c r="N166" s="6">
        <f t="shared" ref="N166:X166" si="642">M166+M$6</f>
        <v>52417</v>
      </c>
      <c r="O166" s="6">
        <f t="shared" si="642"/>
        <v>52419</v>
      </c>
      <c r="P166" s="6">
        <f t="shared" si="642"/>
        <v>52421</v>
      </c>
      <c r="Q166" s="6">
        <f t="shared" si="627"/>
        <v>52423</v>
      </c>
      <c r="R166" s="6">
        <f t="shared" si="627"/>
        <v>52425</v>
      </c>
      <c r="S166" s="6">
        <f t="shared" si="642"/>
        <v>52427</v>
      </c>
      <c r="T166" s="6">
        <f t="shared" si="642"/>
        <v>52429</v>
      </c>
      <c r="U166" s="6">
        <f t="shared" si="642"/>
        <v>52431</v>
      </c>
      <c r="V166" s="6">
        <f t="shared" si="642"/>
        <v>52433</v>
      </c>
      <c r="W166" s="6">
        <f t="shared" si="642"/>
        <v>52435</v>
      </c>
      <c r="X166" s="6">
        <f t="shared" si="642"/>
        <v>52437</v>
      </c>
      <c r="Y166" s="6">
        <f t="shared" si="606"/>
        <v>52439</v>
      </c>
      <c r="Z166" s="6">
        <f t="shared" si="522"/>
        <v>52441</v>
      </c>
      <c r="AA166" s="14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14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</row>
    <row r="167" spans="1:68" x14ac:dyDescent="0.25">
      <c r="A167" s="3">
        <v>73</v>
      </c>
      <c r="B167" s="3" t="s">
        <v>336</v>
      </c>
      <c r="C167" s="36" t="s">
        <v>172</v>
      </c>
      <c r="D167" s="3" t="s">
        <v>332</v>
      </c>
      <c r="E167" s="4">
        <f t="shared" si="502"/>
        <v>52600</v>
      </c>
      <c r="F167" s="6">
        <f t="shared" si="232"/>
        <v>52601</v>
      </c>
      <c r="G167" s="6">
        <f t="shared" si="632"/>
        <v>52603</v>
      </c>
      <c r="H167" s="6">
        <f t="shared" si="633"/>
        <v>52605</v>
      </c>
      <c r="I167" s="6">
        <f t="shared" ref="I167:J167" si="643">H167+H$6</f>
        <v>52607</v>
      </c>
      <c r="J167" s="6">
        <f t="shared" si="643"/>
        <v>52609</v>
      </c>
      <c r="K167" s="6">
        <f t="shared" si="635"/>
        <v>52611</v>
      </c>
      <c r="L167" s="6">
        <f t="shared" si="636"/>
        <v>52613</v>
      </c>
      <c r="M167" s="6">
        <f t="shared" si="637"/>
        <v>52615</v>
      </c>
      <c r="N167" s="6">
        <f t="shared" ref="N167:X167" si="644">M167+M$6</f>
        <v>52617</v>
      </c>
      <c r="O167" s="6">
        <f t="shared" si="644"/>
        <v>52619</v>
      </c>
      <c r="P167" s="6">
        <f t="shared" si="644"/>
        <v>52621</v>
      </c>
      <c r="Q167" s="6">
        <f t="shared" si="627"/>
        <v>52623</v>
      </c>
      <c r="R167" s="6">
        <f t="shared" si="627"/>
        <v>52625</v>
      </c>
      <c r="S167" s="6">
        <f t="shared" si="644"/>
        <v>52627</v>
      </c>
      <c r="T167" s="6">
        <f t="shared" si="644"/>
        <v>52629</v>
      </c>
      <c r="U167" s="6">
        <f t="shared" si="644"/>
        <v>52631</v>
      </c>
      <c r="V167" s="6">
        <f t="shared" si="644"/>
        <v>52633</v>
      </c>
      <c r="W167" s="6">
        <f t="shared" si="644"/>
        <v>52635</v>
      </c>
      <c r="X167" s="6">
        <f t="shared" si="644"/>
        <v>52637</v>
      </c>
      <c r="Y167" s="6">
        <f t="shared" si="606"/>
        <v>52639</v>
      </c>
      <c r="Z167" s="6">
        <f t="shared" si="522"/>
        <v>52641</v>
      </c>
      <c r="AA167" s="14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14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</row>
    <row r="168" spans="1:68" x14ac:dyDescent="0.25">
      <c r="A168" s="3">
        <v>74</v>
      </c>
      <c r="B168" s="3" t="s">
        <v>336</v>
      </c>
      <c r="C168" s="36" t="s">
        <v>173</v>
      </c>
      <c r="D168" s="3" t="s">
        <v>332</v>
      </c>
      <c r="E168" s="4">
        <f t="shared" si="502"/>
        <v>52800</v>
      </c>
      <c r="F168" s="6">
        <f t="shared" ref="F168:F232" si="645">E168+1</f>
        <v>52801</v>
      </c>
      <c r="G168" s="6">
        <f t="shared" si="632"/>
        <v>52803</v>
      </c>
      <c r="H168" s="6">
        <f t="shared" si="633"/>
        <v>52805</v>
      </c>
      <c r="I168" s="6">
        <f t="shared" ref="I168:J168" si="646">H168+H$6</f>
        <v>52807</v>
      </c>
      <c r="J168" s="6">
        <f t="shared" si="646"/>
        <v>52809</v>
      </c>
      <c r="K168" s="6">
        <f t="shared" si="635"/>
        <v>52811</v>
      </c>
      <c r="L168" s="6">
        <f t="shared" si="636"/>
        <v>52813</v>
      </c>
      <c r="M168" s="6">
        <f t="shared" si="637"/>
        <v>52815</v>
      </c>
      <c r="N168" s="6">
        <f t="shared" ref="N168:X168" si="647">M168+M$6</f>
        <v>52817</v>
      </c>
      <c r="O168" s="6">
        <f t="shared" si="647"/>
        <v>52819</v>
      </c>
      <c r="P168" s="6">
        <f t="shared" si="647"/>
        <v>52821</v>
      </c>
      <c r="Q168" s="6">
        <f t="shared" si="627"/>
        <v>52823</v>
      </c>
      <c r="R168" s="6">
        <f t="shared" si="627"/>
        <v>52825</v>
      </c>
      <c r="S168" s="6">
        <f t="shared" si="647"/>
        <v>52827</v>
      </c>
      <c r="T168" s="6">
        <f t="shared" si="647"/>
        <v>52829</v>
      </c>
      <c r="U168" s="6">
        <f t="shared" si="647"/>
        <v>52831</v>
      </c>
      <c r="V168" s="6">
        <f t="shared" si="647"/>
        <v>52833</v>
      </c>
      <c r="W168" s="6">
        <f t="shared" si="647"/>
        <v>52835</v>
      </c>
      <c r="X168" s="6">
        <f t="shared" si="647"/>
        <v>52837</v>
      </c>
      <c r="Y168" s="6">
        <f t="shared" si="606"/>
        <v>52839</v>
      </c>
      <c r="Z168" s="6">
        <f t="shared" si="522"/>
        <v>52841</v>
      </c>
      <c r="AA168" s="14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14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</row>
    <row r="169" spans="1:68" x14ac:dyDescent="0.25">
      <c r="A169" s="3">
        <v>75</v>
      </c>
      <c r="B169" s="3" t="s">
        <v>336</v>
      </c>
      <c r="C169" s="36" t="s">
        <v>174</v>
      </c>
      <c r="D169" s="3" t="s">
        <v>332</v>
      </c>
      <c r="E169" s="4">
        <f t="shared" si="502"/>
        <v>53000</v>
      </c>
      <c r="F169" s="6">
        <f t="shared" si="645"/>
        <v>53001</v>
      </c>
      <c r="G169" s="6">
        <f t="shared" si="632"/>
        <v>53003</v>
      </c>
      <c r="H169" s="6">
        <f t="shared" si="633"/>
        <v>53005</v>
      </c>
      <c r="I169" s="6">
        <f t="shared" ref="I169:J169" si="648">H169+H$6</f>
        <v>53007</v>
      </c>
      <c r="J169" s="6">
        <f t="shared" si="648"/>
        <v>53009</v>
      </c>
      <c r="K169" s="6">
        <f t="shared" si="635"/>
        <v>53011</v>
      </c>
      <c r="L169" s="6">
        <f t="shared" si="636"/>
        <v>53013</v>
      </c>
      <c r="M169" s="6">
        <f t="shared" si="637"/>
        <v>53015</v>
      </c>
      <c r="N169" s="6">
        <f t="shared" ref="N169:Y180" si="649">M169+M$6</f>
        <v>53017</v>
      </c>
      <c r="O169" s="6">
        <f t="shared" si="649"/>
        <v>53019</v>
      </c>
      <c r="P169" s="6">
        <f t="shared" si="649"/>
        <v>53021</v>
      </c>
      <c r="Q169" s="6">
        <f t="shared" si="627"/>
        <v>53023</v>
      </c>
      <c r="R169" s="6">
        <f t="shared" si="627"/>
        <v>53025</v>
      </c>
      <c r="S169" s="6">
        <f t="shared" si="649"/>
        <v>53027</v>
      </c>
      <c r="T169" s="6">
        <f t="shared" si="649"/>
        <v>53029</v>
      </c>
      <c r="U169" s="6">
        <f t="shared" si="649"/>
        <v>53031</v>
      </c>
      <c r="V169" s="6">
        <f t="shared" si="649"/>
        <v>53033</v>
      </c>
      <c r="W169" s="6">
        <f t="shared" si="649"/>
        <v>53035</v>
      </c>
      <c r="X169" s="6">
        <f t="shared" si="649"/>
        <v>53037</v>
      </c>
      <c r="Y169" s="6">
        <f t="shared" si="649"/>
        <v>53039</v>
      </c>
      <c r="Z169" s="6">
        <f t="shared" si="522"/>
        <v>53041</v>
      </c>
      <c r="AA169" s="14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14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</row>
    <row r="170" spans="1:68" x14ac:dyDescent="0.25">
      <c r="A170" s="3">
        <v>76</v>
      </c>
      <c r="B170" s="3" t="s">
        <v>336</v>
      </c>
      <c r="C170" s="36" t="s">
        <v>175</v>
      </c>
      <c r="D170" s="3" t="s">
        <v>332</v>
      </c>
      <c r="E170" s="4">
        <f t="shared" si="502"/>
        <v>53200</v>
      </c>
      <c r="F170" s="6">
        <f t="shared" si="645"/>
        <v>53201</v>
      </c>
      <c r="G170" s="6">
        <f t="shared" si="632"/>
        <v>53203</v>
      </c>
      <c r="H170" s="6">
        <f t="shared" si="633"/>
        <v>53205</v>
      </c>
      <c r="I170" s="6">
        <f t="shared" ref="I170:J170" si="650">H170+H$6</f>
        <v>53207</v>
      </c>
      <c r="J170" s="6">
        <f t="shared" si="650"/>
        <v>53209</v>
      </c>
      <c r="K170" s="6">
        <f t="shared" si="635"/>
        <v>53211</v>
      </c>
      <c r="L170" s="6">
        <f t="shared" si="636"/>
        <v>53213</v>
      </c>
      <c r="M170" s="6">
        <f t="shared" si="637"/>
        <v>53215</v>
      </c>
      <c r="N170" s="6">
        <f t="shared" ref="N170:X170" si="651">M170+M$6</f>
        <v>53217</v>
      </c>
      <c r="O170" s="6">
        <f t="shared" si="651"/>
        <v>53219</v>
      </c>
      <c r="P170" s="6">
        <f t="shared" si="651"/>
        <v>53221</v>
      </c>
      <c r="Q170" s="6">
        <f t="shared" si="627"/>
        <v>53223</v>
      </c>
      <c r="R170" s="6">
        <f t="shared" si="627"/>
        <v>53225</v>
      </c>
      <c r="S170" s="6">
        <f t="shared" si="651"/>
        <v>53227</v>
      </c>
      <c r="T170" s="6">
        <f t="shared" si="651"/>
        <v>53229</v>
      </c>
      <c r="U170" s="6">
        <f t="shared" si="651"/>
        <v>53231</v>
      </c>
      <c r="V170" s="6">
        <f t="shared" si="651"/>
        <v>53233</v>
      </c>
      <c r="W170" s="6">
        <f t="shared" si="651"/>
        <v>53235</v>
      </c>
      <c r="X170" s="6">
        <f t="shared" si="651"/>
        <v>53237</v>
      </c>
      <c r="Y170" s="6">
        <f t="shared" si="649"/>
        <v>53239</v>
      </c>
      <c r="Z170" s="6">
        <f t="shared" si="522"/>
        <v>53241</v>
      </c>
      <c r="AA170" s="14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14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</row>
    <row r="171" spans="1:68" x14ac:dyDescent="0.25">
      <c r="A171" s="3">
        <v>77</v>
      </c>
      <c r="B171" s="3" t="s">
        <v>336</v>
      </c>
      <c r="C171" s="36" t="s">
        <v>176</v>
      </c>
      <c r="D171" s="3" t="s">
        <v>332</v>
      </c>
      <c r="E171" s="4">
        <f t="shared" si="502"/>
        <v>53400</v>
      </c>
      <c r="F171" s="6">
        <f t="shared" si="645"/>
        <v>53401</v>
      </c>
      <c r="G171" s="6">
        <f t="shared" si="632"/>
        <v>53403</v>
      </c>
      <c r="H171" s="6">
        <f t="shared" si="633"/>
        <v>53405</v>
      </c>
      <c r="I171" s="6">
        <f t="shared" ref="I171:J171" si="652">H171+H$6</f>
        <v>53407</v>
      </c>
      <c r="J171" s="6">
        <f t="shared" si="652"/>
        <v>53409</v>
      </c>
      <c r="K171" s="6">
        <f t="shared" si="635"/>
        <v>53411</v>
      </c>
      <c r="L171" s="6">
        <f t="shared" si="636"/>
        <v>53413</v>
      </c>
      <c r="M171" s="6">
        <f t="shared" si="637"/>
        <v>53415</v>
      </c>
      <c r="N171" s="6">
        <f t="shared" ref="N171:X171" si="653">M171+M$6</f>
        <v>53417</v>
      </c>
      <c r="O171" s="6">
        <f t="shared" si="653"/>
        <v>53419</v>
      </c>
      <c r="P171" s="6">
        <f t="shared" si="653"/>
        <v>53421</v>
      </c>
      <c r="Q171" s="6">
        <f t="shared" si="627"/>
        <v>53423</v>
      </c>
      <c r="R171" s="6">
        <f t="shared" si="627"/>
        <v>53425</v>
      </c>
      <c r="S171" s="6">
        <f t="shared" si="653"/>
        <v>53427</v>
      </c>
      <c r="T171" s="6">
        <f t="shared" si="653"/>
        <v>53429</v>
      </c>
      <c r="U171" s="6">
        <f t="shared" si="653"/>
        <v>53431</v>
      </c>
      <c r="V171" s="6">
        <f t="shared" si="653"/>
        <v>53433</v>
      </c>
      <c r="W171" s="6">
        <f t="shared" si="653"/>
        <v>53435</v>
      </c>
      <c r="X171" s="6">
        <f t="shared" si="653"/>
        <v>53437</v>
      </c>
      <c r="Y171" s="6">
        <f t="shared" si="649"/>
        <v>53439</v>
      </c>
      <c r="Z171" s="6">
        <f t="shared" si="522"/>
        <v>53441</v>
      </c>
      <c r="AA171" s="14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14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</row>
    <row r="172" spans="1:68" x14ac:dyDescent="0.25">
      <c r="A172" s="3">
        <v>78</v>
      </c>
      <c r="B172" s="3" t="s">
        <v>336</v>
      </c>
      <c r="C172" s="36" t="s">
        <v>177</v>
      </c>
      <c r="D172" s="3" t="s">
        <v>332</v>
      </c>
      <c r="E172" s="4">
        <f t="shared" si="502"/>
        <v>53600</v>
      </c>
      <c r="F172" s="6">
        <f t="shared" si="645"/>
        <v>53601</v>
      </c>
      <c r="G172" s="6">
        <f t="shared" si="632"/>
        <v>53603</v>
      </c>
      <c r="H172" s="6">
        <f t="shared" si="633"/>
        <v>53605</v>
      </c>
      <c r="I172" s="6">
        <f t="shared" ref="I172:J172" si="654">H172+H$6</f>
        <v>53607</v>
      </c>
      <c r="J172" s="6">
        <f t="shared" si="654"/>
        <v>53609</v>
      </c>
      <c r="K172" s="6">
        <f t="shared" si="635"/>
        <v>53611</v>
      </c>
      <c r="L172" s="6">
        <f t="shared" si="636"/>
        <v>53613</v>
      </c>
      <c r="M172" s="6">
        <f t="shared" si="637"/>
        <v>53615</v>
      </c>
      <c r="N172" s="6">
        <f t="shared" ref="N172:X172" si="655">M172+M$6</f>
        <v>53617</v>
      </c>
      <c r="O172" s="6">
        <f t="shared" si="655"/>
        <v>53619</v>
      </c>
      <c r="P172" s="6">
        <f t="shared" si="655"/>
        <v>53621</v>
      </c>
      <c r="Q172" s="6">
        <f t="shared" si="627"/>
        <v>53623</v>
      </c>
      <c r="R172" s="6">
        <f t="shared" si="627"/>
        <v>53625</v>
      </c>
      <c r="S172" s="6">
        <f t="shared" si="655"/>
        <v>53627</v>
      </c>
      <c r="T172" s="6">
        <f t="shared" si="655"/>
        <v>53629</v>
      </c>
      <c r="U172" s="6">
        <f t="shared" si="655"/>
        <v>53631</v>
      </c>
      <c r="V172" s="6">
        <f t="shared" si="655"/>
        <v>53633</v>
      </c>
      <c r="W172" s="6">
        <f t="shared" si="655"/>
        <v>53635</v>
      </c>
      <c r="X172" s="6">
        <f t="shared" si="655"/>
        <v>53637</v>
      </c>
      <c r="Y172" s="6">
        <f t="shared" si="649"/>
        <v>53639</v>
      </c>
      <c r="Z172" s="6">
        <f t="shared" si="522"/>
        <v>53641</v>
      </c>
      <c r="AA172" s="14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14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</row>
    <row r="173" spans="1:68" x14ac:dyDescent="0.25">
      <c r="A173" s="3">
        <v>79</v>
      </c>
      <c r="B173" s="3" t="s">
        <v>336</v>
      </c>
      <c r="C173" s="36" t="s">
        <v>178</v>
      </c>
      <c r="D173" s="3" t="s">
        <v>332</v>
      </c>
      <c r="E173" s="4">
        <f t="shared" si="502"/>
        <v>53800</v>
      </c>
      <c r="F173" s="6">
        <f t="shared" si="645"/>
        <v>53801</v>
      </c>
      <c r="G173" s="6">
        <f t="shared" si="632"/>
        <v>53803</v>
      </c>
      <c r="H173" s="6">
        <f t="shared" si="633"/>
        <v>53805</v>
      </c>
      <c r="I173" s="6">
        <f t="shared" ref="I173:J173" si="656">H173+H$6</f>
        <v>53807</v>
      </c>
      <c r="J173" s="6">
        <f t="shared" si="656"/>
        <v>53809</v>
      </c>
      <c r="K173" s="6">
        <f t="shared" si="635"/>
        <v>53811</v>
      </c>
      <c r="L173" s="6">
        <f t="shared" si="636"/>
        <v>53813</v>
      </c>
      <c r="M173" s="6">
        <f t="shared" si="637"/>
        <v>53815</v>
      </c>
      <c r="N173" s="6">
        <f t="shared" ref="N173:X173" si="657">M173+M$6</f>
        <v>53817</v>
      </c>
      <c r="O173" s="6">
        <f t="shared" si="657"/>
        <v>53819</v>
      </c>
      <c r="P173" s="6">
        <f t="shared" si="657"/>
        <v>53821</v>
      </c>
      <c r="Q173" s="6">
        <f t="shared" si="627"/>
        <v>53823</v>
      </c>
      <c r="R173" s="6">
        <f t="shared" si="627"/>
        <v>53825</v>
      </c>
      <c r="S173" s="6">
        <f t="shared" si="657"/>
        <v>53827</v>
      </c>
      <c r="T173" s="6">
        <f t="shared" si="657"/>
        <v>53829</v>
      </c>
      <c r="U173" s="6">
        <f t="shared" si="657"/>
        <v>53831</v>
      </c>
      <c r="V173" s="6">
        <f t="shared" si="657"/>
        <v>53833</v>
      </c>
      <c r="W173" s="6">
        <f t="shared" si="657"/>
        <v>53835</v>
      </c>
      <c r="X173" s="6">
        <f t="shared" si="657"/>
        <v>53837</v>
      </c>
      <c r="Y173" s="6">
        <f t="shared" si="649"/>
        <v>53839</v>
      </c>
      <c r="Z173" s="6">
        <f t="shared" si="522"/>
        <v>53841</v>
      </c>
      <c r="AA173" s="14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14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</row>
    <row r="174" spans="1:68" x14ac:dyDescent="0.25">
      <c r="A174" s="3">
        <v>80</v>
      </c>
      <c r="B174" s="3" t="s">
        <v>336</v>
      </c>
      <c r="C174" s="36" t="s">
        <v>179</v>
      </c>
      <c r="D174" s="3" t="s">
        <v>332</v>
      </c>
      <c r="E174" s="4">
        <f t="shared" si="502"/>
        <v>54000</v>
      </c>
      <c r="F174" s="6">
        <f t="shared" si="645"/>
        <v>54001</v>
      </c>
      <c r="G174" s="6">
        <f t="shared" si="632"/>
        <v>54003</v>
      </c>
      <c r="H174" s="6">
        <f t="shared" si="633"/>
        <v>54005</v>
      </c>
      <c r="I174" s="6">
        <f t="shared" ref="I174:J174" si="658">H174+H$6</f>
        <v>54007</v>
      </c>
      <c r="J174" s="6">
        <f t="shared" si="658"/>
        <v>54009</v>
      </c>
      <c r="K174" s="6">
        <f t="shared" si="635"/>
        <v>54011</v>
      </c>
      <c r="L174" s="6">
        <f t="shared" si="636"/>
        <v>54013</v>
      </c>
      <c r="M174" s="6">
        <f t="shared" si="637"/>
        <v>54015</v>
      </c>
      <c r="N174" s="6">
        <f t="shared" ref="N174:X174" si="659">M174+M$6</f>
        <v>54017</v>
      </c>
      <c r="O174" s="6">
        <f t="shared" si="659"/>
        <v>54019</v>
      </c>
      <c r="P174" s="6">
        <f t="shared" si="659"/>
        <v>54021</v>
      </c>
      <c r="Q174" s="6">
        <f t="shared" si="627"/>
        <v>54023</v>
      </c>
      <c r="R174" s="6">
        <f t="shared" si="627"/>
        <v>54025</v>
      </c>
      <c r="S174" s="6">
        <f t="shared" si="659"/>
        <v>54027</v>
      </c>
      <c r="T174" s="6">
        <f t="shared" si="659"/>
        <v>54029</v>
      </c>
      <c r="U174" s="6">
        <f t="shared" si="659"/>
        <v>54031</v>
      </c>
      <c r="V174" s="6">
        <f t="shared" si="659"/>
        <v>54033</v>
      </c>
      <c r="W174" s="6">
        <f t="shared" si="659"/>
        <v>54035</v>
      </c>
      <c r="X174" s="6">
        <f t="shared" si="659"/>
        <v>54037</v>
      </c>
      <c r="Y174" s="6">
        <f t="shared" si="649"/>
        <v>54039</v>
      </c>
      <c r="Z174" s="6">
        <f t="shared" si="522"/>
        <v>54041</v>
      </c>
      <c r="AA174" s="14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14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</row>
    <row r="175" spans="1:68" x14ac:dyDescent="0.25">
      <c r="A175" s="3">
        <v>81</v>
      </c>
      <c r="B175" s="3" t="s">
        <v>336</v>
      </c>
      <c r="C175" s="10" t="s">
        <v>270</v>
      </c>
      <c r="D175" s="10" t="s">
        <v>322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</row>
    <row r="176" spans="1:68" x14ac:dyDescent="0.25">
      <c r="A176" s="3">
        <v>82</v>
      </c>
      <c r="B176" s="3" t="s">
        <v>336</v>
      </c>
      <c r="C176" s="36" t="s">
        <v>180</v>
      </c>
      <c r="D176" s="3" t="s">
        <v>322</v>
      </c>
      <c r="E176" s="4">
        <f>E174+$E$2</f>
        <v>54200</v>
      </c>
      <c r="F176" s="6">
        <f t="shared" si="645"/>
        <v>54201</v>
      </c>
      <c r="G176" s="6">
        <f t="shared" ref="G176:G186" si="660">F176+F$6</f>
        <v>54203</v>
      </c>
      <c r="H176" s="6">
        <f t="shared" ref="H176:H186" si="661">G176+G$6</f>
        <v>54205</v>
      </c>
      <c r="I176" s="6">
        <f t="shared" ref="I176:J176" si="662">H176+H$6</f>
        <v>54207</v>
      </c>
      <c r="J176" s="6">
        <f t="shared" si="662"/>
        <v>54209</v>
      </c>
      <c r="K176" s="6">
        <f t="shared" ref="K176:K186" si="663">J176+J$6</f>
        <v>54211</v>
      </c>
      <c r="L176" s="6">
        <f t="shared" ref="L176:L186" si="664">K176+K$6</f>
        <v>54213</v>
      </c>
      <c r="M176" s="6">
        <f t="shared" ref="M176:M186" si="665">L176+L$6</f>
        <v>54215</v>
      </c>
      <c r="N176" s="6">
        <f t="shared" ref="N176:X179" si="666">M176+M$6</f>
        <v>54217</v>
      </c>
      <c r="O176" s="6">
        <f t="shared" si="666"/>
        <v>54219</v>
      </c>
      <c r="P176" s="6">
        <f t="shared" si="666"/>
        <v>54221</v>
      </c>
      <c r="Q176" s="6">
        <f t="shared" si="666"/>
        <v>54223</v>
      </c>
      <c r="R176" s="6">
        <f t="shared" si="666"/>
        <v>54225</v>
      </c>
      <c r="S176" s="6">
        <f t="shared" si="666"/>
        <v>54227</v>
      </c>
      <c r="T176" s="6">
        <f t="shared" si="666"/>
        <v>54229</v>
      </c>
      <c r="U176" s="6">
        <f t="shared" si="666"/>
        <v>54231</v>
      </c>
      <c r="V176" s="6">
        <f t="shared" si="666"/>
        <v>54233</v>
      </c>
      <c r="W176" s="6">
        <f t="shared" si="666"/>
        <v>54235</v>
      </c>
      <c r="X176" s="6">
        <f t="shared" si="666"/>
        <v>54237</v>
      </c>
      <c r="Y176" s="6">
        <f t="shared" si="649"/>
        <v>54239</v>
      </c>
      <c r="Z176" s="6">
        <f t="shared" si="522"/>
        <v>54241</v>
      </c>
      <c r="AA176" s="14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14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</row>
    <row r="177" spans="1:68" x14ac:dyDescent="0.25">
      <c r="A177" s="3">
        <v>83</v>
      </c>
      <c r="B177" s="3" t="s">
        <v>336</v>
      </c>
      <c r="C177" s="36" t="s">
        <v>181</v>
      </c>
      <c r="D177" s="3" t="s">
        <v>322</v>
      </c>
      <c r="E177" s="4">
        <f t="shared" ref="E177:E180" si="667">E176+$E$2</f>
        <v>54400</v>
      </c>
      <c r="F177" s="6">
        <f t="shared" si="645"/>
        <v>54401</v>
      </c>
      <c r="G177" s="6">
        <f t="shared" si="660"/>
        <v>54403</v>
      </c>
      <c r="H177" s="6">
        <f t="shared" si="661"/>
        <v>54405</v>
      </c>
      <c r="I177" s="6">
        <f t="shared" ref="I177:J177" si="668">H177+H$6</f>
        <v>54407</v>
      </c>
      <c r="J177" s="6">
        <f t="shared" si="668"/>
        <v>54409</v>
      </c>
      <c r="K177" s="6">
        <f t="shared" si="663"/>
        <v>54411</v>
      </c>
      <c r="L177" s="6">
        <f t="shared" si="664"/>
        <v>54413</v>
      </c>
      <c r="M177" s="6">
        <f t="shared" si="665"/>
        <v>54415</v>
      </c>
      <c r="N177" s="6">
        <f t="shared" ref="N177:X177" si="669">M177+M$6</f>
        <v>54417</v>
      </c>
      <c r="O177" s="6">
        <f t="shared" si="669"/>
        <v>54419</v>
      </c>
      <c r="P177" s="6">
        <f t="shared" si="669"/>
        <v>54421</v>
      </c>
      <c r="Q177" s="6">
        <f t="shared" si="666"/>
        <v>54423</v>
      </c>
      <c r="R177" s="6">
        <f t="shared" si="666"/>
        <v>54425</v>
      </c>
      <c r="S177" s="6">
        <f t="shared" si="669"/>
        <v>54427</v>
      </c>
      <c r="T177" s="6">
        <f t="shared" si="669"/>
        <v>54429</v>
      </c>
      <c r="U177" s="6">
        <f t="shared" si="669"/>
        <v>54431</v>
      </c>
      <c r="V177" s="6">
        <f t="shared" si="669"/>
        <v>54433</v>
      </c>
      <c r="W177" s="6">
        <f t="shared" si="669"/>
        <v>54435</v>
      </c>
      <c r="X177" s="6">
        <f t="shared" si="669"/>
        <v>54437</v>
      </c>
      <c r="Y177" s="6">
        <f t="shared" si="649"/>
        <v>54439</v>
      </c>
      <c r="Z177" s="6">
        <f t="shared" si="522"/>
        <v>54441</v>
      </c>
      <c r="AA177" s="14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14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</row>
    <row r="178" spans="1:68" x14ac:dyDescent="0.25">
      <c r="A178" s="3">
        <v>84</v>
      </c>
      <c r="B178" s="3" t="s">
        <v>336</v>
      </c>
      <c r="C178" s="36" t="s">
        <v>182</v>
      </c>
      <c r="D178" s="3" t="s">
        <v>322</v>
      </c>
      <c r="E178" s="4">
        <f t="shared" si="667"/>
        <v>54600</v>
      </c>
      <c r="F178" s="6">
        <f t="shared" si="645"/>
        <v>54601</v>
      </c>
      <c r="G178" s="6">
        <f t="shared" si="660"/>
        <v>54603</v>
      </c>
      <c r="H178" s="6">
        <f t="shared" si="661"/>
        <v>54605</v>
      </c>
      <c r="I178" s="6">
        <f t="shared" ref="I178:J178" si="670">H178+H$6</f>
        <v>54607</v>
      </c>
      <c r="J178" s="6">
        <f t="shared" si="670"/>
        <v>54609</v>
      </c>
      <c r="K178" s="6">
        <f t="shared" si="663"/>
        <v>54611</v>
      </c>
      <c r="L178" s="6">
        <f t="shared" si="664"/>
        <v>54613</v>
      </c>
      <c r="M178" s="6">
        <f t="shared" si="665"/>
        <v>54615</v>
      </c>
      <c r="N178" s="6">
        <f t="shared" ref="N178:X178" si="671">M178+M$6</f>
        <v>54617</v>
      </c>
      <c r="O178" s="6">
        <f t="shared" si="671"/>
        <v>54619</v>
      </c>
      <c r="P178" s="6">
        <f t="shared" si="671"/>
        <v>54621</v>
      </c>
      <c r="Q178" s="6">
        <f t="shared" si="666"/>
        <v>54623</v>
      </c>
      <c r="R178" s="6">
        <f t="shared" si="666"/>
        <v>54625</v>
      </c>
      <c r="S178" s="6">
        <f t="shared" si="671"/>
        <v>54627</v>
      </c>
      <c r="T178" s="6">
        <f t="shared" si="671"/>
        <v>54629</v>
      </c>
      <c r="U178" s="6">
        <f t="shared" si="671"/>
        <v>54631</v>
      </c>
      <c r="V178" s="6">
        <f t="shared" si="671"/>
        <v>54633</v>
      </c>
      <c r="W178" s="6">
        <f t="shared" si="671"/>
        <v>54635</v>
      </c>
      <c r="X178" s="6">
        <f t="shared" si="671"/>
        <v>54637</v>
      </c>
      <c r="Y178" s="6">
        <f t="shared" si="649"/>
        <v>54639</v>
      </c>
      <c r="Z178" s="6">
        <f t="shared" si="522"/>
        <v>54641</v>
      </c>
      <c r="AA178" s="14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14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</row>
    <row r="179" spans="1:68" x14ac:dyDescent="0.25">
      <c r="A179" s="3">
        <v>85</v>
      </c>
      <c r="B179" s="3" t="s">
        <v>336</v>
      </c>
      <c r="C179" s="36" t="s">
        <v>183</v>
      </c>
      <c r="D179" s="3" t="s">
        <v>322</v>
      </c>
      <c r="E179" s="4">
        <f t="shared" si="667"/>
        <v>54800</v>
      </c>
      <c r="F179" s="6">
        <f t="shared" si="645"/>
        <v>54801</v>
      </c>
      <c r="G179" s="6">
        <f t="shared" si="660"/>
        <v>54803</v>
      </c>
      <c r="H179" s="6">
        <f t="shared" si="661"/>
        <v>54805</v>
      </c>
      <c r="I179" s="6">
        <f t="shared" ref="I179:J179" si="672">H179+H$6</f>
        <v>54807</v>
      </c>
      <c r="J179" s="6">
        <f t="shared" si="672"/>
        <v>54809</v>
      </c>
      <c r="K179" s="6">
        <f t="shared" si="663"/>
        <v>54811</v>
      </c>
      <c r="L179" s="6">
        <f t="shared" si="664"/>
        <v>54813</v>
      </c>
      <c r="M179" s="6">
        <f t="shared" si="665"/>
        <v>54815</v>
      </c>
      <c r="N179" s="6">
        <f t="shared" ref="N179:X179" si="673">M179+M$6</f>
        <v>54817</v>
      </c>
      <c r="O179" s="6">
        <f t="shared" si="673"/>
        <v>54819</v>
      </c>
      <c r="P179" s="6">
        <f t="shared" si="673"/>
        <v>54821</v>
      </c>
      <c r="Q179" s="6">
        <f t="shared" si="666"/>
        <v>54823</v>
      </c>
      <c r="R179" s="6">
        <f t="shared" si="666"/>
        <v>54825</v>
      </c>
      <c r="S179" s="6">
        <f t="shared" si="673"/>
        <v>54827</v>
      </c>
      <c r="T179" s="6">
        <f t="shared" si="673"/>
        <v>54829</v>
      </c>
      <c r="U179" s="6">
        <f t="shared" si="673"/>
        <v>54831</v>
      </c>
      <c r="V179" s="6">
        <f t="shared" si="673"/>
        <v>54833</v>
      </c>
      <c r="W179" s="6">
        <f t="shared" si="673"/>
        <v>54835</v>
      </c>
      <c r="X179" s="6">
        <f t="shared" si="673"/>
        <v>54837</v>
      </c>
      <c r="Y179" s="6">
        <f t="shared" si="649"/>
        <v>54839</v>
      </c>
      <c r="Z179" s="6">
        <f t="shared" si="522"/>
        <v>54841</v>
      </c>
      <c r="AA179" s="14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14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</row>
    <row r="180" spans="1:68" x14ac:dyDescent="0.25">
      <c r="A180" s="3">
        <v>86</v>
      </c>
      <c r="B180" s="3" t="s">
        <v>336</v>
      </c>
      <c r="C180" s="36" t="s">
        <v>184</v>
      </c>
      <c r="D180" s="3" t="s">
        <v>322</v>
      </c>
      <c r="E180" s="4">
        <f t="shared" si="667"/>
        <v>55000</v>
      </c>
      <c r="F180" s="6">
        <f t="shared" si="645"/>
        <v>55001</v>
      </c>
      <c r="G180" s="6">
        <f t="shared" si="660"/>
        <v>55003</v>
      </c>
      <c r="H180" s="6">
        <f t="shared" si="661"/>
        <v>55005</v>
      </c>
      <c r="I180" s="6">
        <f t="shared" ref="I180:J180" si="674">H180+H$6</f>
        <v>55007</v>
      </c>
      <c r="J180" s="6">
        <f t="shared" si="674"/>
        <v>55009</v>
      </c>
      <c r="K180" s="6">
        <f t="shared" si="663"/>
        <v>55011</v>
      </c>
      <c r="L180" s="6">
        <f t="shared" si="664"/>
        <v>55013</v>
      </c>
      <c r="M180" s="6">
        <f t="shared" si="665"/>
        <v>55015</v>
      </c>
      <c r="N180" s="6">
        <f t="shared" ref="N180:X180" si="675">M180+M$6</f>
        <v>55017</v>
      </c>
      <c r="O180" s="6">
        <f t="shared" si="675"/>
        <v>55019</v>
      </c>
      <c r="P180" s="6">
        <f t="shared" si="675"/>
        <v>55021</v>
      </c>
      <c r="Q180" s="6">
        <f>P180+P$6</f>
        <v>55023</v>
      </c>
      <c r="R180" s="6">
        <f>Q180+Q$6</f>
        <v>55025</v>
      </c>
      <c r="S180" s="6">
        <f t="shared" si="675"/>
        <v>55027</v>
      </c>
      <c r="T180" s="6">
        <f t="shared" si="675"/>
        <v>55029</v>
      </c>
      <c r="U180" s="6">
        <f t="shared" si="675"/>
        <v>55031</v>
      </c>
      <c r="V180" s="6">
        <f t="shared" si="675"/>
        <v>55033</v>
      </c>
      <c r="W180" s="6">
        <f t="shared" si="675"/>
        <v>55035</v>
      </c>
      <c r="X180" s="6">
        <f t="shared" si="675"/>
        <v>55037</v>
      </c>
      <c r="Y180" s="6">
        <f t="shared" si="649"/>
        <v>55039</v>
      </c>
      <c r="Z180" s="6">
        <f t="shared" si="522"/>
        <v>55041</v>
      </c>
      <c r="AA180" s="14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14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</row>
    <row r="181" spans="1:68" x14ac:dyDescent="0.25">
      <c r="A181" s="3">
        <v>87</v>
      </c>
      <c r="B181" s="3" t="s">
        <v>336</v>
      </c>
      <c r="C181" s="3" t="s">
        <v>241</v>
      </c>
      <c r="D181" s="3" t="s">
        <v>294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</row>
    <row r="182" spans="1:68" x14ac:dyDescent="0.25">
      <c r="A182" s="3">
        <v>88</v>
      </c>
      <c r="B182" s="3" t="s">
        <v>336</v>
      </c>
      <c r="C182" s="3" t="s">
        <v>242</v>
      </c>
      <c r="D182" s="3" t="s">
        <v>333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</row>
    <row r="183" spans="1:68" x14ac:dyDescent="0.25">
      <c r="A183" s="3">
        <v>89</v>
      </c>
      <c r="B183" s="3" t="s">
        <v>336</v>
      </c>
      <c r="C183" s="3" t="s">
        <v>243</v>
      </c>
      <c r="D183" s="3" t="s">
        <v>334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</row>
    <row r="184" spans="1:68" x14ac:dyDescent="0.25">
      <c r="A184" s="3">
        <v>90</v>
      </c>
      <c r="B184" s="3" t="s">
        <v>336</v>
      </c>
      <c r="C184" s="3" t="s">
        <v>244</v>
      </c>
      <c r="D184" s="3" t="s">
        <v>323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</row>
    <row r="185" spans="1:68" x14ac:dyDescent="0.25">
      <c r="A185" s="3">
        <v>91</v>
      </c>
      <c r="B185" s="3" t="s">
        <v>336</v>
      </c>
      <c r="C185" s="3" t="s">
        <v>615</v>
      </c>
      <c r="D185" s="3" t="s">
        <v>299</v>
      </c>
      <c r="E185" s="4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</row>
    <row r="186" spans="1:68" s="15" customFormat="1" x14ac:dyDescent="0.25">
      <c r="A186" s="11">
        <v>1</v>
      </c>
      <c r="B186" s="11" t="s">
        <v>337</v>
      </c>
      <c r="C186" s="8" t="s">
        <v>1</v>
      </c>
      <c r="D186" s="11" t="s">
        <v>275</v>
      </c>
      <c r="E186" s="16">
        <f>E95</f>
        <v>40000</v>
      </c>
      <c r="F186" s="14">
        <f t="shared" ref="F186:F197" si="676">E186+1</f>
        <v>40001</v>
      </c>
      <c r="G186" s="14">
        <f t="shared" si="660"/>
        <v>40003</v>
      </c>
      <c r="H186" s="14">
        <f t="shared" si="661"/>
        <v>40005</v>
      </c>
      <c r="I186" s="14">
        <f>H186+H$6</f>
        <v>40007</v>
      </c>
      <c r="J186" s="14">
        <f>I186+I$6</f>
        <v>40009</v>
      </c>
      <c r="K186" s="14">
        <f t="shared" si="663"/>
        <v>40011</v>
      </c>
      <c r="L186" s="14">
        <f t="shared" si="664"/>
        <v>40013</v>
      </c>
      <c r="M186" s="14">
        <f t="shared" si="665"/>
        <v>40015</v>
      </c>
      <c r="N186" s="14">
        <f t="shared" ref="N186:X186" si="677">M186+M$6</f>
        <v>40017</v>
      </c>
      <c r="O186" s="14">
        <f t="shared" si="677"/>
        <v>40019</v>
      </c>
      <c r="P186" s="14">
        <f t="shared" si="677"/>
        <v>40021</v>
      </c>
      <c r="Q186" s="14">
        <f>P186+P$6</f>
        <v>40023</v>
      </c>
      <c r="R186" s="14">
        <f>Q186+Q$6</f>
        <v>40025</v>
      </c>
      <c r="S186" s="14">
        <f t="shared" si="677"/>
        <v>40027</v>
      </c>
      <c r="T186" s="14">
        <f t="shared" si="677"/>
        <v>40029</v>
      </c>
      <c r="U186" s="14">
        <f t="shared" si="677"/>
        <v>40031</v>
      </c>
      <c r="V186" s="14">
        <f t="shared" si="677"/>
        <v>40033</v>
      </c>
      <c r="W186" s="14">
        <f t="shared" si="677"/>
        <v>40035</v>
      </c>
      <c r="X186" s="14">
        <f t="shared" si="677"/>
        <v>40037</v>
      </c>
      <c r="Y186" s="14">
        <f t="shared" ref="Y186:Z232" si="678">X186+X$6</f>
        <v>40039</v>
      </c>
      <c r="Z186" s="14"/>
      <c r="AA186" s="14">
        <f t="shared" ref="AA186:AA197" si="679">Y186+$Z$6+$Y$6</f>
        <v>40043</v>
      </c>
      <c r="AB186" s="14">
        <f t="shared" ref="AB186" si="680">AA186+AA$6</f>
        <v>40045</v>
      </c>
      <c r="AC186" s="14">
        <f t="shared" ref="AC186" si="681">AB186+AB$6</f>
        <v>40047</v>
      </c>
      <c r="AD186" s="14">
        <f t="shared" ref="AD186" si="682">AC186+AC$6</f>
        <v>40049</v>
      </c>
      <c r="AE186" s="14">
        <f t="shared" ref="AE186" si="683">AD186+AD$6</f>
        <v>40051</v>
      </c>
      <c r="AF186" s="14">
        <f t="shared" ref="AF186" si="684">AE186+AE$6</f>
        <v>40053</v>
      </c>
      <c r="AG186" s="14">
        <f t="shared" ref="AG186" si="685">AF186+AF$6</f>
        <v>40055</v>
      </c>
      <c r="AH186" s="14">
        <f t="shared" ref="AH186" si="686">AG186+AG$6</f>
        <v>40057</v>
      </c>
      <c r="AI186" s="14">
        <f t="shared" ref="AI186" si="687">AH186+AH$6</f>
        <v>40059</v>
      </c>
      <c r="AJ186" s="14">
        <f t="shared" ref="AJ186" si="688">AI186+AI$6</f>
        <v>40061</v>
      </c>
      <c r="AK186" s="14">
        <f t="shared" ref="AK186" si="689">AJ186+AJ$6</f>
        <v>40063</v>
      </c>
      <c r="AL186" s="14">
        <f t="shared" ref="AL186" si="690">AK186+AK$6</f>
        <v>40065</v>
      </c>
      <c r="AM186" s="14">
        <f t="shared" ref="AM186" si="691">AL186+AL$6</f>
        <v>40067</v>
      </c>
      <c r="AN186" s="14">
        <f t="shared" ref="AN186" si="692">AM186+AM$6</f>
        <v>40069</v>
      </c>
      <c r="AO186" s="14">
        <f t="shared" ref="AO186" si="693">AN186+AN$6</f>
        <v>40071</v>
      </c>
      <c r="AP186" s="14">
        <f t="shared" ref="AP186" si="694">AO186+AO$6</f>
        <v>40073</v>
      </c>
      <c r="AQ186" s="14">
        <f t="shared" ref="AQ186" si="695">AP186+AP$6</f>
        <v>40075</v>
      </c>
      <c r="AR186" s="14">
        <f t="shared" ref="AR186" si="696">AQ186+AQ$6</f>
        <v>40077</v>
      </c>
      <c r="AS186" s="14">
        <f>AR186+AR$6</f>
        <v>40079</v>
      </c>
      <c r="AT186" s="14">
        <f t="shared" ref="AT186" si="697">AS186+AS$6</f>
        <v>40081</v>
      </c>
      <c r="AU186" s="14">
        <f t="shared" ref="AU186" si="698">AT186+AT$6</f>
        <v>40083</v>
      </c>
      <c r="AV186" s="14">
        <f t="shared" ref="AV186" si="699">AU186+AU$6</f>
        <v>40085</v>
      </c>
      <c r="AW186" s="14">
        <f t="shared" ref="AW186" si="700">AV186+AV$6</f>
        <v>40087</v>
      </c>
      <c r="AX186" s="14">
        <f t="shared" ref="AX186" si="701">AW186+AW$6</f>
        <v>40089</v>
      </c>
      <c r="AY186" s="14">
        <f t="shared" ref="AY186" si="702">AX186+AX$6</f>
        <v>40091</v>
      </c>
      <c r="AZ186" s="14">
        <f t="shared" ref="AZ186" si="703">AY186+AY$6</f>
        <v>40093</v>
      </c>
      <c r="BA186" s="14">
        <f t="shared" ref="BA186" si="704">AZ186+AZ$6</f>
        <v>40095</v>
      </c>
      <c r="BB186" s="14">
        <f t="shared" ref="BB186" si="705">BA186+BA$6</f>
        <v>40097</v>
      </c>
      <c r="BC186" s="14">
        <f t="shared" ref="BC186" si="706">BB186+BB$6</f>
        <v>40099</v>
      </c>
      <c r="BD186" s="14">
        <f t="shared" ref="BD186" si="707">BC186+BC$6</f>
        <v>40101</v>
      </c>
      <c r="BE186" s="14">
        <f t="shared" ref="BE186" si="708">BD186+BD$6</f>
        <v>40103</v>
      </c>
      <c r="BF186" s="14">
        <f t="shared" ref="BF186" si="709">BE186+BE$6</f>
        <v>40105</v>
      </c>
      <c r="BG186" s="14">
        <f t="shared" ref="BG186" si="710">BF186+BF$6</f>
        <v>40107</v>
      </c>
      <c r="BH186" s="14">
        <f t="shared" ref="BH186" si="711">BG186+BG$6</f>
        <v>40109</v>
      </c>
      <c r="BI186" s="14">
        <f t="shared" ref="BI186" si="712">BH186+BH$6</f>
        <v>40111</v>
      </c>
      <c r="BJ186" s="14">
        <f t="shared" ref="BJ186" si="713">BI186+BI$6</f>
        <v>40113</v>
      </c>
      <c r="BK186" s="14">
        <f t="shared" ref="BK186" si="714">BJ186+BJ$6</f>
        <v>40115</v>
      </c>
      <c r="BL186" s="14">
        <f t="shared" ref="BL186:BP186" si="715">BK186+BK$6</f>
        <v>40117</v>
      </c>
      <c r="BM186" s="14">
        <f t="shared" si="715"/>
        <v>40119</v>
      </c>
      <c r="BN186" s="14">
        <f t="shared" si="715"/>
        <v>40121</v>
      </c>
      <c r="BO186" s="14">
        <f t="shared" si="715"/>
        <v>40123</v>
      </c>
      <c r="BP186" s="14">
        <f t="shared" si="715"/>
        <v>40125</v>
      </c>
    </row>
    <row r="187" spans="1:68" x14ac:dyDescent="0.25">
      <c r="A187" s="3">
        <v>2</v>
      </c>
      <c r="B187" s="3" t="s">
        <v>337</v>
      </c>
      <c r="C187" s="3" t="s">
        <v>276</v>
      </c>
      <c r="D187" s="3" t="s">
        <v>277</v>
      </c>
      <c r="E187" s="4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</row>
    <row r="188" spans="1:68" x14ac:dyDescent="0.25">
      <c r="A188" s="3">
        <v>3</v>
      </c>
      <c r="B188" s="3" t="s">
        <v>337</v>
      </c>
      <c r="C188" s="34" t="s">
        <v>22</v>
      </c>
      <c r="D188" s="4" t="s">
        <v>278</v>
      </c>
      <c r="E188" s="4">
        <f>E186+$E$2</f>
        <v>40200</v>
      </c>
      <c r="F188" s="6">
        <f t="shared" si="676"/>
        <v>40201</v>
      </c>
      <c r="G188" s="6">
        <f t="shared" ref="G188:G197" si="716">F188+F$6</f>
        <v>40203</v>
      </c>
      <c r="H188" s="6">
        <f t="shared" ref="H188:H197" si="717">G188+G$6</f>
        <v>40205</v>
      </c>
      <c r="I188" s="6">
        <f t="shared" ref="I188:J188" si="718">H188+H$6</f>
        <v>40207</v>
      </c>
      <c r="J188" s="6">
        <f t="shared" si="718"/>
        <v>40209</v>
      </c>
      <c r="K188" s="6">
        <f t="shared" ref="K188:K197" si="719">J188+J$6</f>
        <v>40211</v>
      </c>
      <c r="L188" s="6">
        <f t="shared" ref="L188:L197" si="720">K188+K$6</f>
        <v>40213</v>
      </c>
      <c r="M188" s="6">
        <f t="shared" ref="M188:M197" si="721">L188+L$6</f>
        <v>40215</v>
      </c>
      <c r="N188" s="6">
        <f t="shared" ref="N188:X188" si="722">M188+M$6</f>
        <v>40217</v>
      </c>
      <c r="O188" s="6">
        <f t="shared" si="722"/>
        <v>40219</v>
      </c>
      <c r="P188" s="6">
        <f t="shared" si="722"/>
        <v>40221</v>
      </c>
      <c r="Q188" s="6">
        <f t="shared" ref="Q188:R188" si="723">P188+P$6</f>
        <v>40223</v>
      </c>
      <c r="R188" s="6">
        <f t="shared" si="723"/>
        <v>40225</v>
      </c>
      <c r="S188" s="6">
        <f t="shared" si="722"/>
        <v>40227</v>
      </c>
      <c r="T188" s="6">
        <f t="shared" si="722"/>
        <v>40229</v>
      </c>
      <c r="U188" s="6">
        <f t="shared" si="722"/>
        <v>40231</v>
      </c>
      <c r="V188" s="6">
        <f t="shared" si="722"/>
        <v>40233</v>
      </c>
      <c r="W188" s="6">
        <f t="shared" si="722"/>
        <v>40235</v>
      </c>
      <c r="X188" s="6">
        <f t="shared" si="722"/>
        <v>40237</v>
      </c>
      <c r="Y188" s="6">
        <f t="shared" si="678"/>
        <v>40239</v>
      </c>
      <c r="Z188" s="6"/>
      <c r="AA188" s="14">
        <f t="shared" si="679"/>
        <v>40243</v>
      </c>
      <c r="AB188" s="6">
        <f t="shared" ref="AB188:AB197" si="724">AA188+AA$6</f>
        <v>40245</v>
      </c>
      <c r="AC188" s="6">
        <f t="shared" ref="AC188:AC197" si="725">AB188+AB$6</f>
        <v>40247</v>
      </c>
      <c r="AD188" s="6">
        <f t="shared" ref="AD188:AD197" si="726">AC188+AC$6</f>
        <v>40249</v>
      </c>
      <c r="AE188" s="6">
        <f t="shared" ref="AE188:AE197" si="727">AD188+AD$6</f>
        <v>40251</v>
      </c>
      <c r="AF188" s="6">
        <f t="shared" ref="AF188:AF197" si="728">AE188+AE$6</f>
        <v>40253</v>
      </c>
      <c r="AG188" s="6">
        <f t="shared" ref="AG188:AG197" si="729">AF188+AF$6</f>
        <v>40255</v>
      </c>
      <c r="AH188" s="6">
        <f t="shared" ref="AH188:AH197" si="730">AG188+AG$6</f>
        <v>40257</v>
      </c>
      <c r="AI188" s="6">
        <f t="shared" ref="AI188:AI197" si="731">AH188+AH$6</f>
        <v>40259</v>
      </c>
      <c r="AJ188" s="6">
        <f t="shared" ref="AJ188:AJ197" si="732">AI188+AI$6</f>
        <v>40261</v>
      </c>
      <c r="AK188" s="6">
        <f t="shared" ref="AK188:AK197" si="733">AJ188+AJ$6</f>
        <v>40263</v>
      </c>
      <c r="AL188" s="6">
        <f t="shared" ref="AL188:AL197" si="734">AK188+AK$6</f>
        <v>40265</v>
      </c>
      <c r="AM188" s="6">
        <f t="shared" ref="AM188:AM197" si="735">AL188+AL$6</f>
        <v>40267</v>
      </c>
      <c r="AN188" s="6">
        <f t="shared" ref="AN188:AN197" si="736">AM188+AM$6</f>
        <v>40269</v>
      </c>
      <c r="AO188" s="6">
        <f t="shared" ref="AO188:AO197" si="737">AN188+AN$6</f>
        <v>40271</v>
      </c>
      <c r="AP188" s="6">
        <f t="shared" ref="AP188:AP197" si="738">AO188+AO$6</f>
        <v>40273</v>
      </c>
      <c r="AQ188" s="6">
        <f t="shared" ref="AQ188:AQ197" si="739">AP188+AP$6</f>
        <v>40275</v>
      </c>
      <c r="AR188" s="6">
        <f t="shared" ref="AR188:AR197" si="740">AQ188+AQ$6</f>
        <v>40277</v>
      </c>
      <c r="AS188" s="14">
        <f t="shared" ref="AS188:AS197" si="741">AR188+AR$6</f>
        <v>40279</v>
      </c>
      <c r="AT188" s="6">
        <f t="shared" ref="AT188:AT197" si="742">AS188+AS$6</f>
        <v>40281</v>
      </c>
      <c r="AU188" s="6">
        <f t="shared" ref="AU188:AU197" si="743">AT188+AT$6</f>
        <v>40283</v>
      </c>
      <c r="AV188" s="6">
        <f t="shared" ref="AV188:AV197" si="744">AU188+AU$6</f>
        <v>40285</v>
      </c>
      <c r="AW188" s="6">
        <f t="shared" ref="AW188:AW197" si="745">AV188+AV$6</f>
        <v>40287</v>
      </c>
      <c r="AX188" s="6">
        <f t="shared" ref="AX188:AX197" si="746">AW188+AW$6</f>
        <v>40289</v>
      </c>
      <c r="AY188" s="6">
        <f t="shared" ref="AY188:AY197" si="747">AX188+AX$6</f>
        <v>40291</v>
      </c>
      <c r="AZ188" s="6">
        <f t="shared" ref="AZ188:AZ197" si="748">AY188+AY$6</f>
        <v>40293</v>
      </c>
      <c r="BA188" s="6">
        <f t="shared" ref="BA188:BA197" si="749">AZ188+AZ$6</f>
        <v>40295</v>
      </c>
      <c r="BB188" s="6">
        <f t="shared" ref="BB188:BB197" si="750">BA188+BA$6</f>
        <v>40297</v>
      </c>
      <c r="BC188" s="6">
        <f t="shared" ref="BC188:BC197" si="751">BB188+BB$6</f>
        <v>40299</v>
      </c>
      <c r="BD188" s="6">
        <f t="shared" ref="BD188:BD197" si="752">BC188+BC$6</f>
        <v>40301</v>
      </c>
      <c r="BE188" s="6">
        <f t="shared" ref="BE188:BE197" si="753">BD188+BD$6</f>
        <v>40303</v>
      </c>
      <c r="BF188" s="6">
        <f t="shared" ref="BF188:BF197" si="754">BE188+BE$6</f>
        <v>40305</v>
      </c>
      <c r="BG188" s="6">
        <f t="shared" ref="BG188:BG197" si="755">BF188+BF$6</f>
        <v>40307</v>
      </c>
      <c r="BH188" s="6">
        <f t="shared" ref="BH188:BH197" si="756">BG188+BG$6</f>
        <v>40309</v>
      </c>
      <c r="BI188" s="6">
        <f t="shared" ref="BI188:BI197" si="757">BH188+BH$6</f>
        <v>40311</v>
      </c>
      <c r="BJ188" s="6">
        <f t="shared" ref="BJ188:BJ197" si="758">BI188+BI$6</f>
        <v>40313</v>
      </c>
      <c r="BK188" s="6">
        <f t="shared" ref="BK188:BK197" si="759">BJ188+BJ$6</f>
        <v>40315</v>
      </c>
      <c r="BL188" s="6">
        <f t="shared" ref="BL188:BP188" si="760">BK188+BK$6</f>
        <v>40317</v>
      </c>
      <c r="BM188" s="6">
        <f t="shared" si="760"/>
        <v>40319</v>
      </c>
      <c r="BN188" s="6">
        <f t="shared" si="760"/>
        <v>40321</v>
      </c>
      <c r="BO188" s="6">
        <f t="shared" si="760"/>
        <v>40323</v>
      </c>
      <c r="BP188" s="6">
        <f t="shared" si="760"/>
        <v>40325</v>
      </c>
    </row>
    <row r="189" spans="1:68" x14ac:dyDescent="0.25">
      <c r="A189" s="3">
        <v>4</v>
      </c>
      <c r="B189" s="3" t="s">
        <v>337</v>
      </c>
      <c r="C189" s="8" t="s">
        <v>43</v>
      </c>
      <c r="D189" s="3" t="s">
        <v>279</v>
      </c>
      <c r="E189" s="4">
        <f t="shared" ref="E189:E232" si="761">E188+$E$2</f>
        <v>40400</v>
      </c>
      <c r="F189" s="6">
        <f t="shared" si="676"/>
        <v>40401</v>
      </c>
      <c r="G189" s="6">
        <f t="shared" si="716"/>
        <v>40403</v>
      </c>
      <c r="H189" s="6">
        <f t="shared" si="717"/>
        <v>40405</v>
      </c>
      <c r="I189" s="6">
        <f t="shared" ref="I189:J189" si="762">H189+H$6</f>
        <v>40407</v>
      </c>
      <c r="J189" s="6">
        <f t="shared" si="762"/>
        <v>40409</v>
      </c>
      <c r="K189" s="6">
        <f t="shared" si="719"/>
        <v>40411</v>
      </c>
      <c r="L189" s="6">
        <f t="shared" si="720"/>
        <v>40413</v>
      </c>
      <c r="M189" s="6">
        <f t="shared" si="721"/>
        <v>40415</v>
      </c>
      <c r="N189" s="6">
        <f t="shared" ref="N189:X204" si="763">M189+M$6</f>
        <v>40417</v>
      </c>
      <c r="O189" s="6">
        <f t="shared" si="763"/>
        <v>40419</v>
      </c>
      <c r="P189" s="6">
        <f t="shared" si="763"/>
        <v>40421</v>
      </c>
      <c r="Q189" s="6">
        <f t="shared" si="763"/>
        <v>40423</v>
      </c>
      <c r="R189" s="6">
        <f t="shared" si="763"/>
        <v>40425</v>
      </c>
      <c r="S189" s="6">
        <f t="shared" si="763"/>
        <v>40427</v>
      </c>
      <c r="T189" s="6">
        <f t="shared" si="763"/>
        <v>40429</v>
      </c>
      <c r="U189" s="6">
        <f t="shared" si="763"/>
        <v>40431</v>
      </c>
      <c r="V189" s="6">
        <f t="shared" si="763"/>
        <v>40433</v>
      </c>
      <c r="W189" s="6">
        <f t="shared" si="763"/>
        <v>40435</v>
      </c>
      <c r="X189" s="6">
        <f t="shared" si="763"/>
        <v>40437</v>
      </c>
      <c r="Y189" s="6">
        <f t="shared" si="678"/>
        <v>40439</v>
      </c>
      <c r="Z189" s="6"/>
      <c r="AA189" s="14">
        <f t="shared" si="679"/>
        <v>40443</v>
      </c>
      <c r="AB189" s="6">
        <f t="shared" si="724"/>
        <v>40445</v>
      </c>
      <c r="AC189" s="6">
        <f t="shared" si="725"/>
        <v>40447</v>
      </c>
      <c r="AD189" s="6">
        <f t="shared" si="726"/>
        <v>40449</v>
      </c>
      <c r="AE189" s="6">
        <f t="shared" si="727"/>
        <v>40451</v>
      </c>
      <c r="AF189" s="6">
        <f t="shared" si="728"/>
        <v>40453</v>
      </c>
      <c r="AG189" s="6">
        <f t="shared" si="729"/>
        <v>40455</v>
      </c>
      <c r="AH189" s="6">
        <f t="shared" si="730"/>
        <v>40457</v>
      </c>
      <c r="AI189" s="6">
        <f t="shared" si="731"/>
        <v>40459</v>
      </c>
      <c r="AJ189" s="6">
        <f t="shared" si="732"/>
        <v>40461</v>
      </c>
      <c r="AK189" s="6">
        <f t="shared" si="733"/>
        <v>40463</v>
      </c>
      <c r="AL189" s="6">
        <f t="shared" si="734"/>
        <v>40465</v>
      </c>
      <c r="AM189" s="6">
        <f t="shared" si="735"/>
        <v>40467</v>
      </c>
      <c r="AN189" s="6">
        <f t="shared" si="736"/>
        <v>40469</v>
      </c>
      <c r="AO189" s="6">
        <f t="shared" si="737"/>
        <v>40471</v>
      </c>
      <c r="AP189" s="6">
        <f t="shared" si="738"/>
        <v>40473</v>
      </c>
      <c r="AQ189" s="6">
        <f t="shared" si="739"/>
        <v>40475</v>
      </c>
      <c r="AR189" s="6">
        <f t="shared" si="740"/>
        <v>40477</v>
      </c>
      <c r="AS189" s="14">
        <f t="shared" si="741"/>
        <v>40479</v>
      </c>
      <c r="AT189" s="6">
        <f t="shared" si="742"/>
        <v>40481</v>
      </c>
      <c r="AU189" s="6">
        <f t="shared" si="743"/>
        <v>40483</v>
      </c>
      <c r="AV189" s="6">
        <f t="shared" si="744"/>
        <v>40485</v>
      </c>
      <c r="AW189" s="6">
        <f t="shared" si="745"/>
        <v>40487</v>
      </c>
      <c r="AX189" s="6">
        <f t="shared" si="746"/>
        <v>40489</v>
      </c>
      <c r="AY189" s="6">
        <f t="shared" si="747"/>
        <v>40491</v>
      </c>
      <c r="AZ189" s="6">
        <f t="shared" si="748"/>
        <v>40493</v>
      </c>
      <c r="BA189" s="6">
        <f t="shared" si="749"/>
        <v>40495</v>
      </c>
      <c r="BB189" s="6">
        <f t="shared" si="750"/>
        <v>40497</v>
      </c>
      <c r="BC189" s="6">
        <f t="shared" si="751"/>
        <v>40499</v>
      </c>
      <c r="BD189" s="6">
        <f t="shared" si="752"/>
        <v>40501</v>
      </c>
      <c r="BE189" s="6">
        <f t="shared" si="753"/>
        <v>40503</v>
      </c>
      <c r="BF189" s="6">
        <f t="shared" si="754"/>
        <v>40505</v>
      </c>
      <c r="BG189" s="6">
        <f t="shared" si="755"/>
        <v>40507</v>
      </c>
      <c r="BH189" s="6">
        <f t="shared" si="756"/>
        <v>40509</v>
      </c>
      <c r="BI189" s="6">
        <f t="shared" si="757"/>
        <v>40511</v>
      </c>
      <c r="BJ189" s="6">
        <f t="shared" si="758"/>
        <v>40513</v>
      </c>
      <c r="BK189" s="6">
        <f t="shared" si="759"/>
        <v>40515</v>
      </c>
      <c r="BL189" s="6">
        <f t="shared" ref="BL189:BP189" si="764">BK189+BK$6</f>
        <v>40517</v>
      </c>
      <c r="BM189" s="6">
        <f t="shared" si="764"/>
        <v>40519</v>
      </c>
      <c r="BN189" s="6">
        <f t="shared" si="764"/>
        <v>40521</v>
      </c>
      <c r="BO189" s="6">
        <f t="shared" si="764"/>
        <v>40523</v>
      </c>
      <c r="BP189" s="6">
        <f t="shared" si="764"/>
        <v>40525</v>
      </c>
    </row>
    <row r="190" spans="1:68" x14ac:dyDescent="0.25">
      <c r="A190" s="3">
        <v>5</v>
      </c>
      <c r="B190" s="3" t="s">
        <v>337</v>
      </c>
      <c r="C190" s="8" t="s">
        <v>44</v>
      </c>
      <c r="D190" s="3" t="s">
        <v>280</v>
      </c>
      <c r="E190" s="4">
        <f t="shared" si="761"/>
        <v>40600</v>
      </c>
      <c r="F190" s="6">
        <f t="shared" si="676"/>
        <v>40601</v>
      </c>
      <c r="G190" s="6">
        <f t="shared" si="716"/>
        <v>40603</v>
      </c>
      <c r="H190" s="6">
        <f t="shared" si="717"/>
        <v>40605</v>
      </c>
      <c r="I190" s="6">
        <f t="shared" ref="I190:J190" si="765">H190+H$6</f>
        <v>40607</v>
      </c>
      <c r="J190" s="6">
        <f t="shared" si="765"/>
        <v>40609</v>
      </c>
      <c r="K190" s="6">
        <f t="shared" si="719"/>
        <v>40611</v>
      </c>
      <c r="L190" s="6">
        <f t="shared" si="720"/>
        <v>40613</v>
      </c>
      <c r="M190" s="6">
        <f t="shared" si="721"/>
        <v>40615</v>
      </c>
      <c r="N190" s="6">
        <f t="shared" ref="N190:X190" si="766">M190+M$6</f>
        <v>40617</v>
      </c>
      <c r="O190" s="6">
        <f t="shared" si="766"/>
        <v>40619</v>
      </c>
      <c r="P190" s="6">
        <f t="shared" si="766"/>
        <v>40621</v>
      </c>
      <c r="Q190" s="6">
        <f t="shared" si="763"/>
        <v>40623</v>
      </c>
      <c r="R190" s="6">
        <f t="shared" si="763"/>
        <v>40625</v>
      </c>
      <c r="S190" s="6">
        <f t="shared" si="766"/>
        <v>40627</v>
      </c>
      <c r="T190" s="6">
        <f t="shared" si="766"/>
        <v>40629</v>
      </c>
      <c r="U190" s="6">
        <f t="shared" si="766"/>
        <v>40631</v>
      </c>
      <c r="V190" s="6">
        <f t="shared" si="766"/>
        <v>40633</v>
      </c>
      <c r="W190" s="6">
        <f t="shared" si="766"/>
        <v>40635</v>
      </c>
      <c r="X190" s="6">
        <f t="shared" si="766"/>
        <v>40637</v>
      </c>
      <c r="Y190" s="6">
        <f t="shared" si="678"/>
        <v>40639</v>
      </c>
      <c r="Z190" s="6"/>
      <c r="AA190" s="14">
        <f t="shared" si="679"/>
        <v>40643</v>
      </c>
      <c r="AB190" s="6">
        <f t="shared" si="724"/>
        <v>40645</v>
      </c>
      <c r="AC190" s="6">
        <f t="shared" si="725"/>
        <v>40647</v>
      </c>
      <c r="AD190" s="6">
        <f t="shared" si="726"/>
        <v>40649</v>
      </c>
      <c r="AE190" s="6">
        <f t="shared" si="727"/>
        <v>40651</v>
      </c>
      <c r="AF190" s="6">
        <f t="shared" si="728"/>
        <v>40653</v>
      </c>
      <c r="AG190" s="6">
        <f t="shared" si="729"/>
        <v>40655</v>
      </c>
      <c r="AH190" s="6">
        <f t="shared" si="730"/>
        <v>40657</v>
      </c>
      <c r="AI190" s="6">
        <f t="shared" si="731"/>
        <v>40659</v>
      </c>
      <c r="AJ190" s="6">
        <f t="shared" si="732"/>
        <v>40661</v>
      </c>
      <c r="AK190" s="6">
        <f t="shared" si="733"/>
        <v>40663</v>
      </c>
      <c r="AL190" s="6">
        <f t="shared" si="734"/>
        <v>40665</v>
      </c>
      <c r="AM190" s="6">
        <f t="shared" si="735"/>
        <v>40667</v>
      </c>
      <c r="AN190" s="6">
        <f t="shared" si="736"/>
        <v>40669</v>
      </c>
      <c r="AO190" s="6">
        <f t="shared" si="737"/>
        <v>40671</v>
      </c>
      <c r="AP190" s="6">
        <f t="shared" si="738"/>
        <v>40673</v>
      </c>
      <c r="AQ190" s="6">
        <f t="shared" si="739"/>
        <v>40675</v>
      </c>
      <c r="AR190" s="6">
        <f t="shared" si="740"/>
        <v>40677</v>
      </c>
      <c r="AS190" s="14">
        <f t="shared" si="741"/>
        <v>40679</v>
      </c>
      <c r="AT190" s="6">
        <f t="shared" si="742"/>
        <v>40681</v>
      </c>
      <c r="AU190" s="6">
        <f t="shared" si="743"/>
        <v>40683</v>
      </c>
      <c r="AV190" s="6">
        <f t="shared" si="744"/>
        <v>40685</v>
      </c>
      <c r="AW190" s="6">
        <f t="shared" si="745"/>
        <v>40687</v>
      </c>
      <c r="AX190" s="6">
        <f t="shared" si="746"/>
        <v>40689</v>
      </c>
      <c r="AY190" s="6">
        <f t="shared" si="747"/>
        <v>40691</v>
      </c>
      <c r="AZ190" s="6">
        <f t="shared" si="748"/>
        <v>40693</v>
      </c>
      <c r="BA190" s="6">
        <f t="shared" si="749"/>
        <v>40695</v>
      </c>
      <c r="BB190" s="6">
        <f t="shared" si="750"/>
        <v>40697</v>
      </c>
      <c r="BC190" s="6">
        <f t="shared" si="751"/>
        <v>40699</v>
      </c>
      <c r="BD190" s="6">
        <f t="shared" si="752"/>
        <v>40701</v>
      </c>
      <c r="BE190" s="6">
        <f t="shared" si="753"/>
        <v>40703</v>
      </c>
      <c r="BF190" s="6">
        <f t="shared" si="754"/>
        <v>40705</v>
      </c>
      <c r="BG190" s="6">
        <f t="shared" si="755"/>
        <v>40707</v>
      </c>
      <c r="BH190" s="6">
        <f t="shared" si="756"/>
        <v>40709</v>
      </c>
      <c r="BI190" s="6">
        <f t="shared" si="757"/>
        <v>40711</v>
      </c>
      <c r="BJ190" s="6">
        <f t="shared" si="758"/>
        <v>40713</v>
      </c>
      <c r="BK190" s="6">
        <f t="shared" si="759"/>
        <v>40715</v>
      </c>
      <c r="BL190" s="6">
        <f t="shared" ref="BL190:BP190" si="767">BK190+BK$6</f>
        <v>40717</v>
      </c>
      <c r="BM190" s="6">
        <f t="shared" si="767"/>
        <v>40719</v>
      </c>
      <c r="BN190" s="6">
        <f t="shared" si="767"/>
        <v>40721</v>
      </c>
      <c r="BO190" s="6">
        <f t="shared" si="767"/>
        <v>40723</v>
      </c>
      <c r="BP190" s="6">
        <f t="shared" si="767"/>
        <v>40725</v>
      </c>
    </row>
    <row r="191" spans="1:68" x14ac:dyDescent="0.25">
      <c r="A191" s="3">
        <v>6</v>
      </c>
      <c r="B191" s="3" t="s">
        <v>337</v>
      </c>
      <c r="C191" s="8" t="s">
        <v>45</v>
      </c>
      <c r="D191" s="3" t="s">
        <v>281</v>
      </c>
      <c r="E191" s="4">
        <f t="shared" si="761"/>
        <v>40800</v>
      </c>
      <c r="F191" s="6">
        <f t="shared" si="676"/>
        <v>40801</v>
      </c>
      <c r="G191" s="6">
        <f t="shared" si="716"/>
        <v>40803</v>
      </c>
      <c r="H191" s="6">
        <f t="shared" si="717"/>
        <v>40805</v>
      </c>
      <c r="I191" s="6">
        <f t="shared" ref="I191:J191" si="768">H191+H$6</f>
        <v>40807</v>
      </c>
      <c r="J191" s="6">
        <f t="shared" si="768"/>
        <v>40809</v>
      </c>
      <c r="K191" s="6">
        <f t="shared" si="719"/>
        <v>40811</v>
      </c>
      <c r="L191" s="6">
        <f t="shared" si="720"/>
        <v>40813</v>
      </c>
      <c r="M191" s="6">
        <f t="shared" si="721"/>
        <v>40815</v>
      </c>
      <c r="N191" s="6">
        <f t="shared" ref="N191:X191" si="769">M191+M$6</f>
        <v>40817</v>
      </c>
      <c r="O191" s="6">
        <f t="shared" si="769"/>
        <v>40819</v>
      </c>
      <c r="P191" s="6">
        <f t="shared" si="769"/>
        <v>40821</v>
      </c>
      <c r="Q191" s="6">
        <f t="shared" si="763"/>
        <v>40823</v>
      </c>
      <c r="R191" s="6">
        <f t="shared" si="763"/>
        <v>40825</v>
      </c>
      <c r="S191" s="6">
        <f t="shared" si="769"/>
        <v>40827</v>
      </c>
      <c r="T191" s="6">
        <f t="shared" si="769"/>
        <v>40829</v>
      </c>
      <c r="U191" s="6">
        <f t="shared" si="769"/>
        <v>40831</v>
      </c>
      <c r="V191" s="6">
        <f t="shared" si="769"/>
        <v>40833</v>
      </c>
      <c r="W191" s="6">
        <f t="shared" si="769"/>
        <v>40835</v>
      </c>
      <c r="X191" s="6">
        <f t="shared" si="769"/>
        <v>40837</v>
      </c>
      <c r="Y191" s="6">
        <f t="shared" si="678"/>
        <v>40839</v>
      </c>
      <c r="Z191" s="6"/>
      <c r="AA191" s="14">
        <f t="shared" si="679"/>
        <v>40843</v>
      </c>
      <c r="AB191" s="6">
        <f t="shared" si="724"/>
        <v>40845</v>
      </c>
      <c r="AC191" s="6">
        <f t="shared" si="725"/>
        <v>40847</v>
      </c>
      <c r="AD191" s="6">
        <f t="shared" si="726"/>
        <v>40849</v>
      </c>
      <c r="AE191" s="6">
        <f t="shared" si="727"/>
        <v>40851</v>
      </c>
      <c r="AF191" s="6">
        <f t="shared" si="728"/>
        <v>40853</v>
      </c>
      <c r="AG191" s="6">
        <f t="shared" si="729"/>
        <v>40855</v>
      </c>
      <c r="AH191" s="6">
        <f t="shared" si="730"/>
        <v>40857</v>
      </c>
      <c r="AI191" s="6">
        <f t="shared" si="731"/>
        <v>40859</v>
      </c>
      <c r="AJ191" s="6">
        <f t="shared" si="732"/>
        <v>40861</v>
      </c>
      <c r="AK191" s="6">
        <f t="shared" si="733"/>
        <v>40863</v>
      </c>
      <c r="AL191" s="6">
        <f t="shared" si="734"/>
        <v>40865</v>
      </c>
      <c r="AM191" s="6">
        <f t="shared" si="735"/>
        <v>40867</v>
      </c>
      <c r="AN191" s="6">
        <f t="shared" si="736"/>
        <v>40869</v>
      </c>
      <c r="AO191" s="6">
        <f t="shared" si="737"/>
        <v>40871</v>
      </c>
      <c r="AP191" s="6">
        <f t="shared" si="738"/>
        <v>40873</v>
      </c>
      <c r="AQ191" s="6">
        <f t="shared" si="739"/>
        <v>40875</v>
      </c>
      <c r="AR191" s="6">
        <f t="shared" si="740"/>
        <v>40877</v>
      </c>
      <c r="AS191" s="14">
        <f t="shared" si="741"/>
        <v>40879</v>
      </c>
      <c r="AT191" s="6">
        <f t="shared" si="742"/>
        <v>40881</v>
      </c>
      <c r="AU191" s="6">
        <f t="shared" si="743"/>
        <v>40883</v>
      </c>
      <c r="AV191" s="6">
        <f t="shared" si="744"/>
        <v>40885</v>
      </c>
      <c r="AW191" s="6">
        <f t="shared" si="745"/>
        <v>40887</v>
      </c>
      <c r="AX191" s="6">
        <f t="shared" si="746"/>
        <v>40889</v>
      </c>
      <c r="AY191" s="6">
        <f t="shared" si="747"/>
        <v>40891</v>
      </c>
      <c r="AZ191" s="6">
        <f t="shared" si="748"/>
        <v>40893</v>
      </c>
      <c r="BA191" s="6">
        <f t="shared" si="749"/>
        <v>40895</v>
      </c>
      <c r="BB191" s="6">
        <f t="shared" si="750"/>
        <v>40897</v>
      </c>
      <c r="BC191" s="6">
        <f t="shared" si="751"/>
        <v>40899</v>
      </c>
      <c r="BD191" s="6">
        <f t="shared" si="752"/>
        <v>40901</v>
      </c>
      <c r="BE191" s="6">
        <f t="shared" si="753"/>
        <v>40903</v>
      </c>
      <c r="BF191" s="6">
        <f t="shared" si="754"/>
        <v>40905</v>
      </c>
      <c r="BG191" s="6">
        <f t="shared" si="755"/>
        <v>40907</v>
      </c>
      <c r="BH191" s="6">
        <f t="shared" si="756"/>
        <v>40909</v>
      </c>
      <c r="BI191" s="6">
        <f t="shared" si="757"/>
        <v>40911</v>
      </c>
      <c r="BJ191" s="6">
        <f t="shared" si="758"/>
        <v>40913</v>
      </c>
      <c r="BK191" s="6">
        <f t="shared" si="759"/>
        <v>40915</v>
      </c>
      <c r="BL191" s="6">
        <f t="shared" ref="BL191:BP191" si="770">BK191+BK$6</f>
        <v>40917</v>
      </c>
      <c r="BM191" s="6">
        <f t="shared" si="770"/>
        <v>40919</v>
      </c>
      <c r="BN191" s="6">
        <f t="shared" si="770"/>
        <v>40921</v>
      </c>
      <c r="BO191" s="6">
        <f t="shared" si="770"/>
        <v>40923</v>
      </c>
      <c r="BP191" s="6">
        <f t="shared" si="770"/>
        <v>40925</v>
      </c>
    </row>
    <row r="192" spans="1:68" x14ac:dyDescent="0.25">
      <c r="A192" s="3">
        <v>7</v>
      </c>
      <c r="B192" s="3" t="s">
        <v>337</v>
      </c>
      <c r="C192" s="8" t="s">
        <v>46</v>
      </c>
      <c r="D192" s="3" t="s">
        <v>282</v>
      </c>
      <c r="E192" s="4">
        <f t="shared" si="761"/>
        <v>41000</v>
      </c>
      <c r="F192" s="6">
        <f t="shared" si="676"/>
        <v>41001</v>
      </c>
      <c r="G192" s="6">
        <f t="shared" si="716"/>
        <v>41003</v>
      </c>
      <c r="H192" s="6">
        <f t="shared" si="717"/>
        <v>41005</v>
      </c>
      <c r="I192" s="6">
        <f t="shared" ref="I192:J192" si="771">H192+H$6</f>
        <v>41007</v>
      </c>
      <c r="J192" s="6">
        <f t="shared" si="771"/>
        <v>41009</v>
      </c>
      <c r="K192" s="6">
        <f t="shared" si="719"/>
        <v>41011</v>
      </c>
      <c r="L192" s="6">
        <f t="shared" si="720"/>
        <v>41013</v>
      </c>
      <c r="M192" s="6">
        <f t="shared" si="721"/>
        <v>41015</v>
      </c>
      <c r="N192" s="6">
        <f t="shared" ref="N192:X192" si="772">M192+M$6</f>
        <v>41017</v>
      </c>
      <c r="O192" s="6">
        <f t="shared" si="772"/>
        <v>41019</v>
      </c>
      <c r="P192" s="6">
        <f t="shared" si="772"/>
        <v>41021</v>
      </c>
      <c r="Q192" s="6">
        <f t="shared" si="763"/>
        <v>41023</v>
      </c>
      <c r="R192" s="6">
        <f t="shared" si="763"/>
        <v>41025</v>
      </c>
      <c r="S192" s="6">
        <f t="shared" si="772"/>
        <v>41027</v>
      </c>
      <c r="T192" s="6">
        <f t="shared" si="772"/>
        <v>41029</v>
      </c>
      <c r="U192" s="6">
        <f t="shared" si="772"/>
        <v>41031</v>
      </c>
      <c r="V192" s="6">
        <f t="shared" si="772"/>
        <v>41033</v>
      </c>
      <c r="W192" s="6">
        <f t="shared" si="772"/>
        <v>41035</v>
      </c>
      <c r="X192" s="6">
        <f t="shared" si="772"/>
        <v>41037</v>
      </c>
      <c r="Y192" s="6">
        <f t="shared" si="678"/>
        <v>41039</v>
      </c>
      <c r="Z192" s="6"/>
      <c r="AA192" s="14">
        <f t="shared" si="679"/>
        <v>41043</v>
      </c>
      <c r="AB192" s="6">
        <f t="shared" si="724"/>
        <v>41045</v>
      </c>
      <c r="AC192" s="6">
        <f t="shared" si="725"/>
        <v>41047</v>
      </c>
      <c r="AD192" s="6">
        <f t="shared" si="726"/>
        <v>41049</v>
      </c>
      <c r="AE192" s="6">
        <f t="shared" si="727"/>
        <v>41051</v>
      </c>
      <c r="AF192" s="6">
        <f t="shared" si="728"/>
        <v>41053</v>
      </c>
      <c r="AG192" s="6">
        <f t="shared" si="729"/>
        <v>41055</v>
      </c>
      <c r="AH192" s="6">
        <f t="shared" si="730"/>
        <v>41057</v>
      </c>
      <c r="AI192" s="6">
        <f t="shared" si="731"/>
        <v>41059</v>
      </c>
      <c r="AJ192" s="6">
        <f t="shared" si="732"/>
        <v>41061</v>
      </c>
      <c r="AK192" s="6">
        <f t="shared" si="733"/>
        <v>41063</v>
      </c>
      <c r="AL192" s="6">
        <f t="shared" si="734"/>
        <v>41065</v>
      </c>
      <c r="AM192" s="6">
        <f t="shared" si="735"/>
        <v>41067</v>
      </c>
      <c r="AN192" s="6">
        <f t="shared" si="736"/>
        <v>41069</v>
      </c>
      <c r="AO192" s="6">
        <f t="shared" si="737"/>
        <v>41071</v>
      </c>
      <c r="AP192" s="6">
        <f t="shared" si="738"/>
        <v>41073</v>
      </c>
      <c r="AQ192" s="6">
        <f t="shared" si="739"/>
        <v>41075</v>
      </c>
      <c r="AR192" s="6">
        <f t="shared" si="740"/>
        <v>41077</v>
      </c>
      <c r="AS192" s="14">
        <f t="shared" si="741"/>
        <v>41079</v>
      </c>
      <c r="AT192" s="6">
        <f t="shared" si="742"/>
        <v>41081</v>
      </c>
      <c r="AU192" s="6">
        <f t="shared" si="743"/>
        <v>41083</v>
      </c>
      <c r="AV192" s="6">
        <f t="shared" si="744"/>
        <v>41085</v>
      </c>
      <c r="AW192" s="6">
        <f t="shared" si="745"/>
        <v>41087</v>
      </c>
      <c r="AX192" s="6">
        <f t="shared" si="746"/>
        <v>41089</v>
      </c>
      <c r="AY192" s="6">
        <f t="shared" si="747"/>
        <v>41091</v>
      </c>
      <c r="AZ192" s="6">
        <f t="shared" si="748"/>
        <v>41093</v>
      </c>
      <c r="BA192" s="6">
        <f t="shared" si="749"/>
        <v>41095</v>
      </c>
      <c r="BB192" s="6">
        <f t="shared" si="750"/>
        <v>41097</v>
      </c>
      <c r="BC192" s="6">
        <f t="shared" si="751"/>
        <v>41099</v>
      </c>
      <c r="BD192" s="6">
        <f t="shared" si="752"/>
        <v>41101</v>
      </c>
      <c r="BE192" s="6">
        <f t="shared" si="753"/>
        <v>41103</v>
      </c>
      <c r="BF192" s="6">
        <f t="shared" si="754"/>
        <v>41105</v>
      </c>
      <c r="BG192" s="6">
        <f t="shared" si="755"/>
        <v>41107</v>
      </c>
      <c r="BH192" s="6">
        <f t="shared" si="756"/>
        <v>41109</v>
      </c>
      <c r="BI192" s="6">
        <f t="shared" si="757"/>
        <v>41111</v>
      </c>
      <c r="BJ192" s="6">
        <f t="shared" si="758"/>
        <v>41113</v>
      </c>
      <c r="BK192" s="6">
        <f t="shared" si="759"/>
        <v>41115</v>
      </c>
      <c r="BL192" s="6">
        <f t="shared" ref="BL192:BP192" si="773">BK192+BK$6</f>
        <v>41117</v>
      </c>
      <c r="BM192" s="6">
        <f t="shared" si="773"/>
        <v>41119</v>
      </c>
      <c r="BN192" s="6">
        <f t="shared" si="773"/>
        <v>41121</v>
      </c>
      <c r="BO192" s="6">
        <f t="shared" si="773"/>
        <v>41123</v>
      </c>
      <c r="BP192" s="6">
        <f t="shared" si="773"/>
        <v>41125</v>
      </c>
    </row>
    <row r="193" spans="1:68" x14ac:dyDescent="0.25">
      <c r="A193" s="3">
        <v>8</v>
      </c>
      <c r="B193" s="3" t="s">
        <v>337</v>
      </c>
      <c r="C193" s="8" t="s">
        <v>47</v>
      </c>
      <c r="D193" s="3" t="s">
        <v>283</v>
      </c>
      <c r="E193" s="4">
        <f t="shared" si="761"/>
        <v>41200</v>
      </c>
      <c r="F193" s="6">
        <f t="shared" si="676"/>
        <v>41201</v>
      </c>
      <c r="G193" s="6">
        <f t="shared" si="716"/>
        <v>41203</v>
      </c>
      <c r="H193" s="6">
        <f t="shared" si="717"/>
        <v>41205</v>
      </c>
      <c r="I193" s="6">
        <f t="shared" ref="I193:J193" si="774">H193+H$6</f>
        <v>41207</v>
      </c>
      <c r="J193" s="6">
        <f t="shared" si="774"/>
        <v>41209</v>
      </c>
      <c r="K193" s="6">
        <f t="shared" si="719"/>
        <v>41211</v>
      </c>
      <c r="L193" s="6">
        <f t="shared" si="720"/>
        <v>41213</v>
      </c>
      <c r="M193" s="6">
        <f t="shared" si="721"/>
        <v>41215</v>
      </c>
      <c r="N193" s="6">
        <f t="shared" ref="N193:X193" si="775">M193+M$6</f>
        <v>41217</v>
      </c>
      <c r="O193" s="6">
        <f t="shared" si="775"/>
        <v>41219</v>
      </c>
      <c r="P193" s="6">
        <f t="shared" si="775"/>
        <v>41221</v>
      </c>
      <c r="Q193" s="6">
        <f t="shared" si="763"/>
        <v>41223</v>
      </c>
      <c r="R193" s="6">
        <f t="shared" si="763"/>
        <v>41225</v>
      </c>
      <c r="S193" s="6">
        <f t="shared" si="775"/>
        <v>41227</v>
      </c>
      <c r="T193" s="6">
        <f t="shared" si="775"/>
        <v>41229</v>
      </c>
      <c r="U193" s="6">
        <f t="shared" si="775"/>
        <v>41231</v>
      </c>
      <c r="V193" s="6">
        <f t="shared" si="775"/>
        <v>41233</v>
      </c>
      <c r="W193" s="6">
        <f t="shared" si="775"/>
        <v>41235</v>
      </c>
      <c r="X193" s="6">
        <f t="shared" si="775"/>
        <v>41237</v>
      </c>
      <c r="Y193" s="6">
        <f t="shared" si="678"/>
        <v>41239</v>
      </c>
      <c r="Z193" s="6"/>
      <c r="AA193" s="14">
        <f t="shared" si="679"/>
        <v>41243</v>
      </c>
      <c r="AB193" s="6">
        <f t="shared" si="724"/>
        <v>41245</v>
      </c>
      <c r="AC193" s="6">
        <f t="shared" si="725"/>
        <v>41247</v>
      </c>
      <c r="AD193" s="6">
        <f t="shared" si="726"/>
        <v>41249</v>
      </c>
      <c r="AE193" s="6">
        <f t="shared" si="727"/>
        <v>41251</v>
      </c>
      <c r="AF193" s="6">
        <f t="shared" si="728"/>
        <v>41253</v>
      </c>
      <c r="AG193" s="6">
        <f t="shared" si="729"/>
        <v>41255</v>
      </c>
      <c r="AH193" s="6">
        <f t="shared" si="730"/>
        <v>41257</v>
      </c>
      <c r="AI193" s="6">
        <f t="shared" si="731"/>
        <v>41259</v>
      </c>
      <c r="AJ193" s="6">
        <f t="shared" si="732"/>
        <v>41261</v>
      </c>
      <c r="AK193" s="6">
        <f t="shared" si="733"/>
        <v>41263</v>
      </c>
      <c r="AL193" s="6">
        <f t="shared" si="734"/>
        <v>41265</v>
      </c>
      <c r="AM193" s="6">
        <f t="shared" si="735"/>
        <v>41267</v>
      </c>
      <c r="AN193" s="6">
        <f t="shared" si="736"/>
        <v>41269</v>
      </c>
      <c r="AO193" s="6">
        <f t="shared" si="737"/>
        <v>41271</v>
      </c>
      <c r="AP193" s="6">
        <f t="shared" si="738"/>
        <v>41273</v>
      </c>
      <c r="AQ193" s="6">
        <f t="shared" si="739"/>
        <v>41275</v>
      </c>
      <c r="AR193" s="6">
        <f t="shared" si="740"/>
        <v>41277</v>
      </c>
      <c r="AS193" s="14">
        <f t="shared" si="741"/>
        <v>41279</v>
      </c>
      <c r="AT193" s="6">
        <f t="shared" si="742"/>
        <v>41281</v>
      </c>
      <c r="AU193" s="6">
        <f t="shared" si="743"/>
        <v>41283</v>
      </c>
      <c r="AV193" s="6">
        <f t="shared" si="744"/>
        <v>41285</v>
      </c>
      <c r="AW193" s="6">
        <f t="shared" si="745"/>
        <v>41287</v>
      </c>
      <c r="AX193" s="6">
        <f t="shared" si="746"/>
        <v>41289</v>
      </c>
      <c r="AY193" s="6">
        <f t="shared" si="747"/>
        <v>41291</v>
      </c>
      <c r="AZ193" s="6">
        <f t="shared" si="748"/>
        <v>41293</v>
      </c>
      <c r="BA193" s="6">
        <f t="shared" si="749"/>
        <v>41295</v>
      </c>
      <c r="BB193" s="6">
        <f t="shared" si="750"/>
        <v>41297</v>
      </c>
      <c r="BC193" s="6">
        <f t="shared" si="751"/>
        <v>41299</v>
      </c>
      <c r="BD193" s="6">
        <f t="shared" si="752"/>
        <v>41301</v>
      </c>
      <c r="BE193" s="6">
        <f t="shared" si="753"/>
        <v>41303</v>
      </c>
      <c r="BF193" s="6">
        <f t="shared" si="754"/>
        <v>41305</v>
      </c>
      <c r="BG193" s="6">
        <f t="shared" si="755"/>
        <v>41307</v>
      </c>
      <c r="BH193" s="6">
        <f t="shared" si="756"/>
        <v>41309</v>
      </c>
      <c r="BI193" s="6">
        <f t="shared" si="757"/>
        <v>41311</v>
      </c>
      <c r="BJ193" s="6">
        <f t="shared" si="758"/>
        <v>41313</v>
      </c>
      <c r="BK193" s="6">
        <f t="shared" si="759"/>
        <v>41315</v>
      </c>
      <c r="BL193" s="6">
        <f t="shared" ref="BL193:BP193" si="776">BK193+BK$6</f>
        <v>41317</v>
      </c>
      <c r="BM193" s="6">
        <f t="shared" si="776"/>
        <v>41319</v>
      </c>
      <c r="BN193" s="6">
        <f t="shared" si="776"/>
        <v>41321</v>
      </c>
      <c r="BO193" s="6">
        <f t="shared" si="776"/>
        <v>41323</v>
      </c>
      <c r="BP193" s="6">
        <f t="shared" si="776"/>
        <v>41325</v>
      </c>
    </row>
    <row r="194" spans="1:68" x14ac:dyDescent="0.25">
      <c r="A194" s="3">
        <v>9</v>
      </c>
      <c r="B194" s="3" t="s">
        <v>337</v>
      </c>
      <c r="C194" s="8" t="s">
        <v>48</v>
      </c>
      <c r="D194" s="3" t="s">
        <v>284</v>
      </c>
      <c r="E194" s="4">
        <f t="shared" si="761"/>
        <v>41400</v>
      </c>
      <c r="F194" s="6">
        <f t="shared" si="676"/>
        <v>41401</v>
      </c>
      <c r="G194" s="6">
        <f t="shared" si="716"/>
        <v>41403</v>
      </c>
      <c r="H194" s="6">
        <f t="shared" si="717"/>
        <v>41405</v>
      </c>
      <c r="I194" s="6">
        <f t="shared" ref="I194:J194" si="777">H194+H$6</f>
        <v>41407</v>
      </c>
      <c r="J194" s="6">
        <f t="shared" si="777"/>
        <v>41409</v>
      </c>
      <c r="K194" s="6">
        <f t="shared" si="719"/>
        <v>41411</v>
      </c>
      <c r="L194" s="6">
        <f t="shared" si="720"/>
        <v>41413</v>
      </c>
      <c r="M194" s="6">
        <f t="shared" si="721"/>
        <v>41415</v>
      </c>
      <c r="N194" s="6">
        <f t="shared" ref="N194:X194" si="778">M194+M$6</f>
        <v>41417</v>
      </c>
      <c r="O194" s="6">
        <f t="shared" si="778"/>
        <v>41419</v>
      </c>
      <c r="P194" s="6">
        <f t="shared" si="778"/>
        <v>41421</v>
      </c>
      <c r="Q194" s="6">
        <f t="shared" si="763"/>
        <v>41423</v>
      </c>
      <c r="R194" s="6">
        <f t="shared" si="763"/>
        <v>41425</v>
      </c>
      <c r="S194" s="6">
        <f t="shared" si="778"/>
        <v>41427</v>
      </c>
      <c r="T194" s="6">
        <f t="shared" si="778"/>
        <v>41429</v>
      </c>
      <c r="U194" s="6">
        <f t="shared" si="778"/>
        <v>41431</v>
      </c>
      <c r="V194" s="6">
        <f t="shared" si="778"/>
        <v>41433</v>
      </c>
      <c r="W194" s="6">
        <f t="shared" si="778"/>
        <v>41435</v>
      </c>
      <c r="X194" s="6">
        <f t="shared" si="778"/>
        <v>41437</v>
      </c>
      <c r="Y194" s="6">
        <f t="shared" si="678"/>
        <v>41439</v>
      </c>
      <c r="Z194" s="6"/>
      <c r="AA194" s="14">
        <f t="shared" si="679"/>
        <v>41443</v>
      </c>
      <c r="AB194" s="6">
        <f t="shared" si="724"/>
        <v>41445</v>
      </c>
      <c r="AC194" s="6">
        <f t="shared" si="725"/>
        <v>41447</v>
      </c>
      <c r="AD194" s="6">
        <f t="shared" si="726"/>
        <v>41449</v>
      </c>
      <c r="AE194" s="6">
        <f t="shared" si="727"/>
        <v>41451</v>
      </c>
      <c r="AF194" s="6">
        <f t="shared" si="728"/>
        <v>41453</v>
      </c>
      <c r="AG194" s="6">
        <f t="shared" si="729"/>
        <v>41455</v>
      </c>
      <c r="AH194" s="6">
        <f t="shared" si="730"/>
        <v>41457</v>
      </c>
      <c r="AI194" s="6">
        <f t="shared" si="731"/>
        <v>41459</v>
      </c>
      <c r="AJ194" s="6">
        <f t="shared" si="732"/>
        <v>41461</v>
      </c>
      <c r="AK194" s="6">
        <f t="shared" si="733"/>
        <v>41463</v>
      </c>
      <c r="AL194" s="6">
        <f t="shared" si="734"/>
        <v>41465</v>
      </c>
      <c r="AM194" s="6">
        <f t="shared" si="735"/>
        <v>41467</v>
      </c>
      <c r="AN194" s="6">
        <f t="shared" si="736"/>
        <v>41469</v>
      </c>
      <c r="AO194" s="6">
        <f t="shared" si="737"/>
        <v>41471</v>
      </c>
      <c r="AP194" s="6">
        <f t="shared" si="738"/>
        <v>41473</v>
      </c>
      <c r="AQ194" s="6">
        <f t="shared" si="739"/>
        <v>41475</v>
      </c>
      <c r="AR194" s="6">
        <f t="shared" si="740"/>
        <v>41477</v>
      </c>
      <c r="AS194" s="14">
        <f t="shared" si="741"/>
        <v>41479</v>
      </c>
      <c r="AT194" s="6">
        <f t="shared" si="742"/>
        <v>41481</v>
      </c>
      <c r="AU194" s="6">
        <f t="shared" si="743"/>
        <v>41483</v>
      </c>
      <c r="AV194" s="6">
        <f t="shared" si="744"/>
        <v>41485</v>
      </c>
      <c r="AW194" s="6">
        <f t="shared" si="745"/>
        <v>41487</v>
      </c>
      <c r="AX194" s="6">
        <f t="shared" si="746"/>
        <v>41489</v>
      </c>
      <c r="AY194" s="6">
        <f t="shared" si="747"/>
        <v>41491</v>
      </c>
      <c r="AZ194" s="6">
        <f t="shared" si="748"/>
        <v>41493</v>
      </c>
      <c r="BA194" s="6">
        <f t="shared" si="749"/>
        <v>41495</v>
      </c>
      <c r="BB194" s="6">
        <f t="shared" si="750"/>
        <v>41497</v>
      </c>
      <c r="BC194" s="6">
        <f t="shared" si="751"/>
        <v>41499</v>
      </c>
      <c r="BD194" s="6">
        <f t="shared" si="752"/>
        <v>41501</v>
      </c>
      <c r="BE194" s="6">
        <f t="shared" si="753"/>
        <v>41503</v>
      </c>
      <c r="BF194" s="6">
        <f t="shared" si="754"/>
        <v>41505</v>
      </c>
      <c r="BG194" s="6">
        <f t="shared" si="755"/>
        <v>41507</v>
      </c>
      <c r="BH194" s="6">
        <f t="shared" si="756"/>
        <v>41509</v>
      </c>
      <c r="BI194" s="6">
        <f t="shared" si="757"/>
        <v>41511</v>
      </c>
      <c r="BJ194" s="6">
        <f t="shared" si="758"/>
        <v>41513</v>
      </c>
      <c r="BK194" s="6">
        <f t="shared" si="759"/>
        <v>41515</v>
      </c>
      <c r="BL194" s="6">
        <f t="shared" ref="BL194:BP194" si="779">BK194+BK$6</f>
        <v>41517</v>
      </c>
      <c r="BM194" s="6">
        <f t="shared" si="779"/>
        <v>41519</v>
      </c>
      <c r="BN194" s="6">
        <f t="shared" si="779"/>
        <v>41521</v>
      </c>
      <c r="BO194" s="6">
        <f t="shared" si="779"/>
        <v>41523</v>
      </c>
      <c r="BP194" s="6">
        <f t="shared" si="779"/>
        <v>41525</v>
      </c>
    </row>
    <row r="195" spans="1:68" x14ac:dyDescent="0.25">
      <c r="A195" s="3">
        <v>10</v>
      </c>
      <c r="B195" s="3" t="s">
        <v>337</v>
      </c>
      <c r="C195" s="8" t="s">
        <v>49</v>
      </c>
      <c r="D195" s="3" t="s">
        <v>285</v>
      </c>
      <c r="E195" s="4">
        <f t="shared" si="761"/>
        <v>41600</v>
      </c>
      <c r="F195" s="6">
        <f t="shared" si="676"/>
        <v>41601</v>
      </c>
      <c r="G195" s="6">
        <f t="shared" si="716"/>
        <v>41603</v>
      </c>
      <c r="H195" s="6">
        <f t="shared" si="717"/>
        <v>41605</v>
      </c>
      <c r="I195" s="6">
        <f t="shared" ref="I195:J195" si="780">H195+H$6</f>
        <v>41607</v>
      </c>
      <c r="J195" s="6">
        <f t="shared" si="780"/>
        <v>41609</v>
      </c>
      <c r="K195" s="6">
        <f t="shared" si="719"/>
        <v>41611</v>
      </c>
      <c r="L195" s="6">
        <f t="shared" si="720"/>
        <v>41613</v>
      </c>
      <c r="M195" s="6">
        <f t="shared" si="721"/>
        <v>41615</v>
      </c>
      <c r="N195" s="6">
        <f t="shared" ref="N195:X195" si="781">M195+M$6</f>
        <v>41617</v>
      </c>
      <c r="O195" s="6">
        <f t="shared" si="781"/>
        <v>41619</v>
      </c>
      <c r="P195" s="6">
        <f t="shared" si="781"/>
        <v>41621</v>
      </c>
      <c r="Q195" s="6">
        <f t="shared" si="763"/>
        <v>41623</v>
      </c>
      <c r="R195" s="6">
        <f t="shared" si="763"/>
        <v>41625</v>
      </c>
      <c r="S195" s="6">
        <f t="shared" si="781"/>
        <v>41627</v>
      </c>
      <c r="T195" s="6">
        <f t="shared" si="781"/>
        <v>41629</v>
      </c>
      <c r="U195" s="6">
        <f t="shared" si="781"/>
        <v>41631</v>
      </c>
      <c r="V195" s="6">
        <f t="shared" si="781"/>
        <v>41633</v>
      </c>
      <c r="W195" s="6">
        <f t="shared" si="781"/>
        <v>41635</v>
      </c>
      <c r="X195" s="6">
        <f t="shared" si="781"/>
        <v>41637</v>
      </c>
      <c r="Y195" s="6">
        <f t="shared" si="678"/>
        <v>41639</v>
      </c>
      <c r="Z195" s="6"/>
      <c r="AA195" s="14">
        <f t="shared" si="679"/>
        <v>41643</v>
      </c>
      <c r="AB195" s="6">
        <f t="shared" si="724"/>
        <v>41645</v>
      </c>
      <c r="AC195" s="6">
        <f t="shared" si="725"/>
        <v>41647</v>
      </c>
      <c r="AD195" s="6">
        <f t="shared" si="726"/>
        <v>41649</v>
      </c>
      <c r="AE195" s="6">
        <f t="shared" si="727"/>
        <v>41651</v>
      </c>
      <c r="AF195" s="6">
        <f t="shared" si="728"/>
        <v>41653</v>
      </c>
      <c r="AG195" s="6">
        <f t="shared" si="729"/>
        <v>41655</v>
      </c>
      <c r="AH195" s="6">
        <f t="shared" si="730"/>
        <v>41657</v>
      </c>
      <c r="AI195" s="6">
        <f t="shared" si="731"/>
        <v>41659</v>
      </c>
      <c r="AJ195" s="6">
        <f t="shared" si="732"/>
        <v>41661</v>
      </c>
      <c r="AK195" s="6">
        <f t="shared" si="733"/>
        <v>41663</v>
      </c>
      <c r="AL195" s="6">
        <f t="shared" si="734"/>
        <v>41665</v>
      </c>
      <c r="AM195" s="6">
        <f t="shared" si="735"/>
        <v>41667</v>
      </c>
      <c r="AN195" s="6">
        <f t="shared" si="736"/>
        <v>41669</v>
      </c>
      <c r="AO195" s="6">
        <f t="shared" si="737"/>
        <v>41671</v>
      </c>
      <c r="AP195" s="6">
        <f t="shared" si="738"/>
        <v>41673</v>
      </c>
      <c r="AQ195" s="6">
        <f t="shared" si="739"/>
        <v>41675</v>
      </c>
      <c r="AR195" s="6">
        <f t="shared" si="740"/>
        <v>41677</v>
      </c>
      <c r="AS195" s="14">
        <f t="shared" si="741"/>
        <v>41679</v>
      </c>
      <c r="AT195" s="6">
        <f t="shared" si="742"/>
        <v>41681</v>
      </c>
      <c r="AU195" s="6">
        <f t="shared" si="743"/>
        <v>41683</v>
      </c>
      <c r="AV195" s="6">
        <f t="shared" si="744"/>
        <v>41685</v>
      </c>
      <c r="AW195" s="6">
        <f t="shared" si="745"/>
        <v>41687</v>
      </c>
      <c r="AX195" s="6">
        <f t="shared" si="746"/>
        <v>41689</v>
      </c>
      <c r="AY195" s="6">
        <f t="shared" si="747"/>
        <v>41691</v>
      </c>
      <c r="AZ195" s="6">
        <f t="shared" si="748"/>
        <v>41693</v>
      </c>
      <c r="BA195" s="6">
        <f t="shared" si="749"/>
        <v>41695</v>
      </c>
      <c r="BB195" s="6">
        <f t="shared" si="750"/>
        <v>41697</v>
      </c>
      <c r="BC195" s="6">
        <f t="shared" si="751"/>
        <v>41699</v>
      </c>
      <c r="BD195" s="6">
        <f t="shared" si="752"/>
        <v>41701</v>
      </c>
      <c r="BE195" s="6">
        <f t="shared" si="753"/>
        <v>41703</v>
      </c>
      <c r="BF195" s="6">
        <f t="shared" si="754"/>
        <v>41705</v>
      </c>
      <c r="BG195" s="6">
        <f t="shared" si="755"/>
        <v>41707</v>
      </c>
      <c r="BH195" s="6">
        <f t="shared" si="756"/>
        <v>41709</v>
      </c>
      <c r="BI195" s="6">
        <f t="shared" si="757"/>
        <v>41711</v>
      </c>
      <c r="BJ195" s="6">
        <f t="shared" si="758"/>
        <v>41713</v>
      </c>
      <c r="BK195" s="6">
        <f t="shared" si="759"/>
        <v>41715</v>
      </c>
      <c r="BL195" s="6">
        <f t="shared" ref="BL195:BP195" si="782">BK195+BK$6</f>
        <v>41717</v>
      </c>
      <c r="BM195" s="6">
        <f t="shared" si="782"/>
        <v>41719</v>
      </c>
      <c r="BN195" s="6">
        <f t="shared" si="782"/>
        <v>41721</v>
      </c>
      <c r="BO195" s="6">
        <f t="shared" si="782"/>
        <v>41723</v>
      </c>
      <c r="BP195" s="6">
        <f t="shared" si="782"/>
        <v>41725</v>
      </c>
    </row>
    <row r="196" spans="1:68" x14ac:dyDescent="0.25">
      <c r="A196" s="3">
        <v>11</v>
      </c>
      <c r="B196" s="3" t="s">
        <v>337</v>
      </c>
      <c r="C196" s="8" t="s">
        <v>50</v>
      </c>
      <c r="D196" s="3" t="s">
        <v>286</v>
      </c>
      <c r="E196" s="4">
        <f t="shared" si="761"/>
        <v>41800</v>
      </c>
      <c r="F196" s="6">
        <f t="shared" si="676"/>
        <v>41801</v>
      </c>
      <c r="G196" s="6">
        <f t="shared" si="716"/>
        <v>41803</v>
      </c>
      <c r="H196" s="6">
        <f t="shared" si="717"/>
        <v>41805</v>
      </c>
      <c r="I196" s="6">
        <f t="shared" ref="I196:J196" si="783">H196+H$6</f>
        <v>41807</v>
      </c>
      <c r="J196" s="6">
        <f t="shared" si="783"/>
        <v>41809</v>
      </c>
      <c r="K196" s="6">
        <f t="shared" si="719"/>
        <v>41811</v>
      </c>
      <c r="L196" s="6">
        <f t="shared" si="720"/>
        <v>41813</v>
      </c>
      <c r="M196" s="6">
        <f t="shared" si="721"/>
        <v>41815</v>
      </c>
      <c r="N196" s="6">
        <f t="shared" ref="N196:X196" si="784">M196+M$6</f>
        <v>41817</v>
      </c>
      <c r="O196" s="6">
        <f t="shared" si="784"/>
        <v>41819</v>
      </c>
      <c r="P196" s="6">
        <f t="shared" si="784"/>
        <v>41821</v>
      </c>
      <c r="Q196" s="6">
        <f t="shared" si="763"/>
        <v>41823</v>
      </c>
      <c r="R196" s="6">
        <f t="shared" si="763"/>
        <v>41825</v>
      </c>
      <c r="S196" s="6">
        <f t="shared" si="784"/>
        <v>41827</v>
      </c>
      <c r="T196" s="6">
        <f t="shared" si="784"/>
        <v>41829</v>
      </c>
      <c r="U196" s="6">
        <f t="shared" si="784"/>
        <v>41831</v>
      </c>
      <c r="V196" s="6">
        <f t="shared" si="784"/>
        <v>41833</v>
      </c>
      <c r="W196" s="6">
        <f t="shared" si="784"/>
        <v>41835</v>
      </c>
      <c r="X196" s="6">
        <f t="shared" si="784"/>
        <v>41837</v>
      </c>
      <c r="Y196" s="6">
        <f t="shared" si="678"/>
        <v>41839</v>
      </c>
      <c r="Z196" s="6"/>
      <c r="AA196" s="14">
        <f t="shared" si="679"/>
        <v>41843</v>
      </c>
      <c r="AB196" s="6">
        <f t="shared" si="724"/>
        <v>41845</v>
      </c>
      <c r="AC196" s="6">
        <f t="shared" si="725"/>
        <v>41847</v>
      </c>
      <c r="AD196" s="6">
        <f t="shared" si="726"/>
        <v>41849</v>
      </c>
      <c r="AE196" s="6">
        <f t="shared" si="727"/>
        <v>41851</v>
      </c>
      <c r="AF196" s="6">
        <f t="shared" si="728"/>
        <v>41853</v>
      </c>
      <c r="AG196" s="6">
        <f t="shared" si="729"/>
        <v>41855</v>
      </c>
      <c r="AH196" s="6">
        <f t="shared" si="730"/>
        <v>41857</v>
      </c>
      <c r="AI196" s="6">
        <f t="shared" si="731"/>
        <v>41859</v>
      </c>
      <c r="AJ196" s="6">
        <f t="shared" si="732"/>
        <v>41861</v>
      </c>
      <c r="AK196" s="6">
        <f t="shared" si="733"/>
        <v>41863</v>
      </c>
      <c r="AL196" s="6">
        <f t="shared" si="734"/>
        <v>41865</v>
      </c>
      <c r="AM196" s="6">
        <f t="shared" si="735"/>
        <v>41867</v>
      </c>
      <c r="AN196" s="6">
        <f t="shared" si="736"/>
        <v>41869</v>
      </c>
      <c r="AO196" s="6">
        <f t="shared" si="737"/>
        <v>41871</v>
      </c>
      <c r="AP196" s="6">
        <f t="shared" si="738"/>
        <v>41873</v>
      </c>
      <c r="AQ196" s="6">
        <f t="shared" si="739"/>
        <v>41875</v>
      </c>
      <c r="AR196" s="6">
        <f t="shared" si="740"/>
        <v>41877</v>
      </c>
      <c r="AS196" s="14">
        <f t="shared" si="741"/>
        <v>41879</v>
      </c>
      <c r="AT196" s="6">
        <f t="shared" si="742"/>
        <v>41881</v>
      </c>
      <c r="AU196" s="6">
        <f t="shared" si="743"/>
        <v>41883</v>
      </c>
      <c r="AV196" s="6">
        <f t="shared" si="744"/>
        <v>41885</v>
      </c>
      <c r="AW196" s="6">
        <f t="shared" si="745"/>
        <v>41887</v>
      </c>
      <c r="AX196" s="6">
        <f t="shared" si="746"/>
        <v>41889</v>
      </c>
      <c r="AY196" s="6">
        <f t="shared" si="747"/>
        <v>41891</v>
      </c>
      <c r="AZ196" s="6">
        <f t="shared" si="748"/>
        <v>41893</v>
      </c>
      <c r="BA196" s="6">
        <f t="shared" si="749"/>
        <v>41895</v>
      </c>
      <c r="BB196" s="6">
        <f t="shared" si="750"/>
        <v>41897</v>
      </c>
      <c r="BC196" s="6">
        <f t="shared" si="751"/>
        <v>41899</v>
      </c>
      <c r="BD196" s="6">
        <f t="shared" si="752"/>
        <v>41901</v>
      </c>
      <c r="BE196" s="6">
        <f t="shared" si="753"/>
        <v>41903</v>
      </c>
      <c r="BF196" s="6">
        <f t="shared" si="754"/>
        <v>41905</v>
      </c>
      <c r="BG196" s="6">
        <f t="shared" si="755"/>
        <v>41907</v>
      </c>
      <c r="BH196" s="6">
        <f t="shared" si="756"/>
        <v>41909</v>
      </c>
      <c r="BI196" s="6">
        <f t="shared" si="757"/>
        <v>41911</v>
      </c>
      <c r="BJ196" s="6">
        <f t="shared" si="758"/>
        <v>41913</v>
      </c>
      <c r="BK196" s="6">
        <f t="shared" si="759"/>
        <v>41915</v>
      </c>
      <c r="BL196" s="6">
        <f t="shared" ref="BL196:BP196" si="785">BK196+BK$6</f>
        <v>41917</v>
      </c>
      <c r="BM196" s="6">
        <f t="shared" si="785"/>
        <v>41919</v>
      </c>
      <c r="BN196" s="6">
        <f t="shared" si="785"/>
        <v>41921</v>
      </c>
      <c r="BO196" s="6">
        <f t="shared" si="785"/>
        <v>41923</v>
      </c>
      <c r="BP196" s="6">
        <f t="shared" si="785"/>
        <v>41925</v>
      </c>
    </row>
    <row r="197" spans="1:68" x14ac:dyDescent="0.25">
      <c r="A197" s="3">
        <v>12</v>
      </c>
      <c r="B197" s="3" t="s">
        <v>337</v>
      </c>
      <c r="C197" s="8" t="s">
        <v>51</v>
      </c>
      <c r="D197" s="3" t="s">
        <v>287</v>
      </c>
      <c r="E197" s="4">
        <f t="shared" si="761"/>
        <v>42000</v>
      </c>
      <c r="F197" s="6">
        <f t="shared" si="676"/>
        <v>42001</v>
      </c>
      <c r="G197" s="6">
        <f t="shared" si="716"/>
        <v>42003</v>
      </c>
      <c r="H197" s="6">
        <f t="shared" si="717"/>
        <v>42005</v>
      </c>
      <c r="I197" s="6">
        <f t="shared" ref="I197:J197" si="786">H197+H$6</f>
        <v>42007</v>
      </c>
      <c r="J197" s="6">
        <f t="shared" si="786"/>
        <v>42009</v>
      </c>
      <c r="K197" s="6">
        <f t="shared" si="719"/>
        <v>42011</v>
      </c>
      <c r="L197" s="6">
        <f t="shared" si="720"/>
        <v>42013</v>
      </c>
      <c r="M197" s="6">
        <f t="shared" si="721"/>
        <v>42015</v>
      </c>
      <c r="N197" s="6">
        <f t="shared" ref="N197:X197" si="787">M197+M$6</f>
        <v>42017</v>
      </c>
      <c r="O197" s="6">
        <f t="shared" si="787"/>
        <v>42019</v>
      </c>
      <c r="P197" s="6">
        <f t="shared" si="787"/>
        <v>42021</v>
      </c>
      <c r="Q197" s="6">
        <f t="shared" si="763"/>
        <v>42023</v>
      </c>
      <c r="R197" s="6">
        <f t="shared" si="763"/>
        <v>42025</v>
      </c>
      <c r="S197" s="6">
        <f t="shared" si="787"/>
        <v>42027</v>
      </c>
      <c r="T197" s="6">
        <f t="shared" si="787"/>
        <v>42029</v>
      </c>
      <c r="U197" s="6">
        <f t="shared" si="787"/>
        <v>42031</v>
      </c>
      <c r="V197" s="6">
        <f t="shared" si="787"/>
        <v>42033</v>
      </c>
      <c r="W197" s="6">
        <f t="shared" si="787"/>
        <v>42035</v>
      </c>
      <c r="X197" s="6">
        <f t="shared" si="787"/>
        <v>42037</v>
      </c>
      <c r="Y197" s="6">
        <f t="shared" si="678"/>
        <v>42039</v>
      </c>
      <c r="Z197" s="6"/>
      <c r="AA197" s="14">
        <f t="shared" si="679"/>
        <v>42043</v>
      </c>
      <c r="AB197" s="6">
        <f t="shared" si="724"/>
        <v>42045</v>
      </c>
      <c r="AC197" s="6">
        <f t="shared" si="725"/>
        <v>42047</v>
      </c>
      <c r="AD197" s="6">
        <f t="shared" si="726"/>
        <v>42049</v>
      </c>
      <c r="AE197" s="6">
        <f t="shared" si="727"/>
        <v>42051</v>
      </c>
      <c r="AF197" s="6">
        <f t="shared" si="728"/>
        <v>42053</v>
      </c>
      <c r="AG197" s="6">
        <f t="shared" si="729"/>
        <v>42055</v>
      </c>
      <c r="AH197" s="6">
        <f t="shared" si="730"/>
        <v>42057</v>
      </c>
      <c r="AI197" s="6">
        <f t="shared" si="731"/>
        <v>42059</v>
      </c>
      <c r="AJ197" s="6">
        <f t="shared" si="732"/>
        <v>42061</v>
      </c>
      <c r="AK197" s="6">
        <f t="shared" si="733"/>
        <v>42063</v>
      </c>
      <c r="AL197" s="6">
        <f t="shared" si="734"/>
        <v>42065</v>
      </c>
      <c r="AM197" s="6">
        <f t="shared" si="735"/>
        <v>42067</v>
      </c>
      <c r="AN197" s="6">
        <f t="shared" si="736"/>
        <v>42069</v>
      </c>
      <c r="AO197" s="6">
        <f t="shared" si="737"/>
        <v>42071</v>
      </c>
      <c r="AP197" s="6">
        <f t="shared" si="738"/>
        <v>42073</v>
      </c>
      <c r="AQ197" s="6">
        <f t="shared" si="739"/>
        <v>42075</v>
      </c>
      <c r="AR197" s="6">
        <f t="shared" si="740"/>
        <v>42077</v>
      </c>
      <c r="AS197" s="14">
        <f t="shared" si="741"/>
        <v>42079</v>
      </c>
      <c r="AT197" s="6">
        <f t="shared" si="742"/>
        <v>42081</v>
      </c>
      <c r="AU197" s="6">
        <f t="shared" si="743"/>
        <v>42083</v>
      </c>
      <c r="AV197" s="6">
        <f t="shared" si="744"/>
        <v>42085</v>
      </c>
      <c r="AW197" s="6">
        <f t="shared" si="745"/>
        <v>42087</v>
      </c>
      <c r="AX197" s="6">
        <f t="shared" si="746"/>
        <v>42089</v>
      </c>
      <c r="AY197" s="6">
        <f t="shared" si="747"/>
        <v>42091</v>
      </c>
      <c r="AZ197" s="6">
        <f t="shared" si="748"/>
        <v>42093</v>
      </c>
      <c r="BA197" s="6">
        <f t="shared" si="749"/>
        <v>42095</v>
      </c>
      <c r="BB197" s="6">
        <f t="shared" si="750"/>
        <v>42097</v>
      </c>
      <c r="BC197" s="6">
        <f t="shared" si="751"/>
        <v>42099</v>
      </c>
      <c r="BD197" s="6">
        <f t="shared" si="752"/>
        <v>42101</v>
      </c>
      <c r="BE197" s="6">
        <f t="shared" si="753"/>
        <v>42103</v>
      </c>
      <c r="BF197" s="6">
        <f t="shared" si="754"/>
        <v>42105</v>
      </c>
      <c r="BG197" s="6">
        <f t="shared" si="755"/>
        <v>42107</v>
      </c>
      <c r="BH197" s="6">
        <f t="shared" si="756"/>
        <v>42109</v>
      </c>
      <c r="BI197" s="6">
        <f t="shared" si="757"/>
        <v>42111</v>
      </c>
      <c r="BJ197" s="6">
        <f t="shared" si="758"/>
        <v>42113</v>
      </c>
      <c r="BK197" s="6">
        <f t="shared" si="759"/>
        <v>42115</v>
      </c>
      <c r="BL197" s="6">
        <f t="shared" ref="BL197:BP197" si="788">BK197+BK$6</f>
        <v>42117</v>
      </c>
      <c r="BM197" s="6">
        <f t="shared" si="788"/>
        <v>42119</v>
      </c>
      <c r="BN197" s="6">
        <f t="shared" si="788"/>
        <v>42121</v>
      </c>
      <c r="BO197" s="6">
        <f t="shared" si="788"/>
        <v>42123</v>
      </c>
      <c r="BP197" s="6">
        <f t="shared" si="788"/>
        <v>42125</v>
      </c>
    </row>
    <row r="198" spans="1:68" x14ac:dyDescent="0.25">
      <c r="A198" s="3">
        <v>13</v>
      </c>
      <c r="B198" s="3" t="s">
        <v>337</v>
      </c>
      <c r="C198" s="36" t="s">
        <v>185</v>
      </c>
      <c r="D198" s="3" t="s">
        <v>294</v>
      </c>
      <c r="E198" s="4">
        <f t="shared" si="761"/>
        <v>42200</v>
      </c>
      <c r="F198" s="6">
        <f t="shared" si="645"/>
        <v>42201</v>
      </c>
      <c r="G198" s="6">
        <f t="shared" ref="G198:G201" si="789">F198+F$6</f>
        <v>42203</v>
      </c>
      <c r="H198" s="6">
        <f t="shared" ref="H198:H201" si="790">G198+G$6</f>
        <v>42205</v>
      </c>
      <c r="I198" s="6">
        <f t="shared" ref="I198:J198" si="791">H198+H$6</f>
        <v>42207</v>
      </c>
      <c r="J198" s="6">
        <f t="shared" si="791"/>
        <v>42209</v>
      </c>
      <c r="K198" s="6">
        <f t="shared" ref="K198:K201" si="792">J198+J$6</f>
        <v>42211</v>
      </c>
      <c r="L198" s="6">
        <f t="shared" ref="L198:L201" si="793">K198+K$6</f>
        <v>42213</v>
      </c>
      <c r="M198" s="6">
        <f t="shared" ref="M198:M201" si="794">L198+L$6</f>
        <v>42215</v>
      </c>
      <c r="N198" s="6">
        <f t="shared" ref="N198:X198" si="795">M198+M$6</f>
        <v>42217</v>
      </c>
      <c r="O198" s="6">
        <f t="shared" si="795"/>
        <v>42219</v>
      </c>
      <c r="P198" s="6">
        <f t="shared" si="795"/>
        <v>42221</v>
      </c>
      <c r="Q198" s="6">
        <f t="shared" si="763"/>
        <v>42223</v>
      </c>
      <c r="R198" s="6">
        <f t="shared" si="763"/>
        <v>42225</v>
      </c>
      <c r="S198" s="6">
        <f t="shared" si="795"/>
        <v>42227</v>
      </c>
      <c r="T198" s="6">
        <f t="shared" si="795"/>
        <v>42229</v>
      </c>
      <c r="U198" s="6">
        <f t="shared" si="795"/>
        <v>42231</v>
      </c>
      <c r="V198" s="6">
        <f t="shared" si="795"/>
        <v>42233</v>
      </c>
      <c r="W198" s="6">
        <f t="shared" si="795"/>
        <v>42235</v>
      </c>
      <c r="X198" s="6">
        <f t="shared" si="795"/>
        <v>42237</v>
      </c>
      <c r="Y198" s="6">
        <f t="shared" si="678"/>
        <v>42239</v>
      </c>
      <c r="Z198" s="6">
        <f t="shared" si="678"/>
        <v>42241</v>
      </c>
      <c r="AA198" s="14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14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</row>
    <row r="199" spans="1:68" x14ac:dyDescent="0.25">
      <c r="A199" s="3">
        <v>14</v>
      </c>
      <c r="B199" s="3" t="s">
        <v>337</v>
      </c>
      <c r="C199" s="36" t="s">
        <v>186</v>
      </c>
      <c r="D199" s="3" t="s">
        <v>294</v>
      </c>
      <c r="E199" s="4">
        <f t="shared" si="761"/>
        <v>42400</v>
      </c>
      <c r="F199" s="6">
        <f t="shared" si="645"/>
        <v>42401</v>
      </c>
      <c r="G199" s="6">
        <f t="shared" si="789"/>
        <v>42403</v>
      </c>
      <c r="H199" s="6">
        <f t="shared" si="790"/>
        <v>42405</v>
      </c>
      <c r="I199" s="6">
        <f t="shared" ref="I199:J199" si="796">H199+H$6</f>
        <v>42407</v>
      </c>
      <c r="J199" s="6">
        <f t="shared" si="796"/>
        <v>42409</v>
      </c>
      <c r="K199" s="6">
        <f t="shared" si="792"/>
        <v>42411</v>
      </c>
      <c r="L199" s="6">
        <f t="shared" si="793"/>
        <v>42413</v>
      </c>
      <c r="M199" s="6">
        <f t="shared" si="794"/>
        <v>42415</v>
      </c>
      <c r="N199" s="6">
        <f t="shared" ref="N199:X199" si="797">M199+M$6</f>
        <v>42417</v>
      </c>
      <c r="O199" s="6">
        <f t="shared" si="797"/>
        <v>42419</v>
      </c>
      <c r="P199" s="6">
        <f t="shared" si="797"/>
        <v>42421</v>
      </c>
      <c r="Q199" s="6">
        <f t="shared" si="763"/>
        <v>42423</v>
      </c>
      <c r="R199" s="6">
        <f t="shared" si="763"/>
        <v>42425</v>
      </c>
      <c r="S199" s="6">
        <f t="shared" si="797"/>
        <v>42427</v>
      </c>
      <c r="T199" s="6">
        <f t="shared" si="797"/>
        <v>42429</v>
      </c>
      <c r="U199" s="6">
        <f t="shared" si="797"/>
        <v>42431</v>
      </c>
      <c r="V199" s="6">
        <f t="shared" si="797"/>
        <v>42433</v>
      </c>
      <c r="W199" s="6">
        <f t="shared" si="797"/>
        <v>42435</v>
      </c>
      <c r="X199" s="6">
        <f t="shared" si="797"/>
        <v>42437</v>
      </c>
      <c r="Y199" s="6">
        <f t="shared" si="678"/>
        <v>42439</v>
      </c>
      <c r="Z199" s="6">
        <f t="shared" si="678"/>
        <v>42441</v>
      </c>
      <c r="AA199" s="14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14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</row>
    <row r="200" spans="1:68" x14ac:dyDescent="0.25">
      <c r="A200" s="3">
        <v>15</v>
      </c>
      <c r="B200" s="3" t="s">
        <v>337</v>
      </c>
      <c r="C200" s="36" t="s">
        <v>187</v>
      </c>
      <c r="D200" s="3" t="s">
        <v>294</v>
      </c>
      <c r="E200" s="4">
        <f t="shared" si="761"/>
        <v>42600</v>
      </c>
      <c r="F200" s="6">
        <f t="shared" si="645"/>
        <v>42601</v>
      </c>
      <c r="G200" s="6">
        <f t="shared" si="789"/>
        <v>42603</v>
      </c>
      <c r="H200" s="6">
        <f t="shared" si="790"/>
        <v>42605</v>
      </c>
      <c r="I200" s="6">
        <f t="shared" ref="I200:J200" si="798">H200+H$6</f>
        <v>42607</v>
      </c>
      <c r="J200" s="6">
        <f t="shared" si="798"/>
        <v>42609</v>
      </c>
      <c r="K200" s="6">
        <f t="shared" si="792"/>
        <v>42611</v>
      </c>
      <c r="L200" s="6">
        <f t="shared" si="793"/>
        <v>42613</v>
      </c>
      <c r="M200" s="6">
        <f t="shared" si="794"/>
        <v>42615</v>
      </c>
      <c r="N200" s="6">
        <f t="shared" ref="N200:X200" si="799">M200+M$6</f>
        <v>42617</v>
      </c>
      <c r="O200" s="6">
        <f t="shared" si="799"/>
        <v>42619</v>
      </c>
      <c r="P200" s="6">
        <f t="shared" si="799"/>
        <v>42621</v>
      </c>
      <c r="Q200" s="6">
        <f t="shared" si="763"/>
        <v>42623</v>
      </c>
      <c r="R200" s="6">
        <f t="shared" si="763"/>
        <v>42625</v>
      </c>
      <c r="S200" s="6">
        <f t="shared" si="799"/>
        <v>42627</v>
      </c>
      <c r="T200" s="6">
        <f t="shared" si="799"/>
        <v>42629</v>
      </c>
      <c r="U200" s="6">
        <f t="shared" si="799"/>
        <v>42631</v>
      </c>
      <c r="V200" s="6">
        <f t="shared" si="799"/>
        <v>42633</v>
      </c>
      <c r="W200" s="6">
        <f t="shared" si="799"/>
        <v>42635</v>
      </c>
      <c r="X200" s="6">
        <f t="shared" si="799"/>
        <v>42637</v>
      </c>
      <c r="Y200" s="6">
        <f t="shared" si="678"/>
        <v>42639</v>
      </c>
      <c r="Z200" s="6">
        <f t="shared" si="678"/>
        <v>42641</v>
      </c>
      <c r="AA200" s="14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14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</row>
    <row r="201" spans="1:68" x14ac:dyDescent="0.25">
      <c r="A201" s="3">
        <v>16</v>
      </c>
      <c r="B201" s="3" t="s">
        <v>337</v>
      </c>
      <c r="C201" s="36" t="s">
        <v>188</v>
      </c>
      <c r="D201" s="3" t="s">
        <v>294</v>
      </c>
      <c r="E201" s="4">
        <f t="shared" si="761"/>
        <v>42800</v>
      </c>
      <c r="F201" s="6">
        <f t="shared" si="645"/>
        <v>42801</v>
      </c>
      <c r="G201" s="6">
        <f t="shared" si="789"/>
        <v>42803</v>
      </c>
      <c r="H201" s="6">
        <f t="shared" si="790"/>
        <v>42805</v>
      </c>
      <c r="I201" s="6">
        <f t="shared" ref="I201:J201" si="800">H201+H$6</f>
        <v>42807</v>
      </c>
      <c r="J201" s="6">
        <f t="shared" si="800"/>
        <v>42809</v>
      </c>
      <c r="K201" s="6">
        <f t="shared" si="792"/>
        <v>42811</v>
      </c>
      <c r="L201" s="6">
        <f t="shared" si="793"/>
        <v>42813</v>
      </c>
      <c r="M201" s="6">
        <f t="shared" si="794"/>
        <v>42815</v>
      </c>
      <c r="N201" s="6">
        <f t="shared" ref="N201:X201" si="801">M201+M$6</f>
        <v>42817</v>
      </c>
      <c r="O201" s="6">
        <f t="shared" si="801"/>
        <v>42819</v>
      </c>
      <c r="P201" s="6">
        <f t="shared" si="801"/>
        <v>42821</v>
      </c>
      <c r="Q201" s="6">
        <f t="shared" si="763"/>
        <v>42823</v>
      </c>
      <c r="R201" s="6">
        <f t="shared" si="763"/>
        <v>42825</v>
      </c>
      <c r="S201" s="6">
        <f t="shared" si="801"/>
        <v>42827</v>
      </c>
      <c r="T201" s="6">
        <f t="shared" si="801"/>
        <v>42829</v>
      </c>
      <c r="U201" s="6">
        <f t="shared" si="801"/>
        <v>42831</v>
      </c>
      <c r="V201" s="6">
        <f t="shared" si="801"/>
        <v>42833</v>
      </c>
      <c r="W201" s="6">
        <f t="shared" si="801"/>
        <v>42835</v>
      </c>
      <c r="X201" s="6">
        <f t="shared" si="801"/>
        <v>42837</v>
      </c>
      <c r="Y201" s="6">
        <f t="shared" si="678"/>
        <v>42839</v>
      </c>
      <c r="Z201" s="6">
        <f t="shared" si="678"/>
        <v>42841</v>
      </c>
      <c r="AA201" s="14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14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</row>
    <row r="202" spans="1:68" x14ac:dyDescent="0.25">
      <c r="A202" s="3">
        <v>17</v>
      </c>
      <c r="B202" s="3" t="s">
        <v>337</v>
      </c>
      <c r="C202" s="36" t="s">
        <v>189</v>
      </c>
      <c r="D202" s="3" t="s">
        <v>333</v>
      </c>
      <c r="E202" s="4">
        <f t="shared" si="761"/>
        <v>43000</v>
      </c>
      <c r="F202" s="6">
        <f t="shared" si="645"/>
        <v>43001</v>
      </c>
      <c r="G202" s="6">
        <f t="shared" ref="G202:G211" si="802">F202+F$6</f>
        <v>43003</v>
      </c>
      <c r="H202" s="6">
        <f t="shared" ref="H202:H211" si="803">G202+G$6</f>
        <v>43005</v>
      </c>
      <c r="I202" s="6">
        <f t="shared" ref="I202:J202" si="804">H202+H$6</f>
        <v>43007</v>
      </c>
      <c r="J202" s="6">
        <f t="shared" si="804"/>
        <v>43009</v>
      </c>
      <c r="K202" s="6">
        <f t="shared" ref="K202:K211" si="805">J202+J$6</f>
        <v>43011</v>
      </c>
      <c r="L202" s="6">
        <f t="shared" ref="L202:L211" si="806">K202+K$6</f>
        <v>43013</v>
      </c>
      <c r="M202" s="6">
        <f t="shared" ref="M202:M211" si="807">L202+L$6</f>
        <v>43015</v>
      </c>
      <c r="N202" s="6">
        <f t="shared" ref="N202:X202" si="808">M202+M$6</f>
        <v>43017</v>
      </c>
      <c r="O202" s="6">
        <f t="shared" si="808"/>
        <v>43019</v>
      </c>
      <c r="P202" s="6">
        <f t="shared" si="808"/>
        <v>43021</v>
      </c>
      <c r="Q202" s="6">
        <f t="shared" si="763"/>
        <v>43023</v>
      </c>
      <c r="R202" s="6">
        <f t="shared" si="763"/>
        <v>43025</v>
      </c>
      <c r="S202" s="6">
        <f t="shared" si="808"/>
        <v>43027</v>
      </c>
      <c r="T202" s="6">
        <f t="shared" si="808"/>
        <v>43029</v>
      </c>
      <c r="U202" s="6">
        <f t="shared" si="808"/>
        <v>43031</v>
      </c>
      <c r="V202" s="6">
        <f t="shared" si="808"/>
        <v>43033</v>
      </c>
      <c r="W202" s="6">
        <f t="shared" si="808"/>
        <v>43035</v>
      </c>
      <c r="X202" s="6">
        <f t="shared" si="808"/>
        <v>43037</v>
      </c>
      <c r="Y202" s="6">
        <f t="shared" si="678"/>
        <v>43039</v>
      </c>
      <c r="Z202" s="6">
        <f t="shared" si="678"/>
        <v>43041</v>
      </c>
      <c r="AA202" s="14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14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</row>
    <row r="203" spans="1:68" x14ac:dyDescent="0.25">
      <c r="A203" s="3">
        <v>18</v>
      </c>
      <c r="B203" s="3" t="s">
        <v>337</v>
      </c>
      <c r="C203" s="36" t="s">
        <v>190</v>
      </c>
      <c r="D203" s="3" t="s">
        <v>333</v>
      </c>
      <c r="E203" s="4">
        <f t="shared" si="761"/>
        <v>43200</v>
      </c>
      <c r="F203" s="6">
        <f t="shared" si="645"/>
        <v>43201</v>
      </c>
      <c r="G203" s="6">
        <f t="shared" si="802"/>
        <v>43203</v>
      </c>
      <c r="H203" s="6">
        <f t="shared" si="803"/>
        <v>43205</v>
      </c>
      <c r="I203" s="6">
        <f t="shared" ref="I203:J203" si="809">H203+H$6</f>
        <v>43207</v>
      </c>
      <c r="J203" s="6">
        <f t="shared" si="809"/>
        <v>43209</v>
      </c>
      <c r="K203" s="6">
        <f t="shared" si="805"/>
        <v>43211</v>
      </c>
      <c r="L203" s="6">
        <f t="shared" si="806"/>
        <v>43213</v>
      </c>
      <c r="M203" s="6">
        <f t="shared" si="807"/>
        <v>43215</v>
      </c>
      <c r="N203" s="6">
        <f t="shared" ref="N203:X203" si="810">M203+M$6</f>
        <v>43217</v>
      </c>
      <c r="O203" s="6">
        <f t="shared" si="810"/>
        <v>43219</v>
      </c>
      <c r="P203" s="6">
        <f t="shared" si="810"/>
        <v>43221</v>
      </c>
      <c r="Q203" s="6">
        <f t="shared" si="763"/>
        <v>43223</v>
      </c>
      <c r="R203" s="6">
        <f t="shared" si="763"/>
        <v>43225</v>
      </c>
      <c r="S203" s="6">
        <f t="shared" si="810"/>
        <v>43227</v>
      </c>
      <c r="T203" s="6">
        <f t="shared" si="810"/>
        <v>43229</v>
      </c>
      <c r="U203" s="6">
        <f t="shared" si="810"/>
        <v>43231</v>
      </c>
      <c r="V203" s="6">
        <f t="shared" si="810"/>
        <v>43233</v>
      </c>
      <c r="W203" s="6">
        <f t="shared" si="810"/>
        <v>43235</v>
      </c>
      <c r="X203" s="6">
        <f t="shared" si="810"/>
        <v>43237</v>
      </c>
      <c r="Y203" s="6">
        <f t="shared" si="678"/>
        <v>43239</v>
      </c>
      <c r="Z203" s="6">
        <f t="shared" si="678"/>
        <v>43241</v>
      </c>
      <c r="AA203" s="14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14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</row>
    <row r="204" spans="1:68" x14ac:dyDescent="0.25">
      <c r="A204" s="3">
        <v>19</v>
      </c>
      <c r="B204" s="3" t="s">
        <v>337</v>
      </c>
      <c r="C204" s="36" t="s">
        <v>191</v>
      </c>
      <c r="D204" s="3" t="s">
        <v>333</v>
      </c>
      <c r="E204" s="4">
        <f t="shared" si="761"/>
        <v>43400</v>
      </c>
      <c r="F204" s="6">
        <f t="shared" si="645"/>
        <v>43401</v>
      </c>
      <c r="G204" s="6">
        <f t="shared" si="802"/>
        <v>43403</v>
      </c>
      <c r="H204" s="6">
        <f t="shared" si="803"/>
        <v>43405</v>
      </c>
      <c r="I204" s="6">
        <f t="shared" ref="I204:J204" si="811">H204+H$6</f>
        <v>43407</v>
      </c>
      <c r="J204" s="6">
        <f t="shared" si="811"/>
        <v>43409</v>
      </c>
      <c r="K204" s="6">
        <f t="shared" si="805"/>
        <v>43411</v>
      </c>
      <c r="L204" s="6">
        <f t="shared" si="806"/>
        <v>43413</v>
      </c>
      <c r="M204" s="6">
        <f t="shared" si="807"/>
        <v>43415</v>
      </c>
      <c r="N204" s="6">
        <f t="shared" ref="N204:X204" si="812">M204+M$6</f>
        <v>43417</v>
      </c>
      <c r="O204" s="6">
        <f t="shared" si="812"/>
        <v>43419</v>
      </c>
      <c r="P204" s="6">
        <f t="shared" si="812"/>
        <v>43421</v>
      </c>
      <c r="Q204" s="6">
        <f t="shared" si="763"/>
        <v>43423</v>
      </c>
      <c r="R204" s="6">
        <f t="shared" si="763"/>
        <v>43425</v>
      </c>
      <c r="S204" s="6">
        <f t="shared" si="812"/>
        <v>43427</v>
      </c>
      <c r="T204" s="6">
        <f t="shared" si="812"/>
        <v>43429</v>
      </c>
      <c r="U204" s="6">
        <f t="shared" si="812"/>
        <v>43431</v>
      </c>
      <c r="V204" s="6">
        <f t="shared" si="812"/>
        <v>43433</v>
      </c>
      <c r="W204" s="6">
        <f t="shared" si="812"/>
        <v>43435</v>
      </c>
      <c r="X204" s="6">
        <f t="shared" si="812"/>
        <v>43437</v>
      </c>
      <c r="Y204" s="6">
        <f t="shared" si="678"/>
        <v>43439</v>
      </c>
      <c r="Z204" s="6">
        <f t="shared" si="678"/>
        <v>43441</v>
      </c>
      <c r="AA204" s="14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14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</row>
    <row r="205" spans="1:68" x14ac:dyDescent="0.25">
      <c r="A205" s="3">
        <v>20</v>
      </c>
      <c r="B205" s="3" t="s">
        <v>337</v>
      </c>
      <c r="C205" s="36" t="s">
        <v>192</v>
      </c>
      <c r="D205" s="3" t="s">
        <v>333</v>
      </c>
      <c r="E205" s="4">
        <f t="shared" si="761"/>
        <v>43600</v>
      </c>
      <c r="F205" s="6">
        <f t="shared" si="645"/>
        <v>43601</v>
      </c>
      <c r="G205" s="6">
        <f t="shared" si="802"/>
        <v>43603</v>
      </c>
      <c r="H205" s="6">
        <f t="shared" si="803"/>
        <v>43605</v>
      </c>
      <c r="I205" s="6">
        <f t="shared" ref="I205:J205" si="813">H205+H$6</f>
        <v>43607</v>
      </c>
      <c r="J205" s="6">
        <f t="shared" si="813"/>
        <v>43609</v>
      </c>
      <c r="K205" s="6">
        <f t="shared" si="805"/>
        <v>43611</v>
      </c>
      <c r="L205" s="6">
        <f t="shared" si="806"/>
        <v>43613</v>
      </c>
      <c r="M205" s="6">
        <f t="shared" si="807"/>
        <v>43615</v>
      </c>
      <c r="N205" s="6">
        <f t="shared" ref="N205:X219" si="814">M205+M$6</f>
        <v>43617</v>
      </c>
      <c r="O205" s="6">
        <f t="shared" si="814"/>
        <v>43619</v>
      </c>
      <c r="P205" s="6">
        <f t="shared" si="814"/>
        <v>43621</v>
      </c>
      <c r="Q205" s="6">
        <f t="shared" si="814"/>
        <v>43623</v>
      </c>
      <c r="R205" s="6">
        <f t="shared" si="814"/>
        <v>43625</v>
      </c>
      <c r="S205" s="6">
        <f t="shared" si="814"/>
        <v>43627</v>
      </c>
      <c r="T205" s="6">
        <f t="shared" si="814"/>
        <v>43629</v>
      </c>
      <c r="U205" s="6">
        <f t="shared" si="814"/>
        <v>43631</v>
      </c>
      <c r="V205" s="6">
        <f t="shared" si="814"/>
        <v>43633</v>
      </c>
      <c r="W205" s="6">
        <f t="shared" si="814"/>
        <v>43635</v>
      </c>
      <c r="X205" s="6">
        <f t="shared" si="814"/>
        <v>43637</v>
      </c>
      <c r="Y205" s="6">
        <f t="shared" si="678"/>
        <v>43639</v>
      </c>
      <c r="Z205" s="6">
        <f t="shared" si="678"/>
        <v>43641</v>
      </c>
      <c r="AA205" s="14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14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</row>
    <row r="206" spans="1:68" x14ac:dyDescent="0.25">
      <c r="A206" s="3">
        <v>21</v>
      </c>
      <c r="B206" s="3" t="s">
        <v>337</v>
      </c>
      <c r="C206" s="36" t="s">
        <v>193</v>
      </c>
      <c r="D206" s="3" t="s">
        <v>333</v>
      </c>
      <c r="E206" s="4">
        <f t="shared" si="761"/>
        <v>43800</v>
      </c>
      <c r="F206" s="6">
        <f t="shared" si="645"/>
        <v>43801</v>
      </c>
      <c r="G206" s="6">
        <f t="shared" si="802"/>
        <v>43803</v>
      </c>
      <c r="H206" s="6">
        <f t="shared" si="803"/>
        <v>43805</v>
      </c>
      <c r="I206" s="6">
        <f t="shared" ref="I206:J206" si="815">H206+H$6</f>
        <v>43807</v>
      </c>
      <c r="J206" s="6">
        <f t="shared" si="815"/>
        <v>43809</v>
      </c>
      <c r="K206" s="6">
        <f t="shared" si="805"/>
        <v>43811</v>
      </c>
      <c r="L206" s="6">
        <f t="shared" si="806"/>
        <v>43813</v>
      </c>
      <c r="M206" s="6">
        <f t="shared" si="807"/>
        <v>43815</v>
      </c>
      <c r="N206" s="6">
        <f t="shared" ref="N206:X206" si="816">M206+M$6</f>
        <v>43817</v>
      </c>
      <c r="O206" s="6">
        <f t="shared" si="816"/>
        <v>43819</v>
      </c>
      <c r="P206" s="6">
        <f t="shared" si="816"/>
        <v>43821</v>
      </c>
      <c r="Q206" s="6">
        <f t="shared" si="814"/>
        <v>43823</v>
      </c>
      <c r="R206" s="6">
        <f t="shared" si="814"/>
        <v>43825</v>
      </c>
      <c r="S206" s="6">
        <f t="shared" si="816"/>
        <v>43827</v>
      </c>
      <c r="T206" s="6">
        <f t="shared" si="816"/>
        <v>43829</v>
      </c>
      <c r="U206" s="6">
        <f t="shared" si="816"/>
        <v>43831</v>
      </c>
      <c r="V206" s="6">
        <f t="shared" si="816"/>
        <v>43833</v>
      </c>
      <c r="W206" s="6">
        <f t="shared" si="816"/>
        <v>43835</v>
      </c>
      <c r="X206" s="6">
        <f t="shared" si="816"/>
        <v>43837</v>
      </c>
      <c r="Y206" s="6">
        <f t="shared" si="678"/>
        <v>43839</v>
      </c>
      <c r="Z206" s="6">
        <f t="shared" si="678"/>
        <v>43841</v>
      </c>
      <c r="AA206" s="14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14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</row>
    <row r="207" spans="1:68" x14ac:dyDescent="0.25">
      <c r="A207" s="3">
        <v>22</v>
      </c>
      <c r="B207" s="3" t="s">
        <v>337</v>
      </c>
      <c r="C207" s="36" t="s">
        <v>194</v>
      </c>
      <c r="D207" s="3" t="s">
        <v>333</v>
      </c>
      <c r="E207" s="4">
        <f t="shared" si="761"/>
        <v>44000</v>
      </c>
      <c r="F207" s="6">
        <f t="shared" si="645"/>
        <v>44001</v>
      </c>
      <c r="G207" s="6">
        <f t="shared" si="802"/>
        <v>44003</v>
      </c>
      <c r="H207" s="6">
        <f t="shared" si="803"/>
        <v>44005</v>
      </c>
      <c r="I207" s="6">
        <f t="shared" ref="I207:J207" si="817">H207+H$6</f>
        <v>44007</v>
      </c>
      <c r="J207" s="6">
        <f t="shared" si="817"/>
        <v>44009</v>
      </c>
      <c r="K207" s="6">
        <f t="shared" si="805"/>
        <v>44011</v>
      </c>
      <c r="L207" s="6">
        <f t="shared" si="806"/>
        <v>44013</v>
      </c>
      <c r="M207" s="6">
        <f t="shared" si="807"/>
        <v>44015</v>
      </c>
      <c r="N207" s="6">
        <f t="shared" ref="N207:X207" si="818">M207+M$6</f>
        <v>44017</v>
      </c>
      <c r="O207" s="6">
        <f t="shared" si="818"/>
        <v>44019</v>
      </c>
      <c r="P207" s="6">
        <f t="shared" si="818"/>
        <v>44021</v>
      </c>
      <c r="Q207" s="6">
        <f t="shared" si="814"/>
        <v>44023</v>
      </c>
      <c r="R207" s="6">
        <f t="shared" si="814"/>
        <v>44025</v>
      </c>
      <c r="S207" s="6">
        <f t="shared" si="818"/>
        <v>44027</v>
      </c>
      <c r="T207" s="6">
        <f t="shared" si="818"/>
        <v>44029</v>
      </c>
      <c r="U207" s="6">
        <f t="shared" si="818"/>
        <v>44031</v>
      </c>
      <c r="V207" s="6">
        <f t="shared" si="818"/>
        <v>44033</v>
      </c>
      <c r="W207" s="6">
        <f t="shared" si="818"/>
        <v>44035</v>
      </c>
      <c r="X207" s="6">
        <f t="shared" si="818"/>
        <v>44037</v>
      </c>
      <c r="Y207" s="6">
        <f t="shared" si="678"/>
        <v>44039</v>
      </c>
      <c r="Z207" s="6">
        <f t="shared" si="678"/>
        <v>44041</v>
      </c>
      <c r="AA207" s="14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14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</row>
    <row r="208" spans="1:68" x14ac:dyDescent="0.25">
      <c r="A208" s="3">
        <v>23</v>
      </c>
      <c r="B208" s="3" t="s">
        <v>337</v>
      </c>
      <c r="C208" s="36" t="s">
        <v>195</v>
      </c>
      <c r="D208" s="3" t="s">
        <v>333</v>
      </c>
      <c r="E208" s="4">
        <f t="shared" si="761"/>
        <v>44200</v>
      </c>
      <c r="F208" s="6">
        <f t="shared" si="645"/>
        <v>44201</v>
      </c>
      <c r="G208" s="6">
        <f t="shared" si="802"/>
        <v>44203</v>
      </c>
      <c r="H208" s="6">
        <f t="shared" si="803"/>
        <v>44205</v>
      </c>
      <c r="I208" s="6">
        <f t="shared" ref="I208:J208" si="819">H208+H$6</f>
        <v>44207</v>
      </c>
      <c r="J208" s="6">
        <f t="shared" si="819"/>
        <v>44209</v>
      </c>
      <c r="K208" s="6">
        <f t="shared" si="805"/>
        <v>44211</v>
      </c>
      <c r="L208" s="6">
        <f t="shared" si="806"/>
        <v>44213</v>
      </c>
      <c r="M208" s="6">
        <f t="shared" si="807"/>
        <v>44215</v>
      </c>
      <c r="N208" s="6">
        <f t="shared" ref="N208:X208" si="820">M208+M$6</f>
        <v>44217</v>
      </c>
      <c r="O208" s="6">
        <f t="shared" si="820"/>
        <v>44219</v>
      </c>
      <c r="P208" s="6">
        <f t="shared" si="820"/>
        <v>44221</v>
      </c>
      <c r="Q208" s="6">
        <f t="shared" si="814"/>
        <v>44223</v>
      </c>
      <c r="R208" s="6">
        <f t="shared" si="814"/>
        <v>44225</v>
      </c>
      <c r="S208" s="6">
        <f t="shared" si="820"/>
        <v>44227</v>
      </c>
      <c r="T208" s="6">
        <f t="shared" si="820"/>
        <v>44229</v>
      </c>
      <c r="U208" s="6">
        <f t="shared" si="820"/>
        <v>44231</v>
      </c>
      <c r="V208" s="6">
        <f t="shared" si="820"/>
        <v>44233</v>
      </c>
      <c r="W208" s="6">
        <f t="shared" si="820"/>
        <v>44235</v>
      </c>
      <c r="X208" s="6">
        <f t="shared" si="820"/>
        <v>44237</v>
      </c>
      <c r="Y208" s="6">
        <f t="shared" si="678"/>
        <v>44239</v>
      </c>
      <c r="Z208" s="6">
        <f t="shared" si="678"/>
        <v>44241</v>
      </c>
      <c r="AA208" s="14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14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</row>
    <row r="209" spans="1:68" x14ac:dyDescent="0.25">
      <c r="A209" s="3">
        <v>24</v>
      </c>
      <c r="B209" s="3" t="s">
        <v>337</v>
      </c>
      <c r="C209" s="36" t="s">
        <v>196</v>
      </c>
      <c r="D209" s="3" t="s">
        <v>333</v>
      </c>
      <c r="E209" s="4">
        <f t="shared" si="761"/>
        <v>44400</v>
      </c>
      <c r="F209" s="6">
        <f t="shared" si="645"/>
        <v>44401</v>
      </c>
      <c r="G209" s="6">
        <f t="shared" si="802"/>
        <v>44403</v>
      </c>
      <c r="H209" s="6">
        <f t="shared" si="803"/>
        <v>44405</v>
      </c>
      <c r="I209" s="6">
        <f t="shared" ref="I209:J209" si="821">H209+H$6</f>
        <v>44407</v>
      </c>
      <c r="J209" s="6">
        <f t="shared" si="821"/>
        <v>44409</v>
      </c>
      <c r="K209" s="6">
        <f t="shared" si="805"/>
        <v>44411</v>
      </c>
      <c r="L209" s="6">
        <f t="shared" si="806"/>
        <v>44413</v>
      </c>
      <c r="M209" s="6">
        <f t="shared" si="807"/>
        <v>44415</v>
      </c>
      <c r="N209" s="6">
        <f t="shared" ref="N209:X209" si="822">M209+M$6</f>
        <v>44417</v>
      </c>
      <c r="O209" s="6">
        <f t="shared" si="822"/>
        <v>44419</v>
      </c>
      <c r="P209" s="6">
        <f t="shared" si="822"/>
        <v>44421</v>
      </c>
      <c r="Q209" s="6">
        <f t="shared" si="814"/>
        <v>44423</v>
      </c>
      <c r="R209" s="6">
        <f t="shared" si="814"/>
        <v>44425</v>
      </c>
      <c r="S209" s="6">
        <f t="shared" si="822"/>
        <v>44427</v>
      </c>
      <c r="T209" s="6">
        <f t="shared" si="822"/>
        <v>44429</v>
      </c>
      <c r="U209" s="6">
        <f t="shared" si="822"/>
        <v>44431</v>
      </c>
      <c r="V209" s="6">
        <f t="shared" si="822"/>
        <v>44433</v>
      </c>
      <c r="W209" s="6">
        <f t="shared" si="822"/>
        <v>44435</v>
      </c>
      <c r="X209" s="6">
        <f t="shared" si="822"/>
        <v>44437</v>
      </c>
      <c r="Y209" s="6">
        <f t="shared" si="678"/>
        <v>44439</v>
      </c>
      <c r="Z209" s="6">
        <f t="shared" si="678"/>
        <v>44441</v>
      </c>
      <c r="AA209" s="14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14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</row>
    <row r="210" spans="1:68" x14ac:dyDescent="0.25">
      <c r="A210" s="3">
        <v>25</v>
      </c>
      <c r="B210" s="3" t="s">
        <v>337</v>
      </c>
      <c r="C210" s="36" t="s">
        <v>197</v>
      </c>
      <c r="D210" s="3" t="s">
        <v>333</v>
      </c>
      <c r="E210" s="4">
        <f t="shared" si="761"/>
        <v>44600</v>
      </c>
      <c r="F210" s="6">
        <f t="shared" si="645"/>
        <v>44601</v>
      </c>
      <c r="G210" s="6">
        <f t="shared" si="802"/>
        <v>44603</v>
      </c>
      <c r="H210" s="6">
        <f t="shared" si="803"/>
        <v>44605</v>
      </c>
      <c r="I210" s="6">
        <f t="shared" ref="I210:J210" si="823">H210+H$6</f>
        <v>44607</v>
      </c>
      <c r="J210" s="6">
        <f t="shared" si="823"/>
        <v>44609</v>
      </c>
      <c r="K210" s="6">
        <f t="shared" si="805"/>
        <v>44611</v>
      </c>
      <c r="L210" s="6">
        <f t="shared" si="806"/>
        <v>44613</v>
      </c>
      <c r="M210" s="6">
        <f t="shared" si="807"/>
        <v>44615</v>
      </c>
      <c r="N210" s="6">
        <f t="shared" ref="N210:X210" si="824">M210+M$6</f>
        <v>44617</v>
      </c>
      <c r="O210" s="6">
        <f t="shared" si="824"/>
        <v>44619</v>
      </c>
      <c r="P210" s="6">
        <f t="shared" si="824"/>
        <v>44621</v>
      </c>
      <c r="Q210" s="6">
        <f t="shared" si="814"/>
        <v>44623</v>
      </c>
      <c r="R210" s="6">
        <f t="shared" si="814"/>
        <v>44625</v>
      </c>
      <c r="S210" s="6">
        <f t="shared" si="824"/>
        <v>44627</v>
      </c>
      <c r="T210" s="6">
        <f t="shared" si="824"/>
        <v>44629</v>
      </c>
      <c r="U210" s="6">
        <f t="shared" si="824"/>
        <v>44631</v>
      </c>
      <c r="V210" s="6">
        <f t="shared" si="824"/>
        <v>44633</v>
      </c>
      <c r="W210" s="6">
        <f t="shared" si="824"/>
        <v>44635</v>
      </c>
      <c r="X210" s="6">
        <f t="shared" si="824"/>
        <v>44637</v>
      </c>
      <c r="Y210" s="6">
        <f t="shared" si="678"/>
        <v>44639</v>
      </c>
      <c r="Z210" s="6">
        <f t="shared" si="678"/>
        <v>44641</v>
      </c>
      <c r="AA210" s="14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14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</row>
    <row r="211" spans="1:68" x14ac:dyDescent="0.25">
      <c r="A211" s="3">
        <v>26</v>
      </c>
      <c r="B211" s="3" t="s">
        <v>337</v>
      </c>
      <c r="C211" s="36" t="s">
        <v>198</v>
      </c>
      <c r="D211" s="3" t="s">
        <v>333</v>
      </c>
      <c r="E211" s="4">
        <f t="shared" si="761"/>
        <v>44800</v>
      </c>
      <c r="F211" s="6">
        <f t="shared" si="645"/>
        <v>44801</v>
      </c>
      <c r="G211" s="6">
        <f t="shared" si="802"/>
        <v>44803</v>
      </c>
      <c r="H211" s="6">
        <f t="shared" si="803"/>
        <v>44805</v>
      </c>
      <c r="I211" s="6">
        <f t="shared" ref="I211:J211" si="825">H211+H$6</f>
        <v>44807</v>
      </c>
      <c r="J211" s="6">
        <f t="shared" si="825"/>
        <v>44809</v>
      </c>
      <c r="K211" s="6">
        <f t="shared" si="805"/>
        <v>44811</v>
      </c>
      <c r="L211" s="6">
        <f t="shared" si="806"/>
        <v>44813</v>
      </c>
      <c r="M211" s="6">
        <f t="shared" si="807"/>
        <v>44815</v>
      </c>
      <c r="N211" s="6">
        <f t="shared" ref="N211:X211" si="826">M211+M$6</f>
        <v>44817</v>
      </c>
      <c r="O211" s="6">
        <f t="shared" si="826"/>
        <v>44819</v>
      </c>
      <c r="P211" s="6">
        <f t="shared" si="826"/>
        <v>44821</v>
      </c>
      <c r="Q211" s="6">
        <f t="shared" si="814"/>
        <v>44823</v>
      </c>
      <c r="R211" s="6">
        <f t="shared" si="814"/>
        <v>44825</v>
      </c>
      <c r="S211" s="6">
        <f t="shared" si="826"/>
        <v>44827</v>
      </c>
      <c r="T211" s="6">
        <f t="shared" si="826"/>
        <v>44829</v>
      </c>
      <c r="U211" s="6">
        <f t="shared" si="826"/>
        <v>44831</v>
      </c>
      <c r="V211" s="6">
        <f t="shared" si="826"/>
        <v>44833</v>
      </c>
      <c r="W211" s="6">
        <f t="shared" si="826"/>
        <v>44835</v>
      </c>
      <c r="X211" s="6">
        <f t="shared" si="826"/>
        <v>44837</v>
      </c>
      <c r="Y211" s="6">
        <f t="shared" si="678"/>
        <v>44839</v>
      </c>
      <c r="Z211" s="6">
        <f t="shared" si="678"/>
        <v>44841</v>
      </c>
      <c r="AA211" s="14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14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</row>
    <row r="212" spans="1:68" x14ac:dyDescent="0.25">
      <c r="A212" s="3">
        <v>27</v>
      </c>
      <c r="B212" s="3" t="s">
        <v>337</v>
      </c>
      <c r="C212" s="36" t="s">
        <v>199</v>
      </c>
      <c r="D212" s="3" t="s">
        <v>334</v>
      </c>
      <c r="E212" s="4">
        <f t="shared" si="761"/>
        <v>45000</v>
      </c>
      <c r="F212" s="6">
        <f t="shared" si="645"/>
        <v>45001</v>
      </c>
      <c r="G212" s="6">
        <f t="shared" ref="G212:G219" si="827">F212+F$6</f>
        <v>45003</v>
      </c>
      <c r="H212" s="6">
        <f t="shared" ref="H212:H219" si="828">G212+G$6</f>
        <v>45005</v>
      </c>
      <c r="I212" s="6">
        <f t="shared" ref="I212:J212" si="829">H212+H$6</f>
        <v>45007</v>
      </c>
      <c r="J212" s="6">
        <f t="shared" si="829"/>
        <v>45009</v>
      </c>
      <c r="K212" s="6">
        <f t="shared" ref="K212:K219" si="830">J212+J$6</f>
        <v>45011</v>
      </c>
      <c r="L212" s="6">
        <f t="shared" ref="L212:L219" si="831">K212+K$6</f>
        <v>45013</v>
      </c>
      <c r="M212" s="6">
        <f t="shared" ref="M212:M219" si="832">L212+L$6</f>
        <v>45015</v>
      </c>
      <c r="N212" s="6">
        <f t="shared" ref="N212:X212" si="833">M212+M$6</f>
        <v>45017</v>
      </c>
      <c r="O212" s="6">
        <f t="shared" si="833"/>
        <v>45019</v>
      </c>
      <c r="P212" s="6">
        <f t="shared" si="833"/>
        <v>45021</v>
      </c>
      <c r="Q212" s="6">
        <f t="shared" si="814"/>
        <v>45023</v>
      </c>
      <c r="R212" s="6">
        <f t="shared" si="814"/>
        <v>45025</v>
      </c>
      <c r="S212" s="6">
        <f t="shared" si="833"/>
        <v>45027</v>
      </c>
      <c r="T212" s="6">
        <f t="shared" si="833"/>
        <v>45029</v>
      </c>
      <c r="U212" s="6">
        <f t="shared" si="833"/>
        <v>45031</v>
      </c>
      <c r="V212" s="6">
        <f t="shared" si="833"/>
        <v>45033</v>
      </c>
      <c r="W212" s="6">
        <f t="shared" si="833"/>
        <v>45035</v>
      </c>
      <c r="X212" s="6">
        <f t="shared" si="833"/>
        <v>45037</v>
      </c>
      <c r="Y212" s="6">
        <f t="shared" si="678"/>
        <v>45039</v>
      </c>
      <c r="Z212" s="6">
        <f t="shared" si="678"/>
        <v>45041</v>
      </c>
      <c r="AA212" s="14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14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</row>
    <row r="213" spans="1:68" x14ac:dyDescent="0.25">
      <c r="A213" s="3">
        <v>28</v>
      </c>
      <c r="B213" s="3" t="s">
        <v>337</v>
      </c>
      <c r="C213" s="36" t="s">
        <v>200</v>
      </c>
      <c r="D213" s="3" t="s">
        <v>334</v>
      </c>
      <c r="E213" s="4">
        <f t="shared" si="761"/>
        <v>45200</v>
      </c>
      <c r="F213" s="6">
        <f t="shared" si="645"/>
        <v>45201</v>
      </c>
      <c r="G213" s="6">
        <f t="shared" si="827"/>
        <v>45203</v>
      </c>
      <c r="H213" s="6">
        <f t="shared" si="828"/>
        <v>45205</v>
      </c>
      <c r="I213" s="6">
        <f t="shared" ref="I213:J213" si="834">H213+H$6</f>
        <v>45207</v>
      </c>
      <c r="J213" s="6">
        <f t="shared" si="834"/>
        <v>45209</v>
      </c>
      <c r="K213" s="6">
        <f t="shared" si="830"/>
        <v>45211</v>
      </c>
      <c r="L213" s="6">
        <f t="shared" si="831"/>
        <v>45213</v>
      </c>
      <c r="M213" s="6">
        <f t="shared" si="832"/>
        <v>45215</v>
      </c>
      <c r="N213" s="6">
        <f t="shared" ref="N213:X213" si="835">M213+M$6</f>
        <v>45217</v>
      </c>
      <c r="O213" s="6">
        <f t="shared" si="835"/>
        <v>45219</v>
      </c>
      <c r="P213" s="6">
        <f t="shared" si="835"/>
        <v>45221</v>
      </c>
      <c r="Q213" s="6">
        <f t="shared" si="814"/>
        <v>45223</v>
      </c>
      <c r="R213" s="6">
        <f t="shared" si="814"/>
        <v>45225</v>
      </c>
      <c r="S213" s="6">
        <f t="shared" si="835"/>
        <v>45227</v>
      </c>
      <c r="T213" s="6">
        <f t="shared" si="835"/>
        <v>45229</v>
      </c>
      <c r="U213" s="6">
        <f t="shared" si="835"/>
        <v>45231</v>
      </c>
      <c r="V213" s="6">
        <f t="shared" si="835"/>
        <v>45233</v>
      </c>
      <c r="W213" s="6">
        <f t="shared" si="835"/>
        <v>45235</v>
      </c>
      <c r="X213" s="6">
        <f t="shared" si="835"/>
        <v>45237</v>
      </c>
      <c r="Y213" s="6">
        <f t="shared" si="678"/>
        <v>45239</v>
      </c>
      <c r="Z213" s="6">
        <f t="shared" si="678"/>
        <v>45241</v>
      </c>
      <c r="AA213" s="14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14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</row>
    <row r="214" spans="1:68" x14ac:dyDescent="0.25">
      <c r="A214" s="3">
        <v>29</v>
      </c>
      <c r="B214" s="3" t="s">
        <v>337</v>
      </c>
      <c r="C214" s="36" t="s">
        <v>201</v>
      </c>
      <c r="D214" s="3" t="s">
        <v>334</v>
      </c>
      <c r="E214" s="4">
        <f t="shared" si="761"/>
        <v>45400</v>
      </c>
      <c r="F214" s="6">
        <f t="shared" si="645"/>
        <v>45401</v>
      </c>
      <c r="G214" s="6">
        <f t="shared" si="827"/>
        <v>45403</v>
      </c>
      <c r="H214" s="6">
        <f t="shared" si="828"/>
        <v>45405</v>
      </c>
      <c r="I214" s="6">
        <f t="shared" ref="I214:J214" si="836">H214+H$6</f>
        <v>45407</v>
      </c>
      <c r="J214" s="6">
        <f t="shared" si="836"/>
        <v>45409</v>
      </c>
      <c r="K214" s="6">
        <f t="shared" si="830"/>
        <v>45411</v>
      </c>
      <c r="L214" s="6">
        <f t="shared" si="831"/>
        <v>45413</v>
      </c>
      <c r="M214" s="6">
        <f t="shared" si="832"/>
        <v>45415</v>
      </c>
      <c r="N214" s="6">
        <f t="shared" ref="N214:X214" si="837">M214+M$6</f>
        <v>45417</v>
      </c>
      <c r="O214" s="6">
        <f t="shared" si="837"/>
        <v>45419</v>
      </c>
      <c r="P214" s="6">
        <f t="shared" si="837"/>
        <v>45421</v>
      </c>
      <c r="Q214" s="6">
        <f t="shared" si="814"/>
        <v>45423</v>
      </c>
      <c r="R214" s="6">
        <f t="shared" si="814"/>
        <v>45425</v>
      </c>
      <c r="S214" s="6">
        <f t="shared" si="837"/>
        <v>45427</v>
      </c>
      <c r="T214" s="6">
        <f t="shared" si="837"/>
        <v>45429</v>
      </c>
      <c r="U214" s="6">
        <f t="shared" si="837"/>
        <v>45431</v>
      </c>
      <c r="V214" s="6">
        <f t="shared" si="837"/>
        <v>45433</v>
      </c>
      <c r="W214" s="6">
        <f t="shared" si="837"/>
        <v>45435</v>
      </c>
      <c r="X214" s="6">
        <f t="shared" si="837"/>
        <v>45437</v>
      </c>
      <c r="Y214" s="6">
        <f t="shared" si="678"/>
        <v>45439</v>
      </c>
      <c r="Z214" s="6">
        <f t="shared" si="678"/>
        <v>45441</v>
      </c>
      <c r="AA214" s="14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14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</row>
    <row r="215" spans="1:68" x14ac:dyDescent="0.25">
      <c r="A215" s="3">
        <v>30</v>
      </c>
      <c r="B215" s="3" t="s">
        <v>337</v>
      </c>
      <c r="C215" s="36" t="s">
        <v>202</v>
      </c>
      <c r="D215" s="3" t="s">
        <v>334</v>
      </c>
      <c r="E215" s="4">
        <f t="shared" si="761"/>
        <v>45600</v>
      </c>
      <c r="F215" s="6">
        <f t="shared" si="645"/>
        <v>45601</v>
      </c>
      <c r="G215" s="6">
        <f t="shared" si="827"/>
        <v>45603</v>
      </c>
      <c r="H215" s="6">
        <f t="shared" si="828"/>
        <v>45605</v>
      </c>
      <c r="I215" s="6">
        <f t="shared" ref="I215:J215" si="838">H215+H$6</f>
        <v>45607</v>
      </c>
      <c r="J215" s="6">
        <f t="shared" si="838"/>
        <v>45609</v>
      </c>
      <c r="K215" s="6">
        <f t="shared" si="830"/>
        <v>45611</v>
      </c>
      <c r="L215" s="6">
        <f t="shared" si="831"/>
        <v>45613</v>
      </c>
      <c r="M215" s="6">
        <f t="shared" si="832"/>
        <v>45615</v>
      </c>
      <c r="N215" s="6">
        <f t="shared" ref="N215:X215" si="839">M215+M$6</f>
        <v>45617</v>
      </c>
      <c r="O215" s="6">
        <f t="shared" si="839"/>
        <v>45619</v>
      </c>
      <c r="P215" s="6">
        <f t="shared" si="839"/>
        <v>45621</v>
      </c>
      <c r="Q215" s="6">
        <f t="shared" si="814"/>
        <v>45623</v>
      </c>
      <c r="R215" s="6">
        <f t="shared" si="814"/>
        <v>45625</v>
      </c>
      <c r="S215" s="6">
        <f t="shared" si="839"/>
        <v>45627</v>
      </c>
      <c r="T215" s="6">
        <f t="shared" si="839"/>
        <v>45629</v>
      </c>
      <c r="U215" s="6">
        <f t="shared" si="839"/>
        <v>45631</v>
      </c>
      <c r="V215" s="6">
        <f t="shared" si="839"/>
        <v>45633</v>
      </c>
      <c r="W215" s="6">
        <f t="shared" si="839"/>
        <v>45635</v>
      </c>
      <c r="X215" s="6">
        <f t="shared" si="839"/>
        <v>45637</v>
      </c>
      <c r="Y215" s="6">
        <f t="shared" si="678"/>
        <v>45639</v>
      </c>
      <c r="Z215" s="6">
        <f t="shared" si="678"/>
        <v>45641</v>
      </c>
      <c r="AA215" s="14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14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</row>
    <row r="216" spans="1:68" x14ac:dyDescent="0.25">
      <c r="A216" s="3">
        <v>31</v>
      </c>
      <c r="B216" s="3" t="s">
        <v>337</v>
      </c>
      <c r="C216" s="36" t="s">
        <v>203</v>
      </c>
      <c r="D216" s="3" t="s">
        <v>334</v>
      </c>
      <c r="E216" s="4">
        <f t="shared" si="761"/>
        <v>45800</v>
      </c>
      <c r="F216" s="6">
        <f t="shared" si="645"/>
        <v>45801</v>
      </c>
      <c r="G216" s="6">
        <f t="shared" si="827"/>
        <v>45803</v>
      </c>
      <c r="H216" s="6">
        <f t="shared" si="828"/>
        <v>45805</v>
      </c>
      <c r="I216" s="6">
        <f t="shared" ref="I216:J216" si="840">H216+H$6</f>
        <v>45807</v>
      </c>
      <c r="J216" s="6">
        <f t="shared" si="840"/>
        <v>45809</v>
      </c>
      <c r="K216" s="6">
        <f t="shared" si="830"/>
        <v>45811</v>
      </c>
      <c r="L216" s="6">
        <f t="shared" si="831"/>
        <v>45813</v>
      </c>
      <c r="M216" s="6">
        <f t="shared" si="832"/>
        <v>45815</v>
      </c>
      <c r="N216" s="6">
        <f t="shared" ref="N216:X216" si="841">M216+M$6</f>
        <v>45817</v>
      </c>
      <c r="O216" s="6">
        <f t="shared" si="841"/>
        <v>45819</v>
      </c>
      <c r="P216" s="6">
        <f t="shared" si="841"/>
        <v>45821</v>
      </c>
      <c r="Q216" s="6">
        <f t="shared" si="814"/>
        <v>45823</v>
      </c>
      <c r="R216" s="6">
        <f t="shared" si="814"/>
        <v>45825</v>
      </c>
      <c r="S216" s="6">
        <f t="shared" si="841"/>
        <v>45827</v>
      </c>
      <c r="T216" s="6">
        <f t="shared" si="841"/>
        <v>45829</v>
      </c>
      <c r="U216" s="6">
        <f t="shared" si="841"/>
        <v>45831</v>
      </c>
      <c r="V216" s="6">
        <f t="shared" si="841"/>
        <v>45833</v>
      </c>
      <c r="W216" s="6">
        <f t="shared" si="841"/>
        <v>45835</v>
      </c>
      <c r="X216" s="6">
        <f t="shared" si="841"/>
        <v>45837</v>
      </c>
      <c r="Y216" s="6">
        <f t="shared" si="678"/>
        <v>45839</v>
      </c>
      <c r="Z216" s="6">
        <f t="shared" si="678"/>
        <v>45841</v>
      </c>
      <c r="AA216" s="14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14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</row>
    <row r="217" spans="1:68" x14ac:dyDescent="0.25">
      <c r="A217" s="3">
        <v>32</v>
      </c>
      <c r="B217" s="3" t="s">
        <v>337</v>
      </c>
      <c r="C217" s="36" t="s">
        <v>204</v>
      </c>
      <c r="D217" s="3" t="s">
        <v>334</v>
      </c>
      <c r="E217" s="4">
        <f t="shared" si="761"/>
        <v>46000</v>
      </c>
      <c r="F217" s="6">
        <f t="shared" si="645"/>
        <v>46001</v>
      </c>
      <c r="G217" s="6">
        <f t="shared" si="827"/>
        <v>46003</v>
      </c>
      <c r="H217" s="6">
        <f t="shared" si="828"/>
        <v>46005</v>
      </c>
      <c r="I217" s="6">
        <f t="shared" ref="I217:J217" si="842">H217+H$6</f>
        <v>46007</v>
      </c>
      <c r="J217" s="6">
        <f t="shared" si="842"/>
        <v>46009</v>
      </c>
      <c r="K217" s="6">
        <f t="shared" si="830"/>
        <v>46011</v>
      </c>
      <c r="L217" s="6">
        <f t="shared" si="831"/>
        <v>46013</v>
      </c>
      <c r="M217" s="6">
        <f t="shared" si="832"/>
        <v>46015</v>
      </c>
      <c r="N217" s="6">
        <f t="shared" ref="N217:X217" si="843">M217+M$6</f>
        <v>46017</v>
      </c>
      <c r="O217" s="6">
        <f t="shared" si="843"/>
        <v>46019</v>
      </c>
      <c r="P217" s="6">
        <f t="shared" si="843"/>
        <v>46021</v>
      </c>
      <c r="Q217" s="6">
        <f t="shared" si="814"/>
        <v>46023</v>
      </c>
      <c r="R217" s="6">
        <f t="shared" si="814"/>
        <v>46025</v>
      </c>
      <c r="S217" s="6">
        <f t="shared" si="843"/>
        <v>46027</v>
      </c>
      <c r="T217" s="6">
        <f t="shared" si="843"/>
        <v>46029</v>
      </c>
      <c r="U217" s="6">
        <f t="shared" si="843"/>
        <v>46031</v>
      </c>
      <c r="V217" s="6">
        <f t="shared" si="843"/>
        <v>46033</v>
      </c>
      <c r="W217" s="6">
        <f t="shared" si="843"/>
        <v>46035</v>
      </c>
      <c r="X217" s="6">
        <f t="shared" si="843"/>
        <v>46037</v>
      </c>
      <c r="Y217" s="6">
        <f t="shared" si="678"/>
        <v>46039</v>
      </c>
      <c r="Z217" s="6">
        <f t="shared" si="678"/>
        <v>46041</v>
      </c>
      <c r="AA217" s="14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14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</row>
    <row r="218" spans="1:68" x14ac:dyDescent="0.25">
      <c r="A218" s="3">
        <v>33</v>
      </c>
      <c r="B218" s="3" t="s">
        <v>337</v>
      </c>
      <c r="C218" s="36" t="s">
        <v>205</v>
      </c>
      <c r="D218" s="3" t="s">
        <v>334</v>
      </c>
      <c r="E218" s="4">
        <f t="shared" si="761"/>
        <v>46200</v>
      </c>
      <c r="F218" s="6">
        <f t="shared" si="645"/>
        <v>46201</v>
      </c>
      <c r="G218" s="6">
        <f t="shared" si="827"/>
        <v>46203</v>
      </c>
      <c r="H218" s="6">
        <f t="shared" si="828"/>
        <v>46205</v>
      </c>
      <c r="I218" s="6">
        <f t="shared" ref="I218:J218" si="844">H218+H$6</f>
        <v>46207</v>
      </c>
      <c r="J218" s="6">
        <f t="shared" si="844"/>
        <v>46209</v>
      </c>
      <c r="K218" s="6">
        <f t="shared" si="830"/>
        <v>46211</v>
      </c>
      <c r="L218" s="6">
        <f t="shared" si="831"/>
        <v>46213</v>
      </c>
      <c r="M218" s="6">
        <f t="shared" si="832"/>
        <v>46215</v>
      </c>
      <c r="N218" s="6">
        <f t="shared" ref="N218:X218" si="845">M218+M$6</f>
        <v>46217</v>
      </c>
      <c r="O218" s="6">
        <f t="shared" si="845"/>
        <v>46219</v>
      </c>
      <c r="P218" s="6">
        <f t="shared" si="845"/>
        <v>46221</v>
      </c>
      <c r="Q218" s="6">
        <f t="shared" si="814"/>
        <v>46223</v>
      </c>
      <c r="R218" s="6">
        <f t="shared" si="814"/>
        <v>46225</v>
      </c>
      <c r="S218" s="6">
        <f t="shared" si="845"/>
        <v>46227</v>
      </c>
      <c r="T218" s="6">
        <f t="shared" si="845"/>
        <v>46229</v>
      </c>
      <c r="U218" s="6">
        <f t="shared" si="845"/>
        <v>46231</v>
      </c>
      <c r="V218" s="6">
        <f t="shared" si="845"/>
        <v>46233</v>
      </c>
      <c r="W218" s="6">
        <f t="shared" si="845"/>
        <v>46235</v>
      </c>
      <c r="X218" s="6">
        <f t="shared" si="845"/>
        <v>46237</v>
      </c>
      <c r="Y218" s="6">
        <f t="shared" si="678"/>
        <v>46239</v>
      </c>
      <c r="Z218" s="6">
        <f t="shared" si="678"/>
        <v>46241</v>
      </c>
      <c r="AA218" s="14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14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</row>
    <row r="219" spans="1:68" x14ac:dyDescent="0.25">
      <c r="A219" s="3">
        <v>34</v>
      </c>
      <c r="B219" s="3" t="s">
        <v>337</v>
      </c>
      <c r="C219" s="36" t="s">
        <v>206</v>
      </c>
      <c r="D219" s="3" t="s">
        <v>334</v>
      </c>
      <c r="E219" s="4">
        <f t="shared" si="761"/>
        <v>46400</v>
      </c>
      <c r="F219" s="6">
        <f t="shared" si="645"/>
        <v>46401</v>
      </c>
      <c r="G219" s="6">
        <f t="shared" si="827"/>
        <v>46403</v>
      </c>
      <c r="H219" s="6">
        <f t="shared" si="828"/>
        <v>46405</v>
      </c>
      <c r="I219" s="6">
        <f t="shared" ref="I219:J219" si="846">H219+H$6</f>
        <v>46407</v>
      </c>
      <c r="J219" s="6">
        <f t="shared" si="846"/>
        <v>46409</v>
      </c>
      <c r="K219" s="6">
        <f t="shared" si="830"/>
        <v>46411</v>
      </c>
      <c r="L219" s="6">
        <f t="shared" si="831"/>
        <v>46413</v>
      </c>
      <c r="M219" s="6">
        <f t="shared" si="832"/>
        <v>46415</v>
      </c>
      <c r="N219" s="6">
        <f t="shared" ref="N219:X219" si="847">M219+M$6</f>
        <v>46417</v>
      </c>
      <c r="O219" s="6">
        <f t="shared" si="847"/>
        <v>46419</v>
      </c>
      <c r="P219" s="6">
        <f t="shared" si="847"/>
        <v>46421</v>
      </c>
      <c r="Q219" s="6">
        <f t="shared" si="814"/>
        <v>46423</v>
      </c>
      <c r="R219" s="6">
        <f t="shared" si="814"/>
        <v>46425</v>
      </c>
      <c r="S219" s="6">
        <f t="shared" si="847"/>
        <v>46427</v>
      </c>
      <c r="T219" s="6">
        <f t="shared" si="847"/>
        <v>46429</v>
      </c>
      <c r="U219" s="6">
        <f t="shared" si="847"/>
        <v>46431</v>
      </c>
      <c r="V219" s="6">
        <f t="shared" si="847"/>
        <v>46433</v>
      </c>
      <c r="W219" s="6">
        <f t="shared" si="847"/>
        <v>46435</v>
      </c>
      <c r="X219" s="6">
        <f t="shared" si="847"/>
        <v>46437</v>
      </c>
      <c r="Y219" s="6">
        <f t="shared" si="678"/>
        <v>46439</v>
      </c>
      <c r="Z219" s="6">
        <f t="shared" si="678"/>
        <v>46441</v>
      </c>
      <c r="AA219" s="14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14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</row>
    <row r="220" spans="1:68" x14ac:dyDescent="0.25">
      <c r="A220" s="3">
        <v>35</v>
      </c>
      <c r="B220" s="3" t="s">
        <v>337</v>
      </c>
      <c r="C220" s="10" t="s">
        <v>271</v>
      </c>
      <c r="D220" s="10" t="s">
        <v>323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</row>
    <row r="221" spans="1:68" x14ac:dyDescent="0.25">
      <c r="A221" s="3">
        <v>36</v>
      </c>
      <c r="B221" s="3" t="s">
        <v>337</v>
      </c>
      <c r="C221" s="36" t="s">
        <v>207</v>
      </c>
      <c r="D221" s="3" t="s">
        <v>323</v>
      </c>
      <c r="E221" s="4">
        <f>E219+$E$2</f>
        <v>46600</v>
      </c>
      <c r="F221" s="6">
        <f t="shared" si="645"/>
        <v>46601</v>
      </c>
      <c r="G221" s="6">
        <f t="shared" ref="G221:G225" si="848">F221+F$6</f>
        <v>46603</v>
      </c>
      <c r="H221" s="6">
        <f t="shared" ref="H221:H225" si="849">G221+G$6</f>
        <v>46605</v>
      </c>
      <c r="I221" s="6">
        <f t="shared" ref="I221:J221" si="850">H221+H$6</f>
        <v>46607</v>
      </c>
      <c r="J221" s="6">
        <f t="shared" si="850"/>
        <v>46609</v>
      </c>
      <c r="K221" s="6">
        <f t="shared" ref="K221:K225" si="851">J221+J$6</f>
        <v>46611</v>
      </c>
      <c r="L221" s="6">
        <f t="shared" ref="L221:L225" si="852">K221+K$6</f>
        <v>46613</v>
      </c>
      <c r="M221" s="6">
        <f t="shared" ref="M221:M225" si="853">L221+L$6</f>
        <v>46615</v>
      </c>
      <c r="N221" s="6">
        <f t="shared" ref="N221:X221" si="854">M221+M$6</f>
        <v>46617</v>
      </c>
      <c r="O221" s="6">
        <f t="shared" si="854"/>
        <v>46619</v>
      </c>
      <c r="P221" s="6">
        <f t="shared" si="854"/>
        <v>46621</v>
      </c>
      <c r="Q221" s="6">
        <f t="shared" ref="Q221:R221" si="855">P221+P$6</f>
        <v>46623</v>
      </c>
      <c r="R221" s="6">
        <f t="shared" si="855"/>
        <v>46625</v>
      </c>
      <c r="S221" s="6">
        <f t="shared" si="854"/>
        <v>46627</v>
      </c>
      <c r="T221" s="6">
        <f t="shared" si="854"/>
        <v>46629</v>
      </c>
      <c r="U221" s="6">
        <f t="shared" si="854"/>
        <v>46631</v>
      </c>
      <c r="V221" s="6">
        <f t="shared" si="854"/>
        <v>46633</v>
      </c>
      <c r="W221" s="6">
        <f t="shared" si="854"/>
        <v>46635</v>
      </c>
      <c r="X221" s="6">
        <f t="shared" si="854"/>
        <v>46637</v>
      </c>
      <c r="Y221" s="6">
        <f t="shared" si="678"/>
        <v>46639</v>
      </c>
      <c r="Z221" s="6">
        <f t="shared" si="678"/>
        <v>46641</v>
      </c>
      <c r="AA221" s="14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14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</row>
    <row r="222" spans="1:68" x14ac:dyDescent="0.25">
      <c r="A222" s="3">
        <v>37</v>
      </c>
      <c r="B222" s="3" t="s">
        <v>337</v>
      </c>
      <c r="C222" s="36" t="s">
        <v>208</v>
      </c>
      <c r="D222" s="3" t="s">
        <v>323</v>
      </c>
      <c r="E222" s="4">
        <f t="shared" si="761"/>
        <v>46800</v>
      </c>
      <c r="F222" s="6">
        <f t="shared" si="645"/>
        <v>46801</v>
      </c>
      <c r="G222" s="6">
        <f t="shared" si="848"/>
        <v>46803</v>
      </c>
      <c r="H222" s="6">
        <f t="shared" si="849"/>
        <v>46805</v>
      </c>
      <c r="I222" s="6">
        <f t="shared" ref="I222:J222" si="856">H222+H$6</f>
        <v>46807</v>
      </c>
      <c r="J222" s="6">
        <f t="shared" si="856"/>
        <v>46809</v>
      </c>
      <c r="K222" s="6">
        <f t="shared" si="851"/>
        <v>46811</v>
      </c>
      <c r="L222" s="6">
        <f t="shared" si="852"/>
        <v>46813</v>
      </c>
      <c r="M222" s="6">
        <f t="shared" si="853"/>
        <v>46815</v>
      </c>
      <c r="N222" s="6">
        <f t="shared" ref="N222:X232" si="857">M222+M$6</f>
        <v>46817</v>
      </c>
      <c r="O222" s="6">
        <f t="shared" si="857"/>
        <v>46819</v>
      </c>
      <c r="P222" s="6">
        <f t="shared" si="857"/>
        <v>46821</v>
      </c>
      <c r="Q222" s="6">
        <f t="shared" si="857"/>
        <v>46823</v>
      </c>
      <c r="R222" s="6">
        <f t="shared" si="857"/>
        <v>46825</v>
      </c>
      <c r="S222" s="6">
        <f t="shared" si="857"/>
        <v>46827</v>
      </c>
      <c r="T222" s="6">
        <f t="shared" si="857"/>
        <v>46829</v>
      </c>
      <c r="U222" s="6">
        <f t="shared" si="857"/>
        <v>46831</v>
      </c>
      <c r="V222" s="6">
        <f t="shared" si="857"/>
        <v>46833</v>
      </c>
      <c r="W222" s="6">
        <f t="shared" si="857"/>
        <v>46835</v>
      </c>
      <c r="X222" s="6">
        <f t="shared" si="857"/>
        <v>46837</v>
      </c>
      <c r="Y222" s="6">
        <f t="shared" si="678"/>
        <v>46839</v>
      </c>
      <c r="Z222" s="6">
        <f t="shared" si="678"/>
        <v>46841</v>
      </c>
      <c r="AA222" s="14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14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</row>
    <row r="223" spans="1:68" x14ac:dyDescent="0.25">
      <c r="A223" s="3">
        <v>38</v>
      </c>
      <c r="B223" s="3" t="s">
        <v>337</v>
      </c>
      <c r="C223" s="36" t="s">
        <v>209</v>
      </c>
      <c r="D223" s="3" t="s">
        <v>323</v>
      </c>
      <c r="E223" s="4">
        <f t="shared" si="761"/>
        <v>47000</v>
      </c>
      <c r="F223" s="6">
        <f t="shared" si="645"/>
        <v>47001</v>
      </c>
      <c r="G223" s="6">
        <f t="shared" si="848"/>
        <v>47003</v>
      </c>
      <c r="H223" s="6">
        <f t="shared" si="849"/>
        <v>47005</v>
      </c>
      <c r="I223" s="6">
        <f t="shared" ref="I223:J223" si="858">H223+H$6</f>
        <v>47007</v>
      </c>
      <c r="J223" s="6">
        <f t="shared" si="858"/>
        <v>47009</v>
      </c>
      <c r="K223" s="6">
        <f t="shared" si="851"/>
        <v>47011</v>
      </c>
      <c r="L223" s="6">
        <f t="shared" si="852"/>
        <v>47013</v>
      </c>
      <c r="M223" s="6">
        <f t="shared" si="853"/>
        <v>47015</v>
      </c>
      <c r="N223" s="6">
        <f t="shared" ref="N223:X223" si="859">M223+M$6</f>
        <v>47017</v>
      </c>
      <c r="O223" s="6">
        <f t="shared" si="859"/>
        <v>47019</v>
      </c>
      <c r="P223" s="6">
        <f t="shared" si="859"/>
        <v>47021</v>
      </c>
      <c r="Q223" s="6">
        <f t="shared" si="857"/>
        <v>47023</v>
      </c>
      <c r="R223" s="6">
        <f t="shared" si="857"/>
        <v>47025</v>
      </c>
      <c r="S223" s="6">
        <f t="shared" si="859"/>
        <v>47027</v>
      </c>
      <c r="T223" s="6">
        <f t="shared" si="859"/>
        <v>47029</v>
      </c>
      <c r="U223" s="6">
        <f t="shared" si="859"/>
        <v>47031</v>
      </c>
      <c r="V223" s="6">
        <f t="shared" si="859"/>
        <v>47033</v>
      </c>
      <c r="W223" s="6">
        <f t="shared" si="859"/>
        <v>47035</v>
      </c>
      <c r="X223" s="6">
        <f t="shared" si="859"/>
        <v>47037</v>
      </c>
      <c r="Y223" s="6">
        <f t="shared" si="678"/>
        <v>47039</v>
      </c>
      <c r="Z223" s="6">
        <f t="shared" si="678"/>
        <v>47041</v>
      </c>
      <c r="AA223" s="14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14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</row>
    <row r="224" spans="1:68" x14ac:dyDescent="0.25">
      <c r="A224" s="3">
        <v>39</v>
      </c>
      <c r="B224" s="3" t="s">
        <v>337</v>
      </c>
      <c r="C224" s="36" t="s">
        <v>210</v>
      </c>
      <c r="D224" s="3" t="s">
        <v>323</v>
      </c>
      <c r="E224" s="4">
        <f t="shared" si="761"/>
        <v>47200</v>
      </c>
      <c r="F224" s="6">
        <f t="shared" si="645"/>
        <v>47201</v>
      </c>
      <c r="G224" s="6">
        <f t="shared" si="848"/>
        <v>47203</v>
      </c>
      <c r="H224" s="6">
        <f t="shared" si="849"/>
        <v>47205</v>
      </c>
      <c r="I224" s="6">
        <f t="shared" ref="I224:J224" si="860">H224+H$6</f>
        <v>47207</v>
      </c>
      <c r="J224" s="6">
        <f t="shared" si="860"/>
        <v>47209</v>
      </c>
      <c r="K224" s="6">
        <f t="shared" si="851"/>
        <v>47211</v>
      </c>
      <c r="L224" s="6">
        <f t="shared" si="852"/>
        <v>47213</v>
      </c>
      <c r="M224" s="6">
        <f t="shared" si="853"/>
        <v>47215</v>
      </c>
      <c r="N224" s="6">
        <f t="shared" ref="N224:X224" si="861">M224+M$6</f>
        <v>47217</v>
      </c>
      <c r="O224" s="6">
        <f t="shared" si="861"/>
        <v>47219</v>
      </c>
      <c r="P224" s="6">
        <f t="shared" si="861"/>
        <v>47221</v>
      </c>
      <c r="Q224" s="6">
        <f t="shared" si="857"/>
        <v>47223</v>
      </c>
      <c r="R224" s="6">
        <f t="shared" si="857"/>
        <v>47225</v>
      </c>
      <c r="S224" s="6">
        <f t="shared" si="861"/>
        <v>47227</v>
      </c>
      <c r="T224" s="6">
        <f t="shared" si="861"/>
        <v>47229</v>
      </c>
      <c r="U224" s="6">
        <f t="shared" si="861"/>
        <v>47231</v>
      </c>
      <c r="V224" s="6">
        <f t="shared" si="861"/>
        <v>47233</v>
      </c>
      <c r="W224" s="6">
        <f t="shared" si="861"/>
        <v>47235</v>
      </c>
      <c r="X224" s="6">
        <f t="shared" si="861"/>
        <v>47237</v>
      </c>
      <c r="Y224" s="6">
        <f t="shared" si="678"/>
        <v>47239</v>
      </c>
      <c r="Z224" s="6">
        <f t="shared" si="678"/>
        <v>47241</v>
      </c>
      <c r="AA224" s="14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14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</row>
    <row r="225" spans="1:68" x14ac:dyDescent="0.25">
      <c r="A225" s="3">
        <v>40</v>
      </c>
      <c r="B225" s="3" t="s">
        <v>337</v>
      </c>
      <c r="C225" s="36" t="s">
        <v>211</v>
      </c>
      <c r="D225" s="3" t="s">
        <v>323</v>
      </c>
      <c r="E225" s="4">
        <f t="shared" si="761"/>
        <v>47400</v>
      </c>
      <c r="F225" s="6">
        <f t="shared" si="645"/>
        <v>47401</v>
      </c>
      <c r="G225" s="6">
        <f t="shared" si="848"/>
        <v>47403</v>
      </c>
      <c r="H225" s="6">
        <f t="shared" si="849"/>
        <v>47405</v>
      </c>
      <c r="I225" s="6">
        <f t="shared" ref="I225:J225" si="862">H225+H$6</f>
        <v>47407</v>
      </c>
      <c r="J225" s="6">
        <f t="shared" si="862"/>
        <v>47409</v>
      </c>
      <c r="K225" s="6">
        <f t="shared" si="851"/>
        <v>47411</v>
      </c>
      <c r="L225" s="6">
        <f t="shared" si="852"/>
        <v>47413</v>
      </c>
      <c r="M225" s="6">
        <f t="shared" si="853"/>
        <v>47415</v>
      </c>
      <c r="N225" s="6">
        <f t="shared" ref="N225:X225" si="863">M225+M$6</f>
        <v>47417</v>
      </c>
      <c r="O225" s="6">
        <f t="shared" si="863"/>
        <v>47419</v>
      </c>
      <c r="P225" s="6">
        <f t="shared" si="863"/>
        <v>47421</v>
      </c>
      <c r="Q225" s="6">
        <f t="shared" si="857"/>
        <v>47423</v>
      </c>
      <c r="R225" s="6">
        <f t="shared" si="857"/>
        <v>47425</v>
      </c>
      <c r="S225" s="6">
        <f t="shared" si="863"/>
        <v>47427</v>
      </c>
      <c r="T225" s="6">
        <f t="shared" si="863"/>
        <v>47429</v>
      </c>
      <c r="U225" s="6">
        <f t="shared" si="863"/>
        <v>47431</v>
      </c>
      <c r="V225" s="6">
        <f t="shared" si="863"/>
        <v>47433</v>
      </c>
      <c r="W225" s="6">
        <f t="shared" si="863"/>
        <v>47435</v>
      </c>
      <c r="X225" s="6">
        <f t="shared" si="863"/>
        <v>47437</v>
      </c>
      <c r="Y225" s="6">
        <f t="shared" si="678"/>
        <v>47439</v>
      </c>
      <c r="Z225" s="6">
        <f t="shared" si="678"/>
        <v>47441</v>
      </c>
      <c r="AA225" s="14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14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</row>
    <row r="226" spans="1:68" x14ac:dyDescent="0.25">
      <c r="A226" s="3">
        <v>41</v>
      </c>
      <c r="B226" s="3" t="s">
        <v>337</v>
      </c>
      <c r="C226" s="36" t="s">
        <v>212</v>
      </c>
      <c r="D226" s="3" t="s">
        <v>299</v>
      </c>
      <c r="E226" s="4">
        <f t="shared" si="761"/>
        <v>47600</v>
      </c>
      <c r="F226" s="6">
        <f t="shared" si="645"/>
        <v>47601</v>
      </c>
      <c r="G226" s="6">
        <f t="shared" ref="G226:G232" si="864">F226+F$6</f>
        <v>47603</v>
      </c>
      <c r="H226" s="6">
        <f t="shared" ref="H226:H232" si="865">G226+G$6</f>
        <v>47605</v>
      </c>
      <c r="I226" s="6">
        <f t="shared" ref="I226:J226" si="866">H226+H$6</f>
        <v>47607</v>
      </c>
      <c r="J226" s="6">
        <f t="shared" si="866"/>
        <v>47609</v>
      </c>
      <c r="K226" s="6">
        <f t="shared" ref="K226:K232" si="867">J226+J$6</f>
        <v>47611</v>
      </c>
      <c r="L226" s="6">
        <f t="shared" ref="L226:L232" si="868">K226+K$6</f>
        <v>47613</v>
      </c>
      <c r="M226" s="6">
        <f t="shared" ref="M226:M232" si="869">L226+L$6</f>
        <v>47615</v>
      </c>
      <c r="N226" s="6">
        <f t="shared" ref="N226:X226" si="870">M226+M$6</f>
        <v>47617</v>
      </c>
      <c r="O226" s="6">
        <f t="shared" si="870"/>
        <v>47619</v>
      </c>
      <c r="P226" s="6">
        <f t="shared" si="870"/>
        <v>47621</v>
      </c>
      <c r="Q226" s="6">
        <f t="shared" si="857"/>
        <v>47623</v>
      </c>
      <c r="R226" s="6">
        <f t="shared" si="857"/>
        <v>47625</v>
      </c>
      <c r="S226" s="6">
        <f t="shared" si="870"/>
        <v>47627</v>
      </c>
      <c r="T226" s="6">
        <f t="shared" si="870"/>
        <v>47629</v>
      </c>
      <c r="U226" s="6">
        <f t="shared" si="870"/>
        <v>47631</v>
      </c>
      <c r="V226" s="6">
        <f t="shared" si="870"/>
        <v>47633</v>
      </c>
      <c r="W226" s="6">
        <f t="shared" si="870"/>
        <v>47635</v>
      </c>
      <c r="X226" s="6">
        <f t="shared" si="870"/>
        <v>47637</v>
      </c>
      <c r="Y226" s="6">
        <f t="shared" si="678"/>
        <v>47639</v>
      </c>
      <c r="Z226" s="6">
        <f t="shared" si="678"/>
        <v>47641</v>
      </c>
      <c r="AA226" s="14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14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</row>
    <row r="227" spans="1:68" x14ac:dyDescent="0.25">
      <c r="A227" s="3">
        <v>42</v>
      </c>
      <c r="B227" s="3" t="s">
        <v>337</v>
      </c>
      <c r="C227" s="36" t="s">
        <v>213</v>
      </c>
      <c r="D227" s="3" t="s">
        <v>299</v>
      </c>
      <c r="E227" s="4">
        <f t="shared" si="761"/>
        <v>47800</v>
      </c>
      <c r="F227" s="6">
        <f t="shared" si="645"/>
        <v>47801</v>
      </c>
      <c r="G227" s="6">
        <f t="shared" si="864"/>
        <v>47803</v>
      </c>
      <c r="H227" s="6">
        <f t="shared" si="865"/>
        <v>47805</v>
      </c>
      <c r="I227" s="6">
        <f t="shared" ref="I227:J227" si="871">H227+H$6</f>
        <v>47807</v>
      </c>
      <c r="J227" s="6">
        <f t="shared" si="871"/>
        <v>47809</v>
      </c>
      <c r="K227" s="6">
        <f t="shared" si="867"/>
        <v>47811</v>
      </c>
      <c r="L227" s="6">
        <f t="shared" si="868"/>
        <v>47813</v>
      </c>
      <c r="M227" s="6">
        <f t="shared" si="869"/>
        <v>47815</v>
      </c>
      <c r="N227" s="6">
        <f t="shared" ref="N227:X227" si="872">M227+M$6</f>
        <v>47817</v>
      </c>
      <c r="O227" s="6">
        <f t="shared" si="872"/>
        <v>47819</v>
      </c>
      <c r="P227" s="6">
        <f t="shared" si="872"/>
        <v>47821</v>
      </c>
      <c r="Q227" s="6">
        <f t="shared" si="857"/>
        <v>47823</v>
      </c>
      <c r="R227" s="6">
        <f t="shared" si="857"/>
        <v>47825</v>
      </c>
      <c r="S227" s="6">
        <f t="shared" si="872"/>
        <v>47827</v>
      </c>
      <c r="T227" s="6">
        <f t="shared" si="872"/>
        <v>47829</v>
      </c>
      <c r="U227" s="6">
        <f t="shared" si="872"/>
        <v>47831</v>
      </c>
      <c r="V227" s="6">
        <f t="shared" si="872"/>
        <v>47833</v>
      </c>
      <c r="W227" s="6">
        <f t="shared" si="872"/>
        <v>47835</v>
      </c>
      <c r="X227" s="6">
        <f t="shared" si="872"/>
        <v>47837</v>
      </c>
      <c r="Y227" s="6">
        <f t="shared" si="678"/>
        <v>47839</v>
      </c>
      <c r="Z227" s="6">
        <f t="shared" si="678"/>
        <v>47841</v>
      </c>
      <c r="AA227" s="14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14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</row>
    <row r="228" spans="1:68" x14ac:dyDescent="0.25">
      <c r="A228" s="3">
        <v>43</v>
      </c>
      <c r="B228" s="3" t="s">
        <v>337</v>
      </c>
      <c r="C228" s="36" t="s">
        <v>214</v>
      </c>
      <c r="D228" s="3" t="s">
        <v>299</v>
      </c>
      <c r="E228" s="4">
        <f t="shared" si="761"/>
        <v>48000</v>
      </c>
      <c r="F228" s="6">
        <f t="shared" si="645"/>
        <v>48001</v>
      </c>
      <c r="G228" s="6">
        <f t="shared" si="864"/>
        <v>48003</v>
      </c>
      <c r="H228" s="6">
        <f t="shared" si="865"/>
        <v>48005</v>
      </c>
      <c r="I228" s="6">
        <f t="shared" ref="I228:J228" si="873">H228+H$6</f>
        <v>48007</v>
      </c>
      <c r="J228" s="6">
        <f t="shared" si="873"/>
        <v>48009</v>
      </c>
      <c r="K228" s="6">
        <f t="shared" si="867"/>
        <v>48011</v>
      </c>
      <c r="L228" s="6">
        <f t="shared" si="868"/>
        <v>48013</v>
      </c>
      <c r="M228" s="6">
        <f t="shared" si="869"/>
        <v>48015</v>
      </c>
      <c r="N228" s="6">
        <f t="shared" ref="N228:X228" si="874">M228+M$6</f>
        <v>48017</v>
      </c>
      <c r="O228" s="6">
        <f t="shared" si="874"/>
        <v>48019</v>
      </c>
      <c r="P228" s="6">
        <f t="shared" si="874"/>
        <v>48021</v>
      </c>
      <c r="Q228" s="6">
        <f t="shared" si="857"/>
        <v>48023</v>
      </c>
      <c r="R228" s="6">
        <f t="shared" si="857"/>
        <v>48025</v>
      </c>
      <c r="S228" s="6">
        <f t="shared" si="874"/>
        <v>48027</v>
      </c>
      <c r="T228" s="6">
        <f t="shared" si="874"/>
        <v>48029</v>
      </c>
      <c r="U228" s="6">
        <f t="shared" si="874"/>
        <v>48031</v>
      </c>
      <c r="V228" s="6">
        <f t="shared" si="874"/>
        <v>48033</v>
      </c>
      <c r="W228" s="6">
        <f t="shared" si="874"/>
        <v>48035</v>
      </c>
      <c r="X228" s="6">
        <f t="shared" si="874"/>
        <v>48037</v>
      </c>
      <c r="Y228" s="6">
        <f t="shared" si="678"/>
        <v>48039</v>
      </c>
      <c r="Z228" s="6">
        <f t="shared" si="678"/>
        <v>48041</v>
      </c>
      <c r="AA228" s="14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14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</row>
    <row r="229" spans="1:68" x14ac:dyDescent="0.25">
      <c r="A229" s="3">
        <v>44</v>
      </c>
      <c r="B229" s="3" t="s">
        <v>337</v>
      </c>
      <c r="C229" s="36" t="s">
        <v>215</v>
      </c>
      <c r="D229" s="3" t="s">
        <v>299</v>
      </c>
      <c r="E229" s="4">
        <f t="shared" si="761"/>
        <v>48200</v>
      </c>
      <c r="F229" s="6">
        <f t="shared" si="645"/>
        <v>48201</v>
      </c>
      <c r="G229" s="6">
        <f t="shared" si="864"/>
        <v>48203</v>
      </c>
      <c r="H229" s="6">
        <f t="shared" si="865"/>
        <v>48205</v>
      </c>
      <c r="I229" s="6">
        <f t="shared" ref="I229:J229" si="875">H229+H$6</f>
        <v>48207</v>
      </c>
      <c r="J229" s="6">
        <f t="shared" si="875"/>
        <v>48209</v>
      </c>
      <c r="K229" s="6">
        <f t="shared" si="867"/>
        <v>48211</v>
      </c>
      <c r="L229" s="6">
        <f t="shared" si="868"/>
        <v>48213</v>
      </c>
      <c r="M229" s="6">
        <f t="shared" si="869"/>
        <v>48215</v>
      </c>
      <c r="N229" s="6">
        <f t="shared" ref="N229:X229" si="876">M229+M$6</f>
        <v>48217</v>
      </c>
      <c r="O229" s="6">
        <f t="shared" si="876"/>
        <v>48219</v>
      </c>
      <c r="P229" s="6">
        <f t="shared" si="876"/>
        <v>48221</v>
      </c>
      <c r="Q229" s="6">
        <f t="shared" si="857"/>
        <v>48223</v>
      </c>
      <c r="R229" s="6">
        <f t="shared" si="857"/>
        <v>48225</v>
      </c>
      <c r="S229" s="6">
        <f t="shared" si="876"/>
        <v>48227</v>
      </c>
      <c r="T229" s="6">
        <f t="shared" si="876"/>
        <v>48229</v>
      </c>
      <c r="U229" s="6">
        <f t="shared" si="876"/>
        <v>48231</v>
      </c>
      <c r="V229" s="6">
        <f t="shared" si="876"/>
        <v>48233</v>
      </c>
      <c r="W229" s="6">
        <f t="shared" si="876"/>
        <v>48235</v>
      </c>
      <c r="X229" s="6">
        <f t="shared" si="876"/>
        <v>48237</v>
      </c>
      <c r="Y229" s="6">
        <f t="shared" si="678"/>
        <v>48239</v>
      </c>
      <c r="Z229" s="6">
        <f t="shared" si="678"/>
        <v>48241</v>
      </c>
      <c r="AA229" s="14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14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</row>
    <row r="230" spans="1:68" x14ac:dyDescent="0.25">
      <c r="A230" s="3">
        <v>45</v>
      </c>
      <c r="B230" s="3" t="s">
        <v>337</v>
      </c>
      <c r="C230" s="36" t="s">
        <v>216</v>
      </c>
      <c r="D230" s="3" t="s">
        <v>299</v>
      </c>
      <c r="E230" s="4">
        <f t="shared" si="761"/>
        <v>48400</v>
      </c>
      <c r="F230" s="6">
        <f t="shared" si="645"/>
        <v>48401</v>
      </c>
      <c r="G230" s="6">
        <f t="shared" si="864"/>
        <v>48403</v>
      </c>
      <c r="H230" s="6">
        <f t="shared" si="865"/>
        <v>48405</v>
      </c>
      <c r="I230" s="6">
        <f t="shared" ref="I230:J230" si="877">H230+H$6</f>
        <v>48407</v>
      </c>
      <c r="J230" s="6">
        <f t="shared" si="877"/>
        <v>48409</v>
      </c>
      <c r="K230" s="6">
        <f t="shared" si="867"/>
        <v>48411</v>
      </c>
      <c r="L230" s="6">
        <f t="shared" si="868"/>
        <v>48413</v>
      </c>
      <c r="M230" s="6">
        <f t="shared" si="869"/>
        <v>48415</v>
      </c>
      <c r="N230" s="6">
        <f t="shared" ref="N230:X230" si="878">M230+M$6</f>
        <v>48417</v>
      </c>
      <c r="O230" s="6">
        <f t="shared" si="878"/>
        <v>48419</v>
      </c>
      <c r="P230" s="6">
        <f t="shared" si="878"/>
        <v>48421</v>
      </c>
      <c r="Q230" s="6">
        <f t="shared" si="857"/>
        <v>48423</v>
      </c>
      <c r="R230" s="6">
        <f t="shared" si="857"/>
        <v>48425</v>
      </c>
      <c r="S230" s="6">
        <f t="shared" si="878"/>
        <v>48427</v>
      </c>
      <c r="T230" s="6">
        <f t="shared" si="878"/>
        <v>48429</v>
      </c>
      <c r="U230" s="6">
        <f t="shared" si="878"/>
        <v>48431</v>
      </c>
      <c r="V230" s="6">
        <f t="shared" si="878"/>
        <v>48433</v>
      </c>
      <c r="W230" s="6">
        <f t="shared" si="878"/>
        <v>48435</v>
      </c>
      <c r="X230" s="6">
        <f t="shared" si="878"/>
        <v>48437</v>
      </c>
      <c r="Y230" s="6">
        <f t="shared" si="678"/>
        <v>48439</v>
      </c>
      <c r="Z230" s="6">
        <f t="shared" si="678"/>
        <v>48441</v>
      </c>
      <c r="AA230" s="14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14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</row>
    <row r="231" spans="1:68" x14ac:dyDescent="0.25">
      <c r="A231" s="3">
        <v>46</v>
      </c>
      <c r="B231" s="3" t="s">
        <v>337</v>
      </c>
      <c r="C231" s="36" t="s">
        <v>217</v>
      </c>
      <c r="D231" s="3" t="s">
        <v>299</v>
      </c>
      <c r="E231" s="4">
        <f t="shared" si="761"/>
        <v>48600</v>
      </c>
      <c r="F231" s="6">
        <f t="shared" si="645"/>
        <v>48601</v>
      </c>
      <c r="G231" s="6">
        <f t="shared" si="864"/>
        <v>48603</v>
      </c>
      <c r="H231" s="6">
        <f t="shared" si="865"/>
        <v>48605</v>
      </c>
      <c r="I231" s="6">
        <f t="shared" ref="I231:J231" si="879">H231+H$6</f>
        <v>48607</v>
      </c>
      <c r="J231" s="6">
        <f t="shared" si="879"/>
        <v>48609</v>
      </c>
      <c r="K231" s="6">
        <f t="shared" si="867"/>
        <v>48611</v>
      </c>
      <c r="L231" s="6">
        <f t="shared" si="868"/>
        <v>48613</v>
      </c>
      <c r="M231" s="6">
        <f t="shared" si="869"/>
        <v>48615</v>
      </c>
      <c r="N231" s="6">
        <f t="shared" ref="N231:X231" si="880">M231+M$6</f>
        <v>48617</v>
      </c>
      <c r="O231" s="6">
        <f t="shared" si="880"/>
        <v>48619</v>
      </c>
      <c r="P231" s="6">
        <f t="shared" si="880"/>
        <v>48621</v>
      </c>
      <c r="Q231" s="6">
        <f t="shared" si="857"/>
        <v>48623</v>
      </c>
      <c r="R231" s="6">
        <f t="shared" si="857"/>
        <v>48625</v>
      </c>
      <c r="S231" s="6">
        <f t="shared" si="880"/>
        <v>48627</v>
      </c>
      <c r="T231" s="6">
        <f t="shared" si="880"/>
        <v>48629</v>
      </c>
      <c r="U231" s="6">
        <f t="shared" si="880"/>
        <v>48631</v>
      </c>
      <c r="V231" s="6">
        <f t="shared" si="880"/>
        <v>48633</v>
      </c>
      <c r="W231" s="6">
        <f t="shared" si="880"/>
        <v>48635</v>
      </c>
      <c r="X231" s="6">
        <f t="shared" si="880"/>
        <v>48637</v>
      </c>
      <c r="Y231" s="6">
        <f t="shared" si="678"/>
        <v>48639</v>
      </c>
      <c r="Z231" s="6">
        <f t="shared" si="678"/>
        <v>48641</v>
      </c>
      <c r="AA231" s="14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14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</row>
    <row r="232" spans="1:68" x14ac:dyDescent="0.25">
      <c r="A232" s="3">
        <v>47</v>
      </c>
      <c r="B232" s="3" t="s">
        <v>337</v>
      </c>
      <c r="C232" s="36" t="s">
        <v>218</v>
      </c>
      <c r="D232" s="3" t="s">
        <v>299</v>
      </c>
      <c r="E232" s="4">
        <f t="shared" si="761"/>
        <v>48800</v>
      </c>
      <c r="F232" s="6">
        <f t="shared" si="645"/>
        <v>48801</v>
      </c>
      <c r="G232" s="6">
        <f t="shared" si="864"/>
        <v>48803</v>
      </c>
      <c r="H232" s="6">
        <f t="shared" si="865"/>
        <v>48805</v>
      </c>
      <c r="I232" s="6">
        <f t="shared" ref="I232:J232" si="881">H232+H$6</f>
        <v>48807</v>
      </c>
      <c r="J232" s="6">
        <f t="shared" si="881"/>
        <v>48809</v>
      </c>
      <c r="K232" s="6">
        <f t="shared" si="867"/>
        <v>48811</v>
      </c>
      <c r="L232" s="6">
        <f t="shared" si="868"/>
        <v>48813</v>
      </c>
      <c r="M232" s="6">
        <f t="shared" si="869"/>
        <v>48815</v>
      </c>
      <c r="N232" s="6">
        <f t="shared" ref="N232:X232" si="882">M232+M$6</f>
        <v>48817</v>
      </c>
      <c r="O232" s="6">
        <f t="shared" si="882"/>
        <v>48819</v>
      </c>
      <c r="P232" s="6">
        <f t="shared" si="882"/>
        <v>48821</v>
      </c>
      <c r="Q232" s="6">
        <f t="shared" si="857"/>
        <v>48823</v>
      </c>
      <c r="R232" s="6">
        <f t="shared" si="857"/>
        <v>48825</v>
      </c>
      <c r="S232" s="6">
        <f t="shared" si="882"/>
        <v>48827</v>
      </c>
      <c r="T232" s="6">
        <f t="shared" si="882"/>
        <v>48829</v>
      </c>
      <c r="U232" s="6">
        <f t="shared" si="882"/>
        <v>48831</v>
      </c>
      <c r="V232" s="6">
        <f t="shared" si="882"/>
        <v>48833</v>
      </c>
      <c r="W232" s="6">
        <f t="shared" si="882"/>
        <v>48835</v>
      </c>
      <c r="X232" s="6">
        <f t="shared" si="882"/>
        <v>48837</v>
      </c>
      <c r="Y232" s="6">
        <f t="shared" si="678"/>
        <v>48839</v>
      </c>
      <c r="Z232" s="6">
        <f t="shared" si="678"/>
        <v>48841</v>
      </c>
      <c r="AA232" s="14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14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</row>
    <row r="233" spans="1:68" x14ac:dyDescent="0.25">
      <c r="A233" s="3">
        <v>48</v>
      </c>
      <c r="B233" s="3" t="s">
        <v>337</v>
      </c>
      <c r="C233" s="3" t="s">
        <v>470</v>
      </c>
      <c r="D233" s="3" t="s">
        <v>471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</row>
  </sheetData>
  <autoFilter ref="A7:BP233" xr:uid="{5F757495-DBE8-4716-A180-77350591F858}"/>
  <mergeCells count="24">
    <mergeCell ref="AM4:AR4"/>
    <mergeCell ref="BQ4:BQ5"/>
    <mergeCell ref="N4:R4"/>
    <mergeCell ref="BK4:BM4"/>
    <mergeCell ref="BN4:BP4"/>
    <mergeCell ref="U4:U5"/>
    <mergeCell ref="AS4:AX4"/>
    <mergeCell ref="AY4:BD4"/>
    <mergeCell ref="BE4:BJ4"/>
    <mergeCell ref="V4:V5"/>
    <mergeCell ref="W4:W5"/>
    <mergeCell ref="X4:X5"/>
    <mergeCell ref="Z4:Z5"/>
    <mergeCell ref="S4:S5"/>
    <mergeCell ref="T4:T5"/>
    <mergeCell ref="AA4:AF4"/>
    <mergeCell ref="AG4:AL4"/>
    <mergeCell ref="A4:A7"/>
    <mergeCell ref="D4:D7"/>
    <mergeCell ref="C4:C7"/>
    <mergeCell ref="B4:B7"/>
    <mergeCell ref="F4:M4"/>
    <mergeCell ref="E4:E7"/>
    <mergeCell ref="Y4:Y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2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23D96-C9CD-473F-8615-535C291C59C3}">
  <dimension ref="A1:AU6"/>
  <sheetViews>
    <sheetView workbookViewId="0">
      <selection activeCell="I39" sqref="I39"/>
    </sheetView>
  </sheetViews>
  <sheetFormatPr defaultRowHeight="13.5" x14ac:dyDescent="0.25"/>
  <sheetData>
    <row r="1" spans="1:47" ht="17.25" x14ac:dyDescent="0.25">
      <c r="A1" s="32" t="s">
        <v>501</v>
      </c>
    </row>
    <row r="3" spans="1:47" ht="16.5" x14ac:dyDescent="0.25">
      <c r="A3" s="48" t="s">
        <v>21</v>
      </c>
      <c r="B3" s="48" t="s">
        <v>499</v>
      </c>
      <c r="C3" s="48" t="s">
        <v>500</v>
      </c>
      <c r="D3" s="51" t="s">
        <v>391</v>
      </c>
      <c r="E3" s="51"/>
      <c r="F3" s="51"/>
      <c r="G3" s="51"/>
      <c r="H3" s="51"/>
      <c r="I3" s="51"/>
      <c r="J3" s="51"/>
      <c r="K3" s="51"/>
      <c r="L3" s="40" t="s">
        <v>393</v>
      </c>
      <c r="M3" s="40"/>
      <c r="N3" s="40"/>
      <c r="O3" s="40"/>
      <c r="P3" s="40"/>
      <c r="Q3" s="40" t="s">
        <v>8</v>
      </c>
      <c r="R3" s="40" t="s">
        <v>9</v>
      </c>
      <c r="S3" s="40" t="s">
        <v>10</v>
      </c>
      <c r="T3" s="40" t="s">
        <v>11</v>
      </c>
      <c r="U3" s="40" t="s">
        <v>12</v>
      </c>
      <c r="V3" s="40" t="s">
        <v>13</v>
      </c>
      <c r="W3" s="40" t="s">
        <v>14</v>
      </c>
      <c r="X3" s="40" t="s">
        <v>461</v>
      </c>
      <c r="Y3" s="40"/>
      <c r="Z3" s="40"/>
      <c r="AA3" s="40"/>
      <c r="AB3" s="40"/>
      <c r="AC3" s="40"/>
      <c r="AD3" s="40" t="s">
        <v>462</v>
      </c>
      <c r="AE3" s="40"/>
      <c r="AF3" s="40"/>
      <c r="AG3" s="40"/>
      <c r="AH3" s="40"/>
      <c r="AI3" s="40"/>
      <c r="AJ3" s="40" t="s">
        <v>463</v>
      </c>
      <c r="AK3" s="40"/>
      <c r="AL3" s="40"/>
      <c r="AM3" s="40"/>
      <c r="AN3" s="40"/>
      <c r="AO3" s="40"/>
      <c r="AP3" s="40" t="s">
        <v>349</v>
      </c>
      <c r="AQ3" s="40"/>
      <c r="AR3" s="40"/>
      <c r="AS3" s="40" t="s">
        <v>350</v>
      </c>
      <c r="AT3" s="40"/>
      <c r="AU3" s="40"/>
    </row>
    <row r="4" spans="1:47" ht="16.5" x14ac:dyDescent="0.25">
      <c r="A4" s="48"/>
      <c r="B4" s="48"/>
      <c r="C4" s="48"/>
      <c r="D4" s="5" t="s">
        <v>2</v>
      </c>
      <c r="E4" s="4" t="s">
        <v>3</v>
      </c>
      <c r="F4" s="4" t="s">
        <v>4</v>
      </c>
      <c r="G4" s="4" t="s">
        <v>472</v>
      </c>
      <c r="H4" s="4" t="s">
        <v>380</v>
      </c>
      <c r="I4" s="4" t="s">
        <v>382</v>
      </c>
      <c r="J4" s="4" t="s">
        <v>384</v>
      </c>
      <c r="K4" s="4" t="s">
        <v>474</v>
      </c>
      <c r="L4" s="4" t="s">
        <v>5</v>
      </c>
      <c r="M4" s="4" t="s">
        <v>6</v>
      </c>
      <c r="N4" s="4" t="s">
        <v>7</v>
      </c>
      <c r="O4" s="4" t="s">
        <v>475</v>
      </c>
      <c r="P4" s="4" t="s">
        <v>343</v>
      </c>
      <c r="Q4" s="40"/>
      <c r="R4" s="40"/>
      <c r="S4" s="40"/>
      <c r="T4" s="40"/>
      <c r="U4" s="40"/>
      <c r="V4" s="40"/>
      <c r="W4" s="40"/>
      <c r="X4" s="4" t="s">
        <v>395</v>
      </c>
      <c r="Y4" s="4" t="s">
        <v>396</v>
      </c>
      <c r="Z4" s="4" t="s">
        <v>397</v>
      </c>
      <c r="AA4" s="4" t="s">
        <v>398</v>
      </c>
      <c r="AB4" s="4" t="s">
        <v>504</v>
      </c>
      <c r="AC4" s="4" t="s">
        <v>505</v>
      </c>
      <c r="AD4" s="4" t="s">
        <v>401</v>
      </c>
      <c r="AE4" s="4" t="s">
        <v>402</v>
      </c>
      <c r="AF4" s="4" t="s">
        <v>403</v>
      </c>
      <c r="AG4" s="4" t="s">
        <v>404</v>
      </c>
      <c r="AH4" s="4" t="s">
        <v>509</v>
      </c>
      <c r="AI4" s="4" t="s">
        <v>510</v>
      </c>
      <c r="AJ4" s="4" t="s">
        <v>405</v>
      </c>
      <c r="AK4" s="4" t="s">
        <v>406</v>
      </c>
      <c r="AL4" s="4" t="s">
        <v>407</v>
      </c>
      <c r="AM4" s="4" t="s">
        <v>408</v>
      </c>
      <c r="AN4" s="4" t="s">
        <v>528</v>
      </c>
      <c r="AO4" s="4" t="s">
        <v>529</v>
      </c>
      <c r="AP4" s="4" t="s">
        <v>352</v>
      </c>
      <c r="AQ4" s="4" t="s">
        <v>356</v>
      </c>
      <c r="AR4" s="4" t="s">
        <v>354</v>
      </c>
      <c r="AS4" s="4" t="s">
        <v>358</v>
      </c>
      <c r="AT4" s="4" t="s">
        <v>360</v>
      </c>
      <c r="AU4" s="4" t="s">
        <v>362</v>
      </c>
    </row>
    <row r="5" spans="1:47" x14ac:dyDescent="0.25">
      <c r="A5" s="3">
        <v>1</v>
      </c>
      <c r="B5" s="2" t="s">
        <v>495</v>
      </c>
      <c r="C5" s="2" t="s">
        <v>497</v>
      </c>
      <c r="D5" s="3">
        <v>25</v>
      </c>
      <c r="E5" s="3">
        <v>27</v>
      </c>
      <c r="F5" s="3">
        <v>29</v>
      </c>
      <c r="G5" s="3" t="s">
        <v>502</v>
      </c>
      <c r="H5" s="3">
        <v>17</v>
      </c>
      <c r="I5" s="3">
        <v>19</v>
      </c>
      <c r="J5" s="3">
        <v>21</v>
      </c>
      <c r="K5" s="3" t="s">
        <v>502</v>
      </c>
      <c r="L5" s="3">
        <v>39</v>
      </c>
      <c r="M5" s="3">
        <v>41</v>
      </c>
      <c r="N5" s="3">
        <v>43</v>
      </c>
      <c r="O5" s="3">
        <v>45</v>
      </c>
      <c r="P5" s="3" t="s">
        <v>502</v>
      </c>
      <c r="Q5" s="3">
        <v>91</v>
      </c>
      <c r="R5" s="3">
        <v>89</v>
      </c>
      <c r="S5" s="3">
        <v>73</v>
      </c>
      <c r="T5" s="3">
        <v>81</v>
      </c>
      <c r="U5" s="3" t="s">
        <v>503</v>
      </c>
      <c r="V5" s="3" t="s">
        <v>503</v>
      </c>
      <c r="W5" s="3" t="s">
        <v>502</v>
      </c>
      <c r="X5" s="3">
        <v>117</v>
      </c>
      <c r="Y5" s="3">
        <v>123</v>
      </c>
      <c r="Z5" s="3">
        <v>127</v>
      </c>
      <c r="AA5" s="3">
        <v>131</v>
      </c>
      <c r="AB5" s="3">
        <v>135</v>
      </c>
      <c r="AC5" s="3">
        <v>139</v>
      </c>
      <c r="AD5" s="3">
        <v>141</v>
      </c>
      <c r="AE5" s="3">
        <v>147</v>
      </c>
      <c r="AF5" s="3">
        <v>151</v>
      </c>
      <c r="AG5" s="3">
        <v>155</v>
      </c>
      <c r="AH5" s="3">
        <v>159</v>
      </c>
      <c r="AI5" s="3">
        <v>163</v>
      </c>
      <c r="AJ5" s="3">
        <v>165</v>
      </c>
      <c r="AK5" s="3">
        <v>171</v>
      </c>
      <c r="AL5" s="3">
        <v>175</v>
      </c>
      <c r="AM5" s="3">
        <v>179</v>
      </c>
      <c r="AN5" s="3">
        <v>183</v>
      </c>
      <c r="AO5" s="3">
        <v>187</v>
      </c>
      <c r="AP5" s="3">
        <v>53</v>
      </c>
      <c r="AQ5" s="3">
        <v>55</v>
      </c>
      <c r="AR5" s="3">
        <v>57</v>
      </c>
      <c r="AS5" s="3">
        <v>59</v>
      </c>
      <c r="AT5" s="3">
        <v>61</v>
      </c>
      <c r="AU5" s="3">
        <v>63</v>
      </c>
    </row>
    <row r="6" spans="1:47" x14ac:dyDescent="0.25">
      <c r="A6" s="8">
        <v>2</v>
      </c>
      <c r="B6" s="33" t="s">
        <v>496</v>
      </c>
      <c r="C6" s="33" t="s">
        <v>498</v>
      </c>
      <c r="D6" s="3">
        <v>19</v>
      </c>
      <c r="E6" s="3">
        <v>21</v>
      </c>
      <c r="F6" s="3">
        <v>23</v>
      </c>
      <c r="G6" s="3" t="s">
        <v>502</v>
      </c>
      <c r="H6" s="3">
        <v>11</v>
      </c>
      <c r="I6" s="3">
        <v>13</v>
      </c>
      <c r="J6" s="3">
        <v>15</v>
      </c>
      <c r="K6" s="3" t="s">
        <v>502</v>
      </c>
      <c r="L6" s="3">
        <v>33</v>
      </c>
      <c r="M6" s="3">
        <v>35</v>
      </c>
      <c r="N6" s="3">
        <v>37</v>
      </c>
      <c r="O6" s="3">
        <v>39</v>
      </c>
      <c r="P6" s="3" t="s">
        <v>502</v>
      </c>
      <c r="Q6" s="3">
        <v>85</v>
      </c>
      <c r="R6" s="3">
        <v>83</v>
      </c>
      <c r="S6" s="3">
        <v>67</v>
      </c>
      <c r="T6" s="3">
        <v>75</v>
      </c>
      <c r="U6" s="3" t="s">
        <v>503</v>
      </c>
      <c r="V6" s="3" t="s">
        <v>503</v>
      </c>
      <c r="W6" s="3">
        <v>215</v>
      </c>
      <c r="X6" s="3">
        <v>311</v>
      </c>
      <c r="Y6" s="3">
        <v>315</v>
      </c>
      <c r="Z6" s="3">
        <v>319</v>
      </c>
      <c r="AA6" s="3">
        <v>323</v>
      </c>
      <c r="AB6" s="3">
        <v>319</v>
      </c>
      <c r="AC6" s="3">
        <v>323</v>
      </c>
      <c r="AD6" s="3">
        <v>341</v>
      </c>
      <c r="AE6" s="3">
        <v>345</v>
      </c>
      <c r="AF6" s="3">
        <v>349</v>
      </c>
      <c r="AG6" s="3">
        <v>351</v>
      </c>
      <c r="AH6" s="3">
        <v>349</v>
      </c>
      <c r="AI6" s="3">
        <v>351</v>
      </c>
      <c r="AJ6" s="3">
        <v>371</v>
      </c>
      <c r="AK6" s="3">
        <v>375</v>
      </c>
      <c r="AL6" s="3">
        <v>379</v>
      </c>
      <c r="AM6" s="3">
        <v>383</v>
      </c>
      <c r="AN6" s="3">
        <v>379</v>
      </c>
      <c r="AO6" s="3">
        <v>383</v>
      </c>
      <c r="AP6" s="3">
        <v>47</v>
      </c>
      <c r="AQ6" s="3">
        <v>49</v>
      </c>
      <c r="AR6" s="3">
        <v>51</v>
      </c>
      <c r="AS6" s="3">
        <v>53</v>
      </c>
      <c r="AT6" s="3">
        <v>55</v>
      </c>
      <c r="AU6" s="3">
        <v>57</v>
      </c>
    </row>
  </sheetData>
  <mergeCells count="17">
    <mergeCell ref="A3:A4"/>
    <mergeCell ref="U3:U4"/>
    <mergeCell ref="V3:V4"/>
    <mergeCell ref="W3:W4"/>
    <mergeCell ref="X3:AC3"/>
    <mergeCell ref="D3:K3"/>
    <mergeCell ref="L3:P3"/>
    <mergeCell ref="Q3:Q4"/>
    <mergeCell ref="R3:R4"/>
    <mergeCell ref="S3:S4"/>
    <mergeCell ref="T3:T4"/>
    <mergeCell ref="AP3:AR3"/>
    <mergeCell ref="AS3:AU3"/>
    <mergeCell ref="B3:B4"/>
    <mergeCell ref="C3:C4"/>
    <mergeCell ref="AD3:AI3"/>
    <mergeCell ref="AJ3:AO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BAB41-22EE-4A96-86A1-2B73FC15F5E2}">
  <dimension ref="A1:BA232"/>
  <sheetViews>
    <sheetView zoomScale="102" zoomScaleNormal="102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G37" sqref="G37"/>
    </sheetView>
  </sheetViews>
  <sheetFormatPr defaultRowHeight="13.5" x14ac:dyDescent="0.25"/>
  <cols>
    <col min="1" max="1" width="6.5703125" customWidth="1"/>
    <col min="2" max="2" width="7.42578125" style="1" bestFit="1" customWidth="1"/>
    <col min="3" max="3" width="17.42578125" style="1" bestFit="1" customWidth="1"/>
    <col min="4" max="4" width="12.5703125" style="1" bestFit="1" customWidth="1"/>
    <col min="5" max="5" width="7.85546875" hidden="1" customWidth="1"/>
    <col min="6" max="6" width="21.140625" bestFit="1" customWidth="1"/>
    <col min="7" max="7" width="22.7109375" bestFit="1" customWidth="1"/>
    <col min="8" max="8" width="18.28515625" bestFit="1" customWidth="1"/>
    <col min="9" max="9" width="14.42578125" bestFit="1" customWidth="1"/>
    <col min="10" max="10" width="25" bestFit="1" customWidth="1"/>
    <col min="11" max="11" width="24.85546875" bestFit="1" customWidth="1"/>
    <col min="12" max="12" width="25" bestFit="1" customWidth="1"/>
    <col min="13" max="13" width="24.28515625" bestFit="1" customWidth="1"/>
    <col min="14" max="14" width="22.85546875" bestFit="1" customWidth="1"/>
    <col min="15" max="15" width="20.140625" bestFit="1" customWidth="1"/>
    <col min="16" max="16" width="18.5703125" bestFit="1" customWidth="1"/>
    <col min="17" max="17" width="7.85546875" hidden="1" customWidth="1"/>
    <col min="18" max="24" width="22.42578125" bestFit="1" customWidth="1"/>
    <col min="25" max="27" width="21.28515625" bestFit="1" customWidth="1"/>
    <col min="28" max="28" width="21.42578125" bestFit="1" customWidth="1"/>
    <col min="29" max="29" width="21" bestFit="1" customWidth="1"/>
    <col min="30" max="30" width="21.42578125" bestFit="1" customWidth="1"/>
    <col min="31" max="31" width="22" bestFit="1" customWidth="1"/>
    <col min="32" max="32" width="22.5703125" bestFit="1" customWidth="1"/>
    <col min="33" max="33" width="21.42578125" bestFit="1" customWidth="1"/>
    <col min="34" max="34" width="22.85546875" bestFit="1" customWidth="1"/>
    <col min="35" max="35" width="23.42578125" bestFit="1" customWidth="1"/>
    <col min="36" max="47" width="22.5703125" bestFit="1" customWidth="1"/>
    <col min="48" max="50" width="22.42578125" bestFit="1" customWidth="1"/>
    <col min="51" max="53" width="21.5703125" bestFit="1" customWidth="1"/>
  </cols>
  <sheetData>
    <row r="1" spans="1:53" ht="20.25" x14ac:dyDescent="0.25">
      <c r="A1" s="9" t="s">
        <v>344</v>
      </c>
      <c r="F1" s="18" t="s">
        <v>347</v>
      </c>
      <c r="G1" s="17">
        <f>SUM(G2:G3)</f>
        <v>6910</v>
      </c>
    </row>
    <row r="2" spans="1:53" x14ac:dyDescent="0.25">
      <c r="F2" s="18" t="s">
        <v>345</v>
      </c>
      <c r="G2" s="17">
        <f>COUNTA(F8:P232)</f>
        <v>502</v>
      </c>
    </row>
    <row r="3" spans="1:53" x14ac:dyDescent="0.25">
      <c r="A3" t="s">
        <v>348</v>
      </c>
      <c r="F3" s="18" t="s">
        <v>346</v>
      </c>
      <c r="G3" s="17">
        <f>COUNTA(R8:BA232)</f>
        <v>6408</v>
      </c>
    </row>
    <row r="4" spans="1:53" ht="17.100000000000001" customHeight="1" x14ac:dyDescent="0.25">
      <c r="A4" s="48" t="s">
        <v>21</v>
      </c>
      <c r="B4" s="48" t="s">
        <v>219</v>
      </c>
      <c r="C4" s="40" t="s">
        <v>0</v>
      </c>
      <c r="D4" s="40" t="s">
        <v>274</v>
      </c>
      <c r="E4" s="41" t="s">
        <v>341</v>
      </c>
      <c r="F4" s="40" t="s">
        <v>220</v>
      </c>
      <c r="G4" s="40"/>
      <c r="H4" s="40"/>
      <c r="I4" s="40"/>
      <c r="J4" s="40"/>
      <c r="K4" s="40"/>
      <c r="L4" s="40"/>
      <c r="M4" s="40"/>
      <c r="N4" s="40"/>
      <c r="O4" s="40"/>
      <c r="P4" s="40"/>
      <c r="Q4" s="41" t="s">
        <v>340</v>
      </c>
      <c r="R4" s="51" t="s">
        <v>391</v>
      </c>
      <c r="S4" s="51"/>
      <c r="T4" s="51"/>
      <c r="U4" s="51"/>
      <c r="V4" s="51"/>
      <c r="W4" s="51"/>
      <c r="X4" s="51"/>
      <c r="Y4" s="37" t="s">
        <v>393</v>
      </c>
      <c r="Z4" s="38"/>
      <c r="AA4" s="38"/>
      <c r="AB4" s="39"/>
      <c r="AC4" s="40" t="s">
        <v>8</v>
      </c>
      <c r="AD4" s="40" t="s">
        <v>9</v>
      </c>
      <c r="AE4" s="40" t="s">
        <v>10</v>
      </c>
      <c r="AF4" s="40" t="s">
        <v>11</v>
      </c>
      <c r="AG4" s="40" t="s">
        <v>12</v>
      </c>
      <c r="AH4" s="40" t="s">
        <v>13</v>
      </c>
      <c r="AI4" s="40" t="s">
        <v>14</v>
      </c>
      <c r="AJ4" s="37" t="s">
        <v>461</v>
      </c>
      <c r="AK4" s="38"/>
      <c r="AL4" s="38"/>
      <c r="AM4" s="39"/>
      <c r="AN4" s="37" t="s">
        <v>462</v>
      </c>
      <c r="AO4" s="38"/>
      <c r="AP4" s="38"/>
      <c r="AQ4" s="39"/>
      <c r="AR4" s="37" t="s">
        <v>463</v>
      </c>
      <c r="AS4" s="38"/>
      <c r="AT4" s="38"/>
      <c r="AU4" s="39"/>
      <c r="AV4" s="37" t="s">
        <v>375</v>
      </c>
      <c r="AW4" s="38"/>
      <c r="AX4" s="39"/>
      <c r="AY4" s="37" t="s">
        <v>350</v>
      </c>
      <c r="AZ4" s="38"/>
      <c r="BA4" s="39"/>
    </row>
    <row r="5" spans="1:53" ht="16.5" x14ac:dyDescent="0.25">
      <c r="A5" s="48"/>
      <c r="B5" s="48"/>
      <c r="C5" s="40"/>
      <c r="D5" s="40"/>
      <c r="E5" s="41"/>
      <c r="F5" s="40" t="s">
        <v>15</v>
      </c>
      <c r="G5" s="40" t="s">
        <v>221</v>
      </c>
      <c r="H5" s="40" t="s">
        <v>223</v>
      </c>
      <c r="I5" s="40" t="s">
        <v>338</v>
      </c>
      <c r="J5" s="40" t="s">
        <v>17</v>
      </c>
      <c r="K5" s="40" t="s">
        <v>16</v>
      </c>
      <c r="L5" s="40" t="s">
        <v>18</v>
      </c>
      <c r="M5" s="40" t="s">
        <v>19</v>
      </c>
      <c r="N5" s="40" t="s">
        <v>20</v>
      </c>
      <c r="O5" s="40" t="s">
        <v>245</v>
      </c>
      <c r="P5" s="41" t="s">
        <v>272</v>
      </c>
      <c r="Q5" s="41"/>
      <c r="R5" s="5" t="s">
        <v>2</v>
      </c>
      <c r="S5" s="4" t="s">
        <v>3</v>
      </c>
      <c r="T5" s="4" t="s">
        <v>4</v>
      </c>
      <c r="U5" s="4" t="s">
        <v>379</v>
      </c>
      <c r="V5" s="4" t="s">
        <v>381</v>
      </c>
      <c r="W5" s="4" t="s">
        <v>383</v>
      </c>
      <c r="X5" s="4" t="s">
        <v>377</v>
      </c>
      <c r="Y5" s="4" t="s">
        <v>5</v>
      </c>
      <c r="Z5" s="4" t="s">
        <v>6</v>
      </c>
      <c r="AA5" s="4" t="s">
        <v>7</v>
      </c>
      <c r="AB5" s="4" t="s">
        <v>343</v>
      </c>
      <c r="AC5" s="40"/>
      <c r="AD5" s="40"/>
      <c r="AE5" s="40"/>
      <c r="AF5" s="40"/>
      <c r="AG5" s="40"/>
      <c r="AH5" s="40"/>
      <c r="AI5" s="40"/>
      <c r="AJ5" s="4" t="s">
        <v>395</v>
      </c>
      <c r="AK5" s="4" t="s">
        <v>396</v>
      </c>
      <c r="AL5" s="4" t="s">
        <v>397</v>
      </c>
      <c r="AM5" s="4" t="s">
        <v>398</v>
      </c>
      <c r="AN5" s="4" t="s">
        <v>401</v>
      </c>
      <c r="AO5" s="4" t="s">
        <v>402</v>
      </c>
      <c r="AP5" s="4" t="s">
        <v>403</v>
      </c>
      <c r="AQ5" s="4" t="s">
        <v>404</v>
      </c>
      <c r="AR5" s="4" t="s">
        <v>405</v>
      </c>
      <c r="AS5" s="4" t="s">
        <v>406</v>
      </c>
      <c r="AT5" s="4" t="s">
        <v>407</v>
      </c>
      <c r="AU5" s="4" t="s">
        <v>408</v>
      </c>
      <c r="AV5" s="4" t="s">
        <v>351</v>
      </c>
      <c r="AW5" s="4" t="s">
        <v>355</v>
      </c>
      <c r="AX5" s="4" t="s">
        <v>353</v>
      </c>
      <c r="AY5" s="4" t="s">
        <v>357</v>
      </c>
      <c r="AZ5" s="4" t="s">
        <v>359</v>
      </c>
      <c r="BA5" s="4" t="s">
        <v>361</v>
      </c>
    </row>
    <row r="6" spans="1:53" ht="16.5" x14ac:dyDescent="0.25">
      <c r="A6" s="48"/>
      <c r="B6" s="48"/>
      <c r="C6" s="40"/>
      <c r="D6" s="40"/>
      <c r="E6" s="41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1"/>
      <c r="R6" s="5">
        <v>2</v>
      </c>
      <c r="S6" s="4">
        <v>2</v>
      </c>
      <c r="T6" s="4">
        <v>2</v>
      </c>
      <c r="U6" s="4">
        <v>2</v>
      </c>
      <c r="V6" s="4">
        <v>2</v>
      </c>
      <c r="W6" s="4">
        <v>2</v>
      </c>
      <c r="X6" s="4">
        <v>2</v>
      </c>
      <c r="Y6" s="4">
        <v>2</v>
      </c>
      <c r="Z6" s="4">
        <v>2</v>
      </c>
      <c r="AA6" s="4">
        <v>2</v>
      </c>
      <c r="AB6" s="4">
        <v>2</v>
      </c>
      <c r="AC6" s="4">
        <v>2</v>
      </c>
      <c r="AD6" s="4">
        <v>2</v>
      </c>
      <c r="AE6" s="4">
        <v>2</v>
      </c>
      <c r="AF6" s="4">
        <v>4</v>
      </c>
      <c r="AG6" s="4">
        <v>2</v>
      </c>
      <c r="AH6" s="4">
        <v>4</v>
      </c>
      <c r="AI6" s="4">
        <v>2</v>
      </c>
      <c r="AJ6" s="4">
        <v>1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2</v>
      </c>
      <c r="AW6" s="4">
        <v>2</v>
      </c>
      <c r="AX6" s="4">
        <v>2</v>
      </c>
      <c r="AY6" s="4">
        <v>2</v>
      </c>
      <c r="AZ6" s="4">
        <v>2</v>
      </c>
      <c r="BA6" s="4">
        <v>2</v>
      </c>
    </row>
    <row r="7" spans="1:53" ht="16.5" x14ac:dyDescent="0.25">
      <c r="A7" s="48"/>
      <c r="B7" s="48"/>
      <c r="C7" s="40"/>
      <c r="D7" s="40"/>
      <c r="E7" s="41"/>
      <c r="F7" s="4" t="s">
        <v>23</v>
      </c>
      <c r="G7" s="4" t="s">
        <v>222</v>
      </c>
      <c r="H7" s="4" t="s">
        <v>224</v>
      </c>
      <c r="I7" s="4" t="s">
        <v>339</v>
      </c>
      <c r="J7" s="4" t="s">
        <v>24</v>
      </c>
      <c r="K7" s="4" t="s">
        <v>26</v>
      </c>
      <c r="L7" s="4" t="s">
        <v>25</v>
      </c>
      <c r="M7" s="4" t="s">
        <v>27</v>
      </c>
      <c r="N7" s="4" t="s">
        <v>28</v>
      </c>
      <c r="O7" s="4" t="s">
        <v>273</v>
      </c>
      <c r="P7" s="4" t="s">
        <v>246</v>
      </c>
      <c r="Q7" s="41"/>
      <c r="R7" s="5" t="s">
        <v>29</v>
      </c>
      <c r="S7" s="5" t="s">
        <v>30</v>
      </c>
      <c r="T7" s="5" t="s">
        <v>31</v>
      </c>
      <c r="U7" s="5" t="s">
        <v>385</v>
      </c>
      <c r="V7" s="5" t="s">
        <v>387</v>
      </c>
      <c r="W7" s="5" t="s">
        <v>389</v>
      </c>
      <c r="X7" s="5" t="s">
        <v>378</v>
      </c>
      <c r="Y7" s="4" t="s">
        <v>32</v>
      </c>
      <c r="Z7" s="4" t="s">
        <v>33</v>
      </c>
      <c r="AA7" s="4" t="s">
        <v>34</v>
      </c>
      <c r="AB7" s="4" t="s">
        <v>35</v>
      </c>
      <c r="AC7" s="4" t="s">
        <v>36</v>
      </c>
      <c r="AD7" s="4" t="s">
        <v>37</v>
      </c>
      <c r="AE7" s="4" t="s">
        <v>38</v>
      </c>
      <c r="AF7" s="4" t="s">
        <v>39</v>
      </c>
      <c r="AG7" s="4" t="s">
        <v>40</v>
      </c>
      <c r="AH7" s="4" t="s">
        <v>41</v>
      </c>
      <c r="AI7" s="4" t="s">
        <v>42</v>
      </c>
      <c r="AJ7" s="4" t="s">
        <v>409</v>
      </c>
      <c r="AK7" s="4" t="s">
        <v>410</v>
      </c>
      <c r="AL7" s="4" t="s">
        <v>411</v>
      </c>
      <c r="AM7" s="4" t="s">
        <v>412</v>
      </c>
      <c r="AN7" s="4" t="s">
        <v>413</v>
      </c>
      <c r="AO7" s="4" t="s">
        <v>414</v>
      </c>
      <c r="AP7" s="4" t="s">
        <v>415</v>
      </c>
      <c r="AQ7" s="4" t="s">
        <v>416</v>
      </c>
      <c r="AR7" s="4" t="s">
        <v>417</v>
      </c>
      <c r="AS7" s="4" t="s">
        <v>418</v>
      </c>
      <c r="AT7" s="4" t="s">
        <v>419</v>
      </c>
      <c r="AU7" s="4" t="s">
        <v>420</v>
      </c>
      <c r="AV7" s="4" t="s">
        <v>369</v>
      </c>
      <c r="AW7" s="4" t="s">
        <v>371</v>
      </c>
      <c r="AX7" s="4" t="s">
        <v>373</v>
      </c>
      <c r="AY7" s="4" t="s">
        <v>367</v>
      </c>
      <c r="AZ7" s="4" t="s">
        <v>365</v>
      </c>
      <c r="BA7" s="4" t="s">
        <v>363</v>
      </c>
    </row>
    <row r="8" spans="1:53" s="15" customFormat="1" x14ac:dyDescent="0.25">
      <c r="A8" s="11">
        <v>1</v>
      </c>
      <c r="B8" s="11" t="s">
        <v>335</v>
      </c>
      <c r="C8" s="11" t="s">
        <v>52</v>
      </c>
      <c r="D8" s="11" t="s">
        <v>288</v>
      </c>
      <c r="E8" s="16"/>
      <c r="F8" s="21" t="str">
        <f>$C8&amp;F$7</f>
        <v>EAST_ACB_1\ST</v>
      </c>
      <c r="G8" s="21" t="str">
        <f>$C8&amp;G$7</f>
        <v>EAST_ACB_1\TRIP</v>
      </c>
      <c r="H8" s="21"/>
      <c r="I8" s="21"/>
      <c r="J8" s="21"/>
      <c r="K8" s="21"/>
      <c r="L8" s="21"/>
      <c r="M8" s="21"/>
      <c r="N8" s="21"/>
      <c r="O8" s="21" t="str">
        <f>$C8&amp;O$7</f>
        <v>EAST_ACB_1\50_51</v>
      </c>
      <c r="P8" s="21" t="str">
        <f>$C8&amp;P$7</f>
        <v>EAST_ACB_1\51G</v>
      </c>
      <c r="Q8" s="22"/>
      <c r="R8" s="23" t="str">
        <f t="shared" ref="R8:BA9" si="0">$C8&amp;R$7</f>
        <v>EAST_ACB_1\V12</v>
      </c>
      <c r="S8" s="23" t="str">
        <f t="shared" si="0"/>
        <v>EAST_ACB_1\V23</v>
      </c>
      <c r="T8" s="23" t="str">
        <f t="shared" si="0"/>
        <v>EAST_ACB_1\V31</v>
      </c>
      <c r="U8" s="23" t="str">
        <f t="shared" si="0"/>
        <v>EAST_ACB_1\V1N</v>
      </c>
      <c r="V8" s="23" t="str">
        <f t="shared" si="0"/>
        <v>EAST_ACB_1\V2N</v>
      </c>
      <c r="W8" s="23" t="str">
        <f t="shared" si="0"/>
        <v>EAST_ACB_1\V3N</v>
      </c>
      <c r="X8" s="23" t="str">
        <f t="shared" si="0"/>
        <v>EAST_ACB_1\VA</v>
      </c>
      <c r="Y8" s="23" t="str">
        <f t="shared" si="0"/>
        <v>EAST_ACB_1\A1</v>
      </c>
      <c r="Z8" s="23" t="str">
        <f t="shared" si="0"/>
        <v>EAST_ACB_1\A2</v>
      </c>
      <c r="AA8" s="23" t="str">
        <f t="shared" si="0"/>
        <v>EAST_ACB_1\A3</v>
      </c>
      <c r="AB8" s="23" t="str">
        <f t="shared" si="0"/>
        <v>EAST_ACB_1\AA</v>
      </c>
      <c r="AC8" s="23" t="str">
        <f t="shared" si="0"/>
        <v>EAST_ACB_1\PF</v>
      </c>
      <c r="AD8" s="23" t="str">
        <f t="shared" si="0"/>
        <v>EAST_ACB_1\HZ</v>
      </c>
      <c r="AE8" s="23" t="str">
        <f t="shared" si="0"/>
        <v>EAST_ACB_1\KW</v>
      </c>
      <c r="AF8" s="23" t="str">
        <f t="shared" si="0"/>
        <v>EAST_ACB_1\KHh</v>
      </c>
      <c r="AG8" s="23" t="str">
        <f t="shared" si="0"/>
        <v>EAST_ACB_1\VA</v>
      </c>
      <c r="AH8" s="23" t="str">
        <f t="shared" si="0"/>
        <v>EAST_ACB_1\VAH</v>
      </c>
      <c r="AI8" s="23" t="str">
        <f t="shared" si="0"/>
        <v>EAST_ACB_1\PEAK</v>
      </c>
      <c r="AJ8" s="23" t="str">
        <f t="shared" si="0"/>
        <v>EAST_ACB_1\H_A_1</v>
      </c>
      <c r="AK8" s="23" t="str">
        <f t="shared" si="0"/>
        <v>EAST_ACB_1\H_A_3</v>
      </c>
      <c r="AL8" s="23" t="str">
        <f t="shared" si="0"/>
        <v>EAST_ACB_1\H_A_5</v>
      </c>
      <c r="AM8" s="23" t="str">
        <f t="shared" si="0"/>
        <v>EAST_ACB_1\H_A_7</v>
      </c>
      <c r="AN8" s="23" t="str">
        <f t="shared" si="0"/>
        <v>EAST_ACB_1\H_B_1</v>
      </c>
      <c r="AO8" s="23" t="str">
        <f t="shared" si="0"/>
        <v>EAST_ACB_1\H_B_3</v>
      </c>
      <c r="AP8" s="23" t="str">
        <f t="shared" si="0"/>
        <v>EAST_ACB_1\H_B_5</v>
      </c>
      <c r="AQ8" s="23" t="str">
        <f t="shared" si="0"/>
        <v>EAST_ACB_1\H_B_7</v>
      </c>
      <c r="AR8" s="23" t="str">
        <f t="shared" si="0"/>
        <v>EAST_ACB_1\H_C_1</v>
      </c>
      <c r="AS8" s="23" t="str">
        <f t="shared" si="0"/>
        <v>EAST_ACB_1\H_C_3</v>
      </c>
      <c r="AT8" s="23" t="str">
        <f t="shared" si="0"/>
        <v>EAST_ACB_1\H_C_5</v>
      </c>
      <c r="AU8" s="23" t="str">
        <f t="shared" si="0"/>
        <v>EAST_ACB_1\H_C_7</v>
      </c>
      <c r="AV8" s="23" t="str">
        <f t="shared" si="0"/>
        <v>EAST_ACB_1\PV1</v>
      </c>
      <c r="AW8" s="23" t="str">
        <f t="shared" si="0"/>
        <v>EAST_ACB_1\PV2</v>
      </c>
      <c r="AX8" s="23" t="str">
        <f t="shared" si="0"/>
        <v>EAST_ACB_1\PV3</v>
      </c>
      <c r="AY8" s="23" t="str">
        <f t="shared" si="0"/>
        <v>EAST_ACB_1\PI1</v>
      </c>
      <c r="AZ8" s="23" t="str">
        <f t="shared" si="0"/>
        <v>EAST_ACB_1\PI2</v>
      </c>
      <c r="BA8" s="23" t="str">
        <f t="shared" si="0"/>
        <v>EAST_ACB_1\PI3</v>
      </c>
    </row>
    <row r="9" spans="1:53" x14ac:dyDescent="0.25">
      <c r="A9" s="3">
        <v>2</v>
      </c>
      <c r="B9" s="3" t="s">
        <v>335</v>
      </c>
      <c r="C9" s="8" t="s">
        <v>53</v>
      </c>
      <c r="D9" s="8" t="s">
        <v>288</v>
      </c>
      <c r="E9" s="4"/>
      <c r="F9" s="20" t="str">
        <f>$C9&amp;F$7</f>
        <v>EAST_ACB_1_1\ST</v>
      </c>
      <c r="G9" s="20" t="str">
        <f>$C9&amp;G$7</f>
        <v>EAST_ACB_1_1\TRIP</v>
      </c>
      <c r="H9" s="20"/>
      <c r="I9" s="20"/>
      <c r="J9" s="20"/>
      <c r="K9" s="20"/>
      <c r="L9" s="20"/>
      <c r="M9" s="20"/>
      <c r="N9" s="20"/>
      <c r="O9" s="2" t="str">
        <f>$C9&amp;O$7</f>
        <v>EAST_ACB_1_1\50_51</v>
      </c>
      <c r="P9" s="2" t="str">
        <f>$C9&amp;P$7</f>
        <v>EAST_ACB_1_1\51G</v>
      </c>
      <c r="Q9" s="24"/>
      <c r="R9" s="25" t="str">
        <f t="shared" si="0"/>
        <v>EAST_ACB_1_1\V12</v>
      </c>
      <c r="S9" s="25" t="str">
        <f t="shared" si="0"/>
        <v>EAST_ACB_1_1\V23</v>
      </c>
      <c r="T9" s="25" t="str">
        <f t="shared" si="0"/>
        <v>EAST_ACB_1_1\V31</v>
      </c>
      <c r="U9" s="25" t="str">
        <f t="shared" si="0"/>
        <v>EAST_ACB_1_1\V1N</v>
      </c>
      <c r="V9" s="25" t="str">
        <f t="shared" si="0"/>
        <v>EAST_ACB_1_1\V2N</v>
      </c>
      <c r="W9" s="25" t="str">
        <f t="shared" si="0"/>
        <v>EAST_ACB_1_1\V3N</v>
      </c>
      <c r="X9" s="25" t="str">
        <f t="shared" si="0"/>
        <v>EAST_ACB_1_1\VA</v>
      </c>
      <c r="Y9" s="25" t="str">
        <f t="shared" si="0"/>
        <v>EAST_ACB_1_1\A1</v>
      </c>
      <c r="Z9" s="25" t="str">
        <f t="shared" si="0"/>
        <v>EAST_ACB_1_1\A2</v>
      </c>
      <c r="AA9" s="25" t="str">
        <f t="shared" si="0"/>
        <v>EAST_ACB_1_1\A3</v>
      </c>
      <c r="AB9" s="25" t="str">
        <f t="shared" si="0"/>
        <v>EAST_ACB_1_1\AA</v>
      </c>
      <c r="AC9" s="25" t="str">
        <f t="shared" si="0"/>
        <v>EAST_ACB_1_1\PF</v>
      </c>
      <c r="AD9" s="25" t="str">
        <f t="shared" si="0"/>
        <v>EAST_ACB_1_1\HZ</v>
      </c>
      <c r="AE9" s="25" t="str">
        <f t="shared" si="0"/>
        <v>EAST_ACB_1_1\KW</v>
      </c>
      <c r="AF9" s="25" t="str">
        <f t="shared" si="0"/>
        <v>EAST_ACB_1_1\KHh</v>
      </c>
      <c r="AG9" s="25" t="str">
        <f t="shared" si="0"/>
        <v>EAST_ACB_1_1\VA</v>
      </c>
      <c r="AH9" s="25" t="str">
        <f t="shared" si="0"/>
        <v>EAST_ACB_1_1\VAH</v>
      </c>
      <c r="AI9" s="25" t="str">
        <f t="shared" si="0"/>
        <v>EAST_ACB_1_1\PEAK</v>
      </c>
      <c r="AJ9" s="25" t="str">
        <f t="shared" si="0"/>
        <v>EAST_ACB_1_1\H_A_1</v>
      </c>
      <c r="AK9" s="25" t="str">
        <f t="shared" si="0"/>
        <v>EAST_ACB_1_1\H_A_3</v>
      </c>
      <c r="AL9" s="25" t="str">
        <f t="shared" si="0"/>
        <v>EAST_ACB_1_1\H_A_5</v>
      </c>
      <c r="AM9" s="25" t="str">
        <f t="shared" si="0"/>
        <v>EAST_ACB_1_1\H_A_7</v>
      </c>
      <c r="AN9" s="25" t="str">
        <f t="shared" si="0"/>
        <v>EAST_ACB_1_1\H_B_1</v>
      </c>
      <c r="AO9" s="25" t="str">
        <f t="shared" si="0"/>
        <v>EAST_ACB_1_1\H_B_3</v>
      </c>
      <c r="AP9" s="25" t="str">
        <f t="shared" si="0"/>
        <v>EAST_ACB_1_1\H_B_5</v>
      </c>
      <c r="AQ9" s="25" t="str">
        <f t="shared" si="0"/>
        <v>EAST_ACB_1_1\H_B_7</v>
      </c>
      <c r="AR9" s="25" t="str">
        <f t="shared" si="0"/>
        <v>EAST_ACB_1_1\H_C_1</v>
      </c>
      <c r="AS9" s="25" t="str">
        <f t="shared" si="0"/>
        <v>EAST_ACB_1_1\H_C_3</v>
      </c>
      <c r="AT9" s="25" t="str">
        <f t="shared" si="0"/>
        <v>EAST_ACB_1_1\H_C_5</v>
      </c>
      <c r="AU9" s="25" t="str">
        <f t="shared" si="0"/>
        <v>EAST_ACB_1_1\H_C_7</v>
      </c>
      <c r="AV9" s="25" t="str">
        <f t="shared" si="0"/>
        <v>EAST_ACB_1_1\PV1</v>
      </c>
      <c r="AW9" s="25" t="str">
        <f t="shared" si="0"/>
        <v>EAST_ACB_1_1\PV2</v>
      </c>
      <c r="AX9" s="25" t="str">
        <f t="shared" si="0"/>
        <v>EAST_ACB_1_1\PV3</v>
      </c>
      <c r="AY9" s="25" t="str">
        <f t="shared" si="0"/>
        <v>EAST_ACB_1_1\PI1</v>
      </c>
      <c r="AZ9" s="25" t="str">
        <f t="shared" si="0"/>
        <v>EAST_ACB_1_1\PI2</v>
      </c>
      <c r="BA9" s="25" t="str">
        <f t="shared" si="0"/>
        <v>EAST_ACB_1_1\PI3</v>
      </c>
    </row>
    <row r="10" spans="1:53" x14ac:dyDescent="0.25">
      <c r="A10" s="3">
        <v>3</v>
      </c>
      <c r="B10" s="3" t="s">
        <v>335</v>
      </c>
      <c r="C10" s="3" t="s">
        <v>250</v>
      </c>
      <c r="D10" s="3" t="s">
        <v>302</v>
      </c>
      <c r="E10" s="4"/>
      <c r="F10" s="20"/>
      <c r="G10" s="2"/>
      <c r="H10" s="2"/>
      <c r="I10" s="2" t="str">
        <f>$C10&amp;I$7</f>
        <v>EAST_TR_1\TM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 x14ac:dyDescent="0.25">
      <c r="A11" s="3">
        <v>4</v>
      </c>
      <c r="B11" s="3" t="s">
        <v>335</v>
      </c>
      <c r="C11" s="3" t="s">
        <v>258</v>
      </c>
      <c r="D11" s="3" t="s">
        <v>310</v>
      </c>
      <c r="E11" s="4"/>
      <c r="F11" s="2" t="str">
        <f>$C11&amp;F$7</f>
        <v>EAST_CTTS_1\ST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 x14ac:dyDescent="0.25">
      <c r="A12" s="3">
        <v>5</v>
      </c>
      <c r="B12" s="3" t="s">
        <v>335</v>
      </c>
      <c r="C12" s="3" t="s">
        <v>225</v>
      </c>
      <c r="D12" s="3" t="s">
        <v>324</v>
      </c>
      <c r="E12" s="4"/>
      <c r="F12" s="2"/>
      <c r="G12" s="2"/>
      <c r="H12" s="2" t="str">
        <f>$C12&amp;H$7</f>
        <v>EAST_MDB_1B\ELD</v>
      </c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 x14ac:dyDescent="0.25">
      <c r="A13" s="3">
        <v>6</v>
      </c>
      <c r="B13" s="3" t="s">
        <v>335</v>
      </c>
      <c r="C13" s="3" t="s">
        <v>69</v>
      </c>
      <c r="D13" s="3" t="s">
        <v>324</v>
      </c>
      <c r="E13" s="4"/>
      <c r="F13" s="20" t="str">
        <f t="shared" ref="F13:G19" si="1">$C13&amp;F$7</f>
        <v>EAST_MDB_1B_1\ST</v>
      </c>
      <c r="G13" s="2" t="str">
        <f t="shared" si="1"/>
        <v>EAST_MDB_1B_1\TRIP</v>
      </c>
      <c r="H13" s="20"/>
      <c r="I13" s="20"/>
      <c r="J13" s="20"/>
      <c r="K13" s="20"/>
      <c r="L13" s="20"/>
      <c r="M13" s="20"/>
      <c r="N13" s="20"/>
      <c r="O13" s="20"/>
      <c r="P13" s="20"/>
      <c r="Q13" s="24"/>
      <c r="R13" s="2" t="str">
        <f t="shared" ref="R13:AU19" si="2">$C13&amp;R$7</f>
        <v>EAST_MDB_1B_1\V12</v>
      </c>
      <c r="S13" s="2" t="str">
        <f t="shared" si="2"/>
        <v>EAST_MDB_1B_1\V23</v>
      </c>
      <c r="T13" s="2" t="str">
        <f t="shared" si="2"/>
        <v>EAST_MDB_1B_1\V31</v>
      </c>
      <c r="U13" s="2" t="str">
        <f t="shared" si="2"/>
        <v>EAST_MDB_1B_1\V1N</v>
      </c>
      <c r="V13" s="2" t="str">
        <f t="shared" si="2"/>
        <v>EAST_MDB_1B_1\V2N</v>
      </c>
      <c r="W13" s="2" t="str">
        <f t="shared" si="2"/>
        <v>EAST_MDB_1B_1\V3N</v>
      </c>
      <c r="X13" s="2" t="str">
        <f t="shared" si="2"/>
        <v>EAST_MDB_1B_1\VA</v>
      </c>
      <c r="Y13" s="2" t="str">
        <f t="shared" si="2"/>
        <v>EAST_MDB_1B_1\A1</v>
      </c>
      <c r="Z13" s="2" t="str">
        <f t="shared" si="2"/>
        <v>EAST_MDB_1B_1\A2</v>
      </c>
      <c r="AA13" s="2" t="str">
        <f t="shared" si="2"/>
        <v>EAST_MDB_1B_1\A3</v>
      </c>
      <c r="AB13" s="2" t="str">
        <f t="shared" si="2"/>
        <v>EAST_MDB_1B_1\AA</v>
      </c>
      <c r="AC13" s="2" t="str">
        <f t="shared" si="2"/>
        <v>EAST_MDB_1B_1\PF</v>
      </c>
      <c r="AD13" s="2" t="str">
        <f t="shared" si="2"/>
        <v>EAST_MDB_1B_1\HZ</v>
      </c>
      <c r="AE13" s="2" t="str">
        <f t="shared" si="2"/>
        <v>EAST_MDB_1B_1\KW</v>
      </c>
      <c r="AF13" s="2" t="str">
        <f t="shared" si="2"/>
        <v>EAST_MDB_1B_1\KHh</v>
      </c>
      <c r="AG13" s="2" t="str">
        <f t="shared" si="2"/>
        <v>EAST_MDB_1B_1\VA</v>
      </c>
      <c r="AH13" s="2" t="str">
        <f t="shared" si="2"/>
        <v>EAST_MDB_1B_1\VAH</v>
      </c>
      <c r="AI13" s="2" t="str">
        <f t="shared" si="2"/>
        <v>EAST_MDB_1B_1\PEAK</v>
      </c>
      <c r="AJ13" s="2" t="str">
        <f t="shared" si="2"/>
        <v>EAST_MDB_1B_1\H_A_1</v>
      </c>
      <c r="AK13" s="2" t="str">
        <f t="shared" si="2"/>
        <v>EAST_MDB_1B_1\H_A_3</v>
      </c>
      <c r="AL13" s="2" t="str">
        <f t="shared" si="2"/>
        <v>EAST_MDB_1B_1\H_A_5</v>
      </c>
      <c r="AM13" s="2" t="str">
        <f t="shared" si="2"/>
        <v>EAST_MDB_1B_1\H_A_7</v>
      </c>
      <c r="AN13" s="2" t="str">
        <f t="shared" si="2"/>
        <v>EAST_MDB_1B_1\H_B_1</v>
      </c>
      <c r="AO13" s="2" t="str">
        <f t="shared" si="2"/>
        <v>EAST_MDB_1B_1\H_B_3</v>
      </c>
      <c r="AP13" s="2" t="str">
        <f t="shared" si="2"/>
        <v>EAST_MDB_1B_1\H_B_5</v>
      </c>
      <c r="AQ13" s="2" t="str">
        <f t="shared" si="2"/>
        <v>EAST_MDB_1B_1\H_B_7</v>
      </c>
      <c r="AR13" s="2" t="str">
        <f t="shared" si="2"/>
        <v>EAST_MDB_1B_1\H_C_1</v>
      </c>
      <c r="AS13" s="2" t="str">
        <f t="shared" si="2"/>
        <v>EAST_MDB_1B_1\H_C_3</v>
      </c>
      <c r="AT13" s="2" t="str">
        <f t="shared" si="2"/>
        <v>EAST_MDB_1B_1\H_C_5</v>
      </c>
      <c r="AU13" s="2" t="str">
        <f t="shared" si="2"/>
        <v>EAST_MDB_1B_1\H_C_7</v>
      </c>
      <c r="AV13" s="2" t="str">
        <f t="shared" ref="AV13:BA19" si="3">$C13&amp;AV$7</f>
        <v>EAST_MDB_1B_1\PV1</v>
      </c>
      <c r="AW13" s="2" t="str">
        <f t="shared" si="3"/>
        <v>EAST_MDB_1B_1\PV2</v>
      </c>
      <c r="AX13" s="2" t="str">
        <f t="shared" si="3"/>
        <v>EAST_MDB_1B_1\PV3</v>
      </c>
      <c r="AY13" s="2" t="str">
        <f t="shared" si="3"/>
        <v>EAST_MDB_1B_1\PI1</v>
      </c>
      <c r="AZ13" s="2" t="str">
        <f t="shared" si="3"/>
        <v>EAST_MDB_1B_1\PI2</v>
      </c>
      <c r="BA13" s="2" t="str">
        <f t="shared" si="3"/>
        <v>EAST_MDB_1B_1\PI3</v>
      </c>
    </row>
    <row r="14" spans="1:53" x14ac:dyDescent="0.25">
      <c r="A14" s="3">
        <v>7</v>
      </c>
      <c r="B14" s="3" t="s">
        <v>335</v>
      </c>
      <c r="C14" s="3" t="s">
        <v>70</v>
      </c>
      <c r="D14" s="3" t="s">
        <v>324</v>
      </c>
      <c r="E14" s="4"/>
      <c r="F14" s="20" t="str">
        <f t="shared" si="1"/>
        <v>EAST_MDB_1B_2\ST</v>
      </c>
      <c r="G14" s="2" t="str">
        <f t="shared" si="1"/>
        <v>EAST_MDB_1B_2\TRIP</v>
      </c>
      <c r="H14" s="20"/>
      <c r="I14" s="20"/>
      <c r="J14" s="20"/>
      <c r="K14" s="20"/>
      <c r="L14" s="20"/>
      <c r="M14" s="20"/>
      <c r="N14" s="20"/>
      <c r="O14" s="20"/>
      <c r="P14" s="20"/>
      <c r="Q14" s="24"/>
      <c r="R14" s="2" t="str">
        <f t="shared" si="2"/>
        <v>EAST_MDB_1B_2\V12</v>
      </c>
      <c r="S14" s="2" t="str">
        <f t="shared" si="2"/>
        <v>EAST_MDB_1B_2\V23</v>
      </c>
      <c r="T14" s="2" t="str">
        <f t="shared" si="2"/>
        <v>EAST_MDB_1B_2\V31</v>
      </c>
      <c r="U14" s="2" t="str">
        <f t="shared" si="2"/>
        <v>EAST_MDB_1B_2\V1N</v>
      </c>
      <c r="V14" s="2" t="str">
        <f t="shared" si="2"/>
        <v>EAST_MDB_1B_2\V2N</v>
      </c>
      <c r="W14" s="2" t="str">
        <f t="shared" si="2"/>
        <v>EAST_MDB_1B_2\V3N</v>
      </c>
      <c r="X14" s="2" t="str">
        <f t="shared" si="2"/>
        <v>EAST_MDB_1B_2\VA</v>
      </c>
      <c r="Y14" s="2" t="str">
        <f t="shared" si="2"/>
        <v>EAST_MDB_1B_2\A1</v>
      </c>
      <c r="Z14" s="2" t="str">
        <f t="shared" si="2"/>
        <v>EAST_MDB_1B_2\A2</v>
      </c>
      <c r="AA14" s="2" t="str">
        <f t="shared" si="2"/>
        <v>EAST_MDB_1B_2\A3</v>
      </c>
      <c r="AB14" s="2" t="str">
        <f t="shared" si="2"/>
        <v>EAST_MDB_1B_2\AA</v>
      </c>
      <c r="AC14" s="2" t="str">
        <f t="shared" si="2"/>
        <v>EAST_MDB_1B_2\PF</v>
      </c>
      <c r="AD14" s="2" t="str">
        <f t="shared" si="2"/>
        <v>EAST_MDB_1B_2\HZ</v>
      </c>
      <c r="AE14" s="2" t="str">
        <f t="shared" si="2"/>
        <v>EAST_MDB_1B_2\KW</v>
      </c>
      <c r="AF14" s="2" t="str">
        <f t="shared" si="2"/>
        <v>EAST_MDB_1B_2\KHh</v>
      </c>
      <c r="AG14" s="2" t="str">
        <f t="shared" si="2"/>
        <v>EAST_MDB_1B_2\VA</v>
      </c>
      <c r="AH14" s="2" t="str">
        <f t="shared" si="2"/>
        <v>EAST_MDB_1B_2\VAH</v>
      </c>
      <c r="AI14" s="2" t="str">
        <f t="shared" si="2"/>
        <v>EAST_MDB_1B_2\PEAK</v>
      </c>
      <c r="AJ14" s="2" t="str">
        <f t="shared" si="2"/>
        <v>EAST_MDB_1B_2\H_A_1</v>
      </c>
      <c r="AK14" s="2" t="str">
        <f t="shared" si="2"/>
        <v>EAST_MDB_1B_2\H_A_3</v>
      </c>
      <c r="AL14" s="2" t="str">
        <f t="shared" si="2"/>
        <v>EAST_MDB_1B_2\H_A_5</v>
      </c>
      <c r="AM14" s="2" t="str">
        <f t="shared" si="2"/>
        <v>EAST_MDB_1B_2\H_A_7</v>
      </c>
      <c r="AN14" s="2" t="str">
        <f t="shared" si="2"/>
        <v>EAST_MDB_1B_2\H_B_1</v>
      </c>
      <c r="AO14" s="2" t="str">
        <f t="shared" si="2"/>
        <v>EAST_MDB_1B_2\H_B_3</v>
      </c>
      <c r="AP14" s="2" t="str">
        <f t="shared" si="2"/>
        <v>EAST_MDB_1B_2\H_B_5</v>
      </c>
      <c r="AQ14" s="2" t="str">
        <f t="shared" si="2"/>
        <v>EAST_MDB_1B_2\H_B_7</v>
      </c>
      <c r="AR14" s="2" t="str">
        <f t="shared" si="2"/>
        <v>EAST_MDB_1B_2\H_C_1</v>
      </c>
      <c r="AS14" s="2" t="str">
        <f t="shared" si="2"/>
        <v>EAST_MDB_1B_2\H_C_3</v>
      </c>
      <c r="AT14" s="2" t="str">
        <f t="shared" si="2"/>
        <v>EAST_MDB_1B_2\H_C_5</v>
      </c>
      <c r="AU14" s="2" t="str">
        <f t="shared" si="2"/>
        <v>EAST_MDB_1B_2\H_C_7</v>
      </c>
      <c r="AV14" s="2" t="str">
        <f t="shared" si="3"/>
        <v>EAST_MDB_1B_2\PV1</v>
      </c>
      <c r="AW14" s="2" t="str">
        <f t="shared" si="3"/>
        <v>EAST_MDB_1B_2\PV2</v>
      </c>
      <c r="AX14" s="2" t="str">
        <f t="shared" si="3"/>
        <v>EAST_MDB_1B_2\PV3</v>
      </c>
      <c r="AY14" s="2" t="str">
        <f t="shared" si="3"/>
        <v>EAST_MDB_1B_2\PI1</v>
      </c>
      <c r="AZ14" s="2" t="str">
        <f t="shared" si="3"/>
        <v>EAST_MDB_1B_2\PI2</v>
      </c>
      <c r="BA14" s="2" t="str">
        <f t="shared" si="3"/>
        <v>EAST_MDB_1B_2\PI3</v>
      </c>
    </row>
    <row r="15" spans="1:53" x14ac:dyDescent="0.25">
      <c r="A15" s="3">
        <v>8</v>
      </c>
      <c r="B15" s="3" t="s">
        <v>335</v>
      </c>
      <c r="C15" s="3" t="s">
        <v>71</v>
      </c>
      <c r="D15" s="3" t="s">
        <v>324</v>
      </c>
      <c r="E15" s="4"/>
      <c r="F15" s="20" t="str">
        <f t="shared" si="1"/>
        <v>EAST_MDB_1B_3\ST</v>
      </c>
      <c r="G15" s="2" t="str">
        <f t="shared" si="1"/>
        <v>EAST_MDB_1B_3\TRIP</v>
      </c>
      <c r="H15" s="20"/>
      <c r="I15" s="20"/>
      <c r="J15" s="20"/>
      <c r="K15" s="20"/>
      <c r="L15" s="20"/>
      <c r="M15" s="20"/>
      <c r="N15" s="20"/>
      <c r="O15" s="20"/>
      <c r="P15" s="20"/>
      <c r="Q15" s="24"/>
      <c r="R15" s="2" t="str">
        <f t="shared" si="2"/>
        <v>EAST_MDB_1B_3\V12</v>
      </c>
      <c r="S15" s="2" t="str">
        <f t="shared" si="2"/>
        <v>EAST_MDB_1B_3\V23</v>
      </c>
      <c r="T15" s="2" t="str">
        <f t="shared" si="2"/>
        <v>EAST_MDB_1B_3\V31</v>
      </c>
      <c r="U15" s="2" t="str">
        <f t="shared" si="2"/>
        <v>EAST_MDB_1B_3\V1N</v>
      </c>
      <c r="V15" s="2" t="str">
        <f t="shared" si="2"/>
        <v>EAST_MDB_1B_3\V2N</v>
      </c>
      <c r="W15" s="2" t="str">
        <f t="shared" si="2"/>
        <v>EAST_MDB_1B_3\V3N</v>
      </c>
      <c r="X15" s="2" t="str">
        <f t="shared" si="2"/>
        <v>EAST_MDB_1B_3\VA</v>
      </c>
      <c r="Y15" s="2" t="str">
        <f t="shared" si="2"/>
        <v>EAST_MDB_1B_3\A1</v>
      </c>
      <c r="Z15" s="2" t="str">
        <f t="shared" si="2"/>
        <v>EAST_MDB_1B_3\A2</v>
      </c>
      <c r="AA15" s="2" t="str">
        <f t="shared" si="2"/>
        <v>EAST_MDB_1B_3\A3</v>
      </c>
      <c r="AB15" s="2" t="str">
        <f t="shared" si="2"/>
        <v>EAST_MDB_1B_3\AA</v>
      </c>
      <c r="AC15" s="2" t="str">
        <f t="shared" si="2"/>
        <v>EAST_MDB_1B_3\PF</v>
      </c>
      <c r="AD15" s="2" t="str">
        <f t="shared" si="2"/>
        <v>EAST_MDB_1B_3\HZ</v>
      </c>
      <c r="AE15" s="2" t="str">
        <f t="shared" si="2"/>
        <v>EAST_MDB_1B_3\KW</v>
      </c>
      <c r="AF15" s="2" t="str">
        <f t="shared" si="2"/>
        <v>EAST_MDB_1B_3\KHh</v>
      </c>
      <c r="AG15" s="2" t="str">
        <f t="shared" si="2"/>
        <v>EAST_MDB_1B_3\VA</v>
      </c>
      <c r="AH15" s="2" t="str">
        <f t="shared" si="2"/>
        <v>EAST_MDB_1B_3\VAH</v>
      </c>
      <c r="AI15" s="2" t="str">
        <f t="shared" si="2"/>
        <v>EAST_MDB_1B_3\PEAK</v>
      </c>
      <c r="AJ15" s="2" t="str">
        <f t="shared" si="2"/>
        <v>EAST_MDB_1B_3\H_A_1</v>
      </c>
      <c r="AK15" s="2" t="str">
        <f t="shared" si="2"/>
        <v>EAST_MDB_1B_3\H_A_3</v>
      </c>
      <c r="AL15" s="2" t="str">
        <f t="shared" si="2"/>
        <v>EAST_MDB_1B_3\H_A_5</v>
      </c>
      <c r="AM15" s="2" t="str">
        <f t="shared" si="2"/>
        <v>EAST_MDB_1B_3\H_A_7</v>
      </c>
      <c r="AN15" s="2" t="str">
        <f t="shared" si="2"/>
        <v>EAST_MDB_1B_3\H_B_1</v>
      </c>
      <c r="AO15" s="2" t="str">
        <f t="shared" si="2"/>
        <v>EAST_MDB_1B_3\H_B_3</v>
      </c>
      <c r="AP15" s="2" t="str">
        <f t="shared" si="2"/>
        <v>EAST_MDB_1B_3\H_B_5</v>
      </c>
      <c r="AQ15" s="2" t="str">
        <f t="shared" si="2"/>
        <v>EAST_MDB_1B_3\H_B_7</v>
      </c>
      <c r="AR15" s="2" t="str">
        <f t="shared" si="2"/>
        <v>EAST_MDB_1B_3\H_C_1</v>
      </c>
      <c r="AS15" s="2" t="str">
        <f t="shared" si="2"/>
        <v>EAST_MDB_1B_3\H_C_3</v>
      </c>
      <c r="AT15" s="2" t="str">
        <f t="shared" si="2"/>
        <v>EAST_MDB_1B_3\H_C_5</v>
      </c>
      <c r="AU15" s="2" t="str">
        <f t="shared" si="2"/>
        <v>EAST_MDB_1B_3\H_C_7</v>
      </c>
      <c r="AV15" s="2" t="str">
        <f t="shared" si="3"/>
        <v>EAST_MDB_1B_3\PV1</v>
      </c>
      <c r="AW15" s="2" t="str">
        <f t="shared" si="3"/>
        <v>EAST_MDB_1B_3\PV2</v>
      </c>
      <c r="AX15" s="2" t="str">
        <f t="shared" si="3"/>
        <v>EAST_MDB_1B_3\PV3</v>
      </c>
      <c r="AY15" s="2" t="str">
        <f t="shared" si="3"/>
        <v>EAST_MDB_1B_3\PI1</v>
      </c>
      <c r="AZ15" s="2" t="str">
        <f t="shared" si="3"/>
        <v>EAST_MDB_1B_3\PI2</v>
      </c>
      <c r="BA15" s="2" t="str">
        <f t="shared" si="3"/>
        <v>EAST_MDB_1B_3\PI3</v>
      </c>
    </row>
    <row r="16" spans="1:53" x14ac:dyDescent="0.25">
      <c r="A16" s="3">
        <v>9</v>
      </c>
      <c r="B16" s="3" t="s">
        <v>335</v>
      </c>
      <c r="C16" s="3" t="s">
        <v>72</v>
      </c>
      <c r="D16" s="3" t="s">
        <v>324</v>
      </c>
      <c r="E16" s="4"/>
      <c r="F16" s="20" t="str">
        <f t="shared" si="1"/>
        <v>EAST_MDB_1B_4\ST</v>
      </c>
      <c r="G16" s="2" t="str">
        <f t="shared" si="1"/>
        <v>EAST_MDB_1B_4\TRIP</v>
      </c>
      <c r="H16" s="20"/>
      <c r="I16" s="20"/>
      <c r="J16" s="20"/>
      <c r="K16" s="20"/>
      <c r="L16" s="20"/>
      <c r="M16" s="20"/>
      <c r="N16" s="20"/>
      <c r="O16" s="20"/>
      <c r="P16" s="20"/>
      <c r="Q16" s="24"/>
      <c r="R16" s="2" t="str">
        <f t="shared" si="2"/>
        <v>EAST_MDB_1B_4\V12</v>
      </c>
      <c r="S16" s="2" t="str">
        <f t="shared" si="2"/>
        <v>EAST_MDB_1B_4\V23</v>
      </c>
      <c r="T16" s="2" t="str">
        <f t="shared" si="2"/>
        <v>EAST_MDB_1B_4\V31</v>
      </c>
      <c r="U16" s="2" t="str">
        <f t="shared" si="2"/>
        <v>EAST_MDB_1B_4\V1N</v>
      </c>
      <c r="V16" s="2" t="str">
        <f t="shared" si="2"/>
        <v>EAST_MDB_1B_4\V2N</v>
      </c>
      <c r="W16" s="2" t="str">
        <f t="shared" si="2"/>
        <v>EAST_MDB_1B_4\V3N</v>
      </c>
      <c r="X16" s="2" t="str">
        <f t="shared" si="2"/>
        <v>EAST_MDB_1B_4\VA</v>
      </c>
      <c r="Y16" s="2" t="str">
        <f t="shared" si="2"/>
        <v>EAST_MDB_1B_4\A1</v>
      </c>
      <c r="Z16" s="2" t="str">
        <f t="shared" si="2"/>
        <v>EAST_MDB_1B_4\A2</v>
      </c>
      <c r="AA16" s="2" t="str">
        <f t="shared" si="2"/>
        <v>EAST_MDB_1B_4\A3</v>
      </c>
      <c r="AB16" s="2" t="str">
        <f t="shared" si="2"/>
        <v>EAST_MDB_1B_4\AA</v>
      </c>
      <c r="AC16" s="2" t="str">
        <f t="shared" si="2"/>
        <v>EAST_MDB_1B_4\PF</v>
      </c>
      <c r="AD16" s="2" t="str">
        <f t="shared" si="2"/>
        <v>EAST_MDB_1B_4\HZ</v>
      </c>
      <c r="AE16" s="2" t="str">
        <f t="shared" si="2"/>
        <v>EAST_MDB_1B_4\KW</v>
      </c>
      <c r="AF16" s="2" t="str">
        <f t="shared" si="2"/>
        <v>EAST_MDB_1B_4\KHh</v>
      </c>
      <c r="AG16" s="2" t="str">
        <f t="shared" si="2"/>
        <v>EAST_MDB_1B_4\VA</v>
      </c>
      <c r="AH16" s="2" t="str">
        <f t="shared" si="2"/>
        <v>EAST_MDB_1B_4\VAH</v>
      </c>
      <c r="AI16" s="2" t="str">
        <f t="shared" si="2"/>
        <v>EAST_MDB_1B_4\PEAK</v>
      </c>
      <c r="AJ16" s="2" t="str">
        <f t="shared" si="2"/>
        <v>EAST_MDB_1B_4\H_A_1</v>
      </c>
      <c r="AK16" s="2" t="str">
        <f t="shared" si="2"/>
        <v>EAST_MDB_1B_4\H_A_3</v>
      </c>
      <c r="AL16" s="2" t="str">
        <f t="shared" si="2"/>
        <v>EAST_MDB_1B_4\H_A_5</v>
      </c>
      <c r="AM16" s="2" t="str">
        <f t="shared" si="2"/>
        <v>EAST_MDB_1B_4\H_A_7</v>
      </c>
      <c r="AN16" s="2" t="str">
        <f t="shared" si="2"/>
        <v>EAST_MDB_1B_4\H_B_1</v>
      </c>
      <c r="AO16" s="2" t="str">
        <f t="shared" si="2"/>
        <v>EAST_MDB_1B_4\H_B_3</v>
      </c>
      <c r="AP16" s="2" t="str">
        <f t="shared" si="2"/>
        <v>EAST_MDB_1B_4\H_B_5</v>
      </c>
      <c r="AQ16" s="2" t="str">
        <f t="shared" si="2"/>
        <v>EAST_MDB_1B_4\H_B_7</v>
      </c>
      <c r="AR16" s="2" t="str">
        <f t="shared" si="2"/>
        <v>EAST_MDB_1B_4\H_C_1</v>
      </c>
      <c r="AS16" s="2" t="str">
        <f t="shared" si="2"/>
        <v>EAST_MDB_1B_4\H_C_3</v>
      </c>
      <c r="AT16" s="2" t="str">
        <f t="shared" si="2"/>
        <v>EAST_MDB_1B_4\H_C_5</v>
      </c>
      <c r="AU16" s="2" t="str">
        <f t="shared" si="2"/>
        <v>EAST_MDB_1B_4\H_C_7</v>
      </c>
      <c r="AV16" s="2" t="str">
        <f t="shared" si="3"/>
        <v>EAST_MDB_1B_4\PV1</v>
      </c>
      <c r="AW16" s="2" t="str">
        <f t="shared" si="3"/>
        <v>EAST_MDB_1B_4\PV2</v>
      </c>
      <c r="AX16" s="2" t="str">
        <f t="shared" si="3"/>
        <v>EAST_MDB_1B_4\PV3</v>
      </c>
      <c r="AY16" s="2" t="str">
        <f t="shared" si="3"/>
        <v>EAST_MDB_1B_4\PI1</v>
      </c>
      <c r="AZ16" s="2" t="str">
        <f t="shared" si="3"/>
        <v>EAST_MDB_1B_4\PI2</v>
      </c>
      <c r="BA16" s="2" t="str">
        <f t="shared" si="3"/>
        <v>EAST_MDB_1B_4\PI3</v>
      </c>
    </row>
    <row r="17" spans="1:53" x14ac:dyDescent="0.25">
      <c r="A17" s="3">
        <v>10</v>
      </c>
      <c r="B17" s="3" t="s">
        <v>335</v>
      </c>
      <c r="C17" s="3" t="s">
        <v>73</v>
      </c>
      <c r="D17" s="3" t="s">
        <v>324</v>
      </c>
      <c r="E17" s="4"/>
      <c r="F17" s="20" t="str">
        <f t="shared" si="1"/>
        <v>EAST_MDB_1B_5\ST</v>
      </c>
      <c r="G17" s="2" t="str">
        <f t="shared" si="1"/>
        <v>EAST_MDB_1B_5\TRIP</v>
      </c>
      <c r="H17" s="20"/>
      <c r="I17" s="20"/>
      <c r="J17" s="20"/>
      <c r="K17" s="20"/>
      <c r="L17" s="20"/>
      <c r="M17" s="20"/>
      <c r="N17" s="20"/>
      <c r="O17" s="20"/>
      <c r="P17" s="20"/>
      <c r="Q17" s="24"/>
      <c r="R17" s="2" t="str">
        <f t="shared" si="2"/>
        <v>EAST_MDB_1B_5\V12</v>
      </c>
      <c r="S17" s="2" t="str">
        <f t="shared" si="2"/>
        <v>EAST_MDB_1B_5\V23</v>
      </c>
      <c r="T17" s="2" t="str">
        <f t="shared" si="2"/>
        <v>EAST_MDB_1B_5\V31</v>
      </c>
      <c r="U17" s="2" t="str">
        <f t="shared" si="2"/>
        <v>EAST_MDB_1B_5\V1N</v>
      </c>
      <c r="V17" s="2" t="str">
        <f t="shared" si="2"/>
        <v>EAST_MDB_1B_5\V2N</v>
      </c>
      <c r="W17" s="2" t="str">
        <f t="shared" si="2"/>
        <v>EAST_MDB_1B_5\V3N</v>
      </c>
      <c r="X17" s="2" t="str">
        <f t="shared" si="2"/>
        <v>EAST_MDB_1B_5\VA</v>
      </c>
      <c r="Y17" s="2" t="str">
        <f t="shared" si="2"/>
        <v>EAST_MDB_1B_5\A1</v>
      </c>
      <c r="Z17" s="2" t="str">
        <f t="shared" si="2"/>
        <v>EAST_MDB_1B_5\A2</v>
      </c>
      <c r="AA17" s="2" t="str">
        <f t="shared" si="2"/>
        <v>EAST_MDB_1B_5\A3</v>
      </c>
      <c r="AB17" s="2" t="str">
        <f t="shared" si="2"/>
        <v>EAST_MDB_1B_5\AA</v>
      </c>
      <c r="AC17" s="2" t="str">
        <f t="shared" si="2"/>
        <v>EAST_MDB_1B_5\PF</v>
      </c>
      <c r="AD17" s="2" t="str">
        <f t="shared" si="2"/>
        <v>EAST_MDB_1B_5\HZ</v>
      </c>
      <c r="AE17" s="2" t="str">
        <f t="shared" si="2"/>
        <v>EAST_MDB_1B_5\KW</v>
      </c>
      <c r="AF17" s="2" t="str">
        <f t="shared" si="2"/>
        <v>EAST_MDB_1B_5\KHh</v>
      </c>
      <c r="AG17" s="2" t="str">
        <f t="shared" si="2"/>
        <v>EAST_MDB_1B_5\VA</v>
      </c>
      <c r="AH17" s="2" t="str">
        <f t="shared" si="2"/>
        <v>EAST_MDB_1B_5\VAH</v>
      </c>
      <c r="AI17" s="2" t="str">
        <f t="shared" si="2"/>
        <v>EAST_MDB_1B_5\PEAK</v>
      </c>
      <c r="AJ17" s="2" t="str">
        <f t="shared" si="2"/>
        <v>EAST_MDB_1B_5\H_A_1</v>
      </c>
      <c r="AK17" s="2" t="str">
        <f t="shared" si="2"/>
        <v>EAST_MDB_1B_5\H_A_3</v>
      </c>
      <c r="AL17" s="2" t="str">
        <f t="shared" si="2"/>
        <v>EAST_MDB_1B_5\H_A_5</v>
      </c>
      <c r="AM17" s="2" t="str">
        <f t="shared" si="2"/>
        <v>EAST_MDB_1B_5\H_A_7</v>
      </c>
      <c r="AN17" s="2" t="str">
        <f t="shared" si="2"/>
        <v>EAST_MDB_1B_5\H_B_1</v>
      </c>
      <c r="AO17" s="2" t="str">
        <f t="shared" si="2"/>
        <v>EAST_MDB_1B_5\H_B_3</v>
      </c>
      <c r="AP17" s="2" t="str">
        <f t="shared" si="2"/>
        <v>EAST_MDB_1B_5\H_B_5</v>
      </c>
      <c r="AQ17" s="2" t="str">
        <f t="shared" si="2"/>
        <v>EAST_MDB_1B_5\H_B_7</v>
      </c>
      <c r="AR17" s="2" t="str">
        <f t="shared" si="2"/>
        <v>EAST_MDB_1B_5\H_C_1</v>
      </c>
      <c r="AS17" s="2" t="str">
        <f t="shared" si="2"/>
        <v>EAST_MDB_1B_5\H_C_3</v>
      </c>
      <c r="AT17" s="2" t="str">
        <f t="shared" si="2"/>
        <v>EAST_MDB_1B_5\H_C_5</v>
      </c>
      <c r="AU17" s="2" t="str">
        <f t="shared" si="2"/>
        <v>EAST_MDB_1B_5\H_C_7</v>
      </c>
      <c r="AV17" s="2" t="str">
        <f t="shared" si="3"/>
        <v>EAST_MDB_1B_5\PV1</v>
      </c>
      <c r="AW17" s="2" t="str">
        <f t="shared" si="3"/>
        <v>EAST_MDB_1B_5\PV2</v>
      </c>
      <c r="AX17" s="2" t="str">
        <f t="shared" si="3"/>
        <v>EAST_MDB_1B_5\PV3</v>
      </c>
      <c r="AY17" s="2" t="str">
        <f t="shared" si="3"/>
        <v>EAST_MDB_1B_5\PI1</v>
      </c>
      <c r="AZ17" s="2" t="str">
        <f t="shared" si="3"/>
        <v>EAST_MDB_1B_5\PI2</v>
      </c>
      <c r="BA17" s="2" t="str">
        <f t="shared" si="3"/>
        <v>EAST_MDB_1B_5\PI3</v>
      </c>
    </row>
    <row r="18" spans="1:53" x14ac:dyDescent="0.25">
      <c r="A18" s="3">
        <v>11</v>
      </c>
      <c r="B18" s="3" t="s">
        <v>335</v>
      </c>
      <c r="C18" s="3" t="s">
        <v>74</v>
      </c>
      <c r="D18" s="3" t="s">
        <v>324</v>
      </c>
      <c r="E18" s="4"/>
      <c r="F18" s="20" t="str">
        <f t="shared" si="1"/>
        <v>EAST_MDB_1B_6\ST</v>
      </c>
      <c r="G18" s="2" t="str">
        <f t="shared" si="1"/>
        <v>EAST_MDB_1B_6\TRIP</v>
      </c>
      <c r="H18" s="20"/>
      <c r="I18" s="20"/>
      <c r="J18" s="20"/>
      <c r="K18" s="20"/>
      <c r="L18" s="20"/>
      <c r="M18" s="20"/>
      <c r="N18" s="20"/>
      <c r="O18" s="20"/>
      <c r="P18" s="20"/>
      <c r="Q18" s="24"/>
      <c r="R18" s="2" t="str">
        <f t="shared" si="2"/>
        <v>EAST_MDB_1B_6\V12</v>
      </c>
      <c r="S18" s="2" t="str">
        <f t="shared" si="2"/>
        <v>EAST_MDB_1B_6\V23</v>
      </c>
      <c r="T18" s="2" t="str">
        <f t="shared" si="2"/>
        <v>EAST_MDB_1B_6\V31</v>
      </c>
      <c r="U18" s="2" t="str">
        <f t="shared" si="2"/>
        <v>EAST_MDB_1B_6\V1N</v>
      </c>
      <c r="V18" s="2" t="str">
        <f t="shared" si="2"/>
        <v>EAST_MDB_1B_6\V2N</v>
      </c>
      <c r="W18" s="2" t="str">
        <f t="shared" si="2"/>
        <v>EAST_MDB_1B_6\V3N</v>
      </c>
      <c r="X18" s="2" t="str">
        <f t="shared" si="2"/>
        <v>EAST_MDB_1B_6\VA</v>
      </c>
      <c r="Y18" s="2" t="str">
        <f t="shared" si="2"/>
        <v>EAST_MDB_1B_6\A1</v>
      </c>
      <c r="Z18" s="2" t="str">
        <f t="shared" si="2"/>
        <v>EAST_MDB_1B_6\A2</v>
      </c>
      <c r="AA18" s="2" t="str">
        <f t="shared" si="2"/>
        <v>EAST_MDB_1B_6\A3</v>
      </c>
      <c r="AB18" s="2" t="str">
        <f t="shared" si="2"/>
        <v>EAST_MDB_1B_6\AA</v>
      </c>
      <c r="AC18" s="2" t="str">
        <f t="shared" si="2"/>
        <v>EAST_MDB_1B_6\PF</v>
      </c>
      <c r="AD18" s="2" t="str">
        <f t="shared" si="2"/>
        <v>EAST_MDB_1B_6\HZ</v>
      </c>
      <c r="AE18" s="2" t="str">
        <f t="shared" si="2"/>
        <v>EAST_MDB_1B_6\KW</v>
      </c>
      <c r="AF18" s="2" t="str">
        <f t="shared" si="2"/>
        <v>EAST_MDB_1B_6\KHh</v>
      </c>
      <c r="AG18" s="2" t="str">
        <f t="shared" si="2"/>
        <v>EAST_MDB_1B_6\VA</v>
      </c>
      <c r="AH18" s="2" t="str">
        <f t="shared" si="2"/>
        <v>EAST_MDB_1B_6\VAH</v>
      </c>
      <c r="AI18" s="2" t="str">
        <f t="shared" si="2"/>
        <v>EAST_MDB_1B_6\PEAK</v>
      </c>
      <c r="AJ18" s="2" t="str">
        <f t="shared" si="2"/>
        <v>EAST_MDB_1B_6\H_A_1</v>
      </c>
      <c r="AK18" s="2" t="str">
        <f t="shared" si="2"/>
        <v>EAST_MDB_1B_6\H_A_3</v>
      </c>
      <c r="AL18" s="2" t="str">
        <f t="shared" si="2"/>
        <v>EAST_MDB_1B_6\H_A_5</v>
      </c>
      <c r="AM18" s="2" t="str">
        <f t="shared" si="2"/>
        <v>EAST_MDB_1B_6\H_A_7</v>
      </c>
      <c r="AN18" s="2" t="str">
        <f t="shared" si="2"/>
        <v>EAST_MDB_1B_6\H_B_1</v>
      </c>
      <c r="AO18" s="2" t="str">
        <f t="shared" si="2"/>
        <v>EAST_MDB_1B_6\H_B_3</v>
      </c>
      <c r="AP18" s="2" t="str">
        <f t="shared" si="2"/>
        <v>EAST_MDB_1B_6\H_B_5</v>
      </c>
      <c r="AQ18" s="2" t="str">
        <f t="shared" si="2"/>
        <v>EAST_MDB_1B_6\H_B_7</v>
      </c>
      <c r="AR18" s="2" t="str">
        <f t="shared" si="2"/>
        <v>EAST_MDB_1B_6\H_C_1</v>
      </c>
      <c r="AS18" s="2" t="str">
        <f t="shared" si="2"/>
        <v>EAST_MDB_1B_6\H_C_3</v>
      </c>
      <c r="AT18" s="2" t="str">
        <f t="shared" si="2"/>
        <v>EAST_MDB_1B_6\H_C_5</v>
      </c>
      <c r="AU18" s="2" t="str">
        <f t="shared" si="2"/>
        <v>EAST_MDB_1B_6\H_C_7</v>
      </c>
      <c r="AV18" s="2" t="str">
        <f t="shared" si="3"/>
        <v>EAST_MDB_1B_6\PV1</v>
      </c>
      <c r="AW18" s="2" t="str">
        <f t="shared" si="3"/>
        <v>EAST_MDB_1B_6\PV2</v>
      </c>
      <c r="AX18" s="2" t="str">
        <f t="shared" si="3"/>
        <v>EAST_MDB_1B_6\PV3</v>
      </c>
      <c r="AY18" s="2" t="str">
        <f t="shared" si="3"/>
        <v>EAST_MDB_1B_6\PI1</v>
      </c>
      <c r="AZ18" s="2" t="str">
        <f t="shared" si="3"/>
        <v>EAST_MDB_1B_6\PI2</v>
      </c>
      <c r="BA18" s="2" t="str">
        <f t="shared" si="3"/>
        <v>EAST_MDB_1B_6\PI3</v>
      </c>
    </row>
    <row r="19" spans="1:53" x14ac:dyDescent="0.25">
      <c r="A19" s="3">
        <v>12</v>
      </c>
      <c r="B19" s="3" t="s">
        <v>335</v>
      </c>
      <c r="C19" s="3" t="s">
        <v>75</v>
      </c>
      <c r="D19" s="3" t="s">
        <v>324</v>
      </c>
      <c r="E19" s="4"/>
      <c r="F19" s="20" t="str">
        <f t="shared" si="1"/>
        <v>EAST_MDB_1B_7\ST</v>
      </c>
      <c r="G19" s="2" t="str">
        <f t="shared" si="1"/>
        <v>EAST_MDB_1B_7\TRIP</v>
      </c>
      <c r="H19" s="20"/>
      <c r="I19" s="20"/>
      <c r="J19" s="20"/>
      <c r="K19" s="20"/>
      <c r="L19" s="20"/>
      <c r="M19" s="20"/>
      <c r="N19" s="20"/>
      <c r="O19" s="20"/>
      <c r="P19" s="20"/>
      <c r="Q19" s="24"/>
      <c r="R19" s="2" t="str">
        <f t="shared" si="2"/>
        <v>EAST_MDB_1B_7\V12</v>
      </c>
      <c r="S19" s="2" t="str">
        <f t="shared" si="2"/>
        <v>EAST_MDB_1B_7\V23</v>
      </c>
      <c r="T19" s="2" t="str">
        <f t="shared" si="2"/>
        <v>EAST_MDB_1B_7\V31</v>
      </c>
      <c r="U19" s="2" t="str">
        <f t="shared" si="2"/>
        <v>EAST_MDB_1B_7\V1N</v>
      </c>
      <c r="V19" s="2" t="str">
        <f t="shared" si="2"/>
        <v>EAST_MDB_1B_7\V2N</v>
      </c>
      <c r="W19" s="2" t="str">
        <f t="shared" si="2"/>
        <v>EAST_MDB_1B_7\V3N</v>
      </c>
      <c r="X19" s="2" t="str">
        <f t="shared" si="2"/>
        <v>EAST_MDB_1B_7\VA</v>
      </c>
      <c r="Y19" s="2" t="str">
        <f t="shared" si="2"/>
        <v>EAST_MDB_1B_7\A1</v>
      </c>
      <c r="Z19" s="2" t="str">
        <f t="shared" si="2"/>
        <v>EAST_MDB_1B_7\A2</v>
      </c>
      <c r="AA19" s="2" t="str">
        <f t="shared" si="2"/>
        <v>EAST_MDB_1B_7\A3</v>
      </c>
      <c r="AB19" s="2" t="str">
        <f t="shared" si="2"/>
        <v>EAST_MDB_1B_7\AA</v>
      </c>
      <c r="AC19" s="2" t="str">
        <f t="shared" si="2"/>
        <v>EAST_MDB_1B_7\PF</v>
      </c>
      <c r="AD19" s="2" t="str">
        <f t="shared" si="2"/>
        <v>EAST_MDB_1B_7\HZ</v>
      </c>
      <c r="AE19" s="2" t="str">
        <f t="shared" si="2"/>
        <v>EAST_MDB_1B_7\KW</v>
      </c>
      <c r="AF19" s="2" t="str">
        <f t="shared" si="2"/>
        <v>EAST_MDB_1B_7\KHh</v>
      </c>
      <c r="AG19" s="2" t="str">
        <f t="shared" si="2"/>
        <v>EAST_MDB_1B_7\VA</v>
      </c>
      <c r="AH19" s="2" t="str">
        <f t="shared" si="2"/>
        <v>EAST_MDB_1B_7\VAH</v>
      </c>
      <c r="AI19" s="2" t="str">
        <f t="shared" si="2"/>
        <v>EAST_MDB_1B_7\PEAK</v>
      </c>
      <c r="AJ19" s="2" t="str">
        <f t="shared" si="2"/>
        <v>EAST_MDB_1B_7\H_A_1</v>
      </c>
      <c r="AK19" s="2" t="str">
        <f t="shared" si="2"/>
        <v>EAST_MDB_1B_7\H_A_3</v>
      </c>
      <c r="AL19" s="2" t="str">
        <f t="shared" si="2"/>
        <v>EAST_MDB_1B_7\H_A_5</v>
      </c>
      <c r="AM19" s="2" t="str">
        <f t="shared" si="2"/>
        <v>EAST_MDB_1B_7\H_A_7</v>
      </c>
      <c r="AN19" s="2" t="str">
        <f t="shared" si="2"/>
        <v>EAST_MDB_1B_7\H_B_1</v>
      </c>
      <c r="AO19" s="2" t="str">
        <f t="shared" si="2"/>
        <v>EAST_MDB_1B_7\H_B_3</v>
      </c>
      <c r="AP19" s="2" t="str">
        <f t="shared" si="2"/>
        <v>EAST_MDB_1B_7\H_B_5</v>
      </c>
      <c r="AQ19" s="2" t="str">
        <f t="shared" si="2"/>
        <v>EAST_MDB_1B_7\H_B_7</v>
      </c>
      <c r="AR19" s="2" t="str">
        <f t="shared" si="2"/>
        <v>EAST_MDB_1B_7\H_C_1</v>
      </c>
      <c r="AS19" s="2" t="str">
        <f t="shared" si="2"/>
        <v>EAST_MDB_1B_7\H_C_3</v>
      </c>
      <c r="AT19" s="2" t="str">
        <f t="shared" si="2"/>
        <v>EAST_MDB_1B_7\H_C_5</v>
      </c>
      <c r="AU19" s="2" t="str">
        <f t="shared" si="2"/>
        <v>EAST_MDB_1B_7\H_C_7</v>
      </c>
      <c r="AV19" s="2" t="str">
        <f t="shared" si="3"/>
        <v>EAST_MDB_1B_7\PV1</v>
      </c>
      <c r="AW19" s="2" t="str">
        <f t="shared" si="3"/>
        <v>EAST_MDB_1B_7\PV2</v>
      </c>
      <c r="AX19" s="2" t="str">
        <f t="shared" si="3"/>
        <v>EAST_MDB_1B_7\PV3</v>
      </c>
      <c r="AY19" s="2" t="str">
        <f t="shared" si="3"/>
        <v>EAST_MDB_1B_7\PI1</v>
      </c>
      <c r="AZ19" s="2" t="str">
        <f t="shared" si="3"/>
        <v>EAST_MDB_1B_7\PI2</v>
      </c>
      <c r="BA19" s="2" t="str">
        <f t="shared" si="3"/>
        <v>EAST_MDB_1B_7\PI3</v>
      </c>
    </row>
    <row r="20" spans="1:53" x14ac:dyDescent="0.25">
      <c r="A20" s="3">
        <v>13</v>
      </c>
      <c r="B20" s="3" t="s">
        <v>335</v>
      </c>
      <c r="C20" s="3" t="s">
        <v>226</v>
      </c>
      <c r="D20" s="3" t="s">
        <v>320</v>
      </c>
      <c r="E20" s="4"/>
      <c r="F20" s="2"/>
      <c r="G20" s="2"/>
      <c r="H20" s="2" t="str">
        <f>$C20&amp;H$7</f>
        <v>EAST_MDB_1C\ELD</v>
      </c>
      <c r="I20" s="2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x14ac:dyDescent="0.25">
      <c r="A21" s="3">
        <v>14</v>
      </c>
      <c r="B21" s="3" t="s">
        <v>335</v>
      </c>
      <c r="C21" s="10" t="s">
        <v>268</v>
      </c>
      <c r="D21" s="10" t="s">
        <v>320</v>
      </c>
      <c r="E21" s="4"/>
      <c r="F21" s="2" t="str">
        <f t="shared" ref="F21:G27" si="4">$C21&amp;F$7</f>
        <v>EAST_TIE_12\ST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 x14ac:dyDescent="0.25">
      <c r="A22" s="3">
        <v>15</v>
      </c>
      <c r="B22" s="3" t="s">
        <v>335</v>
      </c>
      <c r="C22" s="3" t="s">
        <v>76</v>
      </c>
      <c r="D22" s="3" t="s">
        <v>320</v>
      </c>
      <c r="E22" s="4"/>
      <c r="F22" s="2" t="str">
        <f t="shared" si="4"/>
        <v>EAST_MDB_1C_1\ST</v>
      </c>
      <c r="G22" s="2" t="str">
        <f t="shared" si="4"/>
        <v>EAST_MDB_1C_1\TRIP</v>
      </c>
      <c r="H22" s="20"/>
      <c r="I22" s="20"/>
      <c r="J22" s="20"/>
      <c r="K22" s="20"/>
      <c r="L22" s="20"/>
      <c r="M22" s="20"/>
      <c r="N22" s="20"/>
      <c r="O22" s="20"/>
      <c r="P22" s="20"/>
      <c r="Q22" s="24"/>
      <c r="R22" s="2" t="str">
        <f t="shared" ref="R22:AU27" si="5">$C22&amp;R$7</f>
        <v>EAST_MDB_1C_1\V12</v>
      </c>
      <c r="S22" s="2" t="str">
        <f t="shared" si="5"/>
        <v>EAST_MDB_1C_1\V23</v>
      </c>
      <c r="T22" s="2" t="str">
        <f t="shared" si="5"/>
        <v>EAST_MDB_1C_1\V31</v>
      </c>
      <c r="U22" s="2" t="str">
        <f t="shared" si="5"/>
        <v>EAST_MDB_1C_1\V1N</v>
      </c>
      <c r="V22" s="2" t="str">
        <f t="shared" si="5"/>
        <v>EAST_MDB_1C_1\V2N</v>
      </c>
      <c r="W22" s="2" t="str">
        <f t="shared" si="5"/>
        <v>EAST_MDB_1C_1\V3N</v>
      </c>
      <c r="X22" s="2" t="str">
        <f t="shared" si="5"/>
        <v>EAST_MDB_1C_1\VA</v>
      </c>
      <c r="Y22" s="2" t="str">
        <f t="shared" si="5"/>
        <v>EAST_MDB_1C_1\A1</v>
      </c>
      <c r="Z22" s="2" t="str">
        <f t="shared" si="5"/>
        <v>EAST_MDB_1C_1\A2</v>
      </c>
      <c r="AA22" s="2" t="str">
        <f t="shared" si="5"/>
        <v>EAST_MDB_1C_1\A3</v>
      </c>
      <c r="AB22" s="2" t="str">
        <f t="shared" si="5"/>
        <v>EAST_MDB_1C_1\AA</v>
      </c>
      <c r="AC22" s="2" t="str">
        <f t="shared" si="5"/>
        <v>EAST_MDB_1C_1\PF</v>
      </c>
      <c r="AD22" s="2" t="str">
        <f t="shared" si="5"/>
        <v>EAST_MDB_1C_1\HZ</v>
      </c>
      <c r="AE22" s="2" t="str">
        <f t="shared" si="5"/>
        <v>EAST_MDB_1C_1\KW</v>
      </c>
      <c r="AF22" s="2" t="str">
        <f t="shared" si="5"/>
        <v>EAST_MDB_1C_1\KHh</v>
      </c>
      <c r="AG22" s="2" t="str">
        <f t="shared" si="5"/>
        <v>EAST_MDB_1C_1\VA</v>
      </c>
      <c r="AH22" s="2" t="str">
        <f t="shared" si="5"/>
        <v>EAST_MDB_1C_1\VAH</v>
      </c>
      <c r="AI22" s="2" t="str">
        <f t="shared" si="5"/>
        <v>EAST_MDB_1C_1\PEAK</v>
      </c>
      <c r="AJ22" s="2" t="str">
        <f t="shared" si="5"/>
        <v>EAST_MDB_1C_1\H_A_1</v>
      </c>
      <c r="AK22" s="2" t="str">
        <f t="shared" si="5"/>
        <v>EAST_MDB_1C_1\H_A_3</v>
      </c>
      <c r="AL22" s="2" t="str">
        <f t="shared" si="5"/>
        <v>EAST_MDB_1C_1\H_A_5</v>
      </c>
      <c r="AM22" s="2" t="str">
        <f t="shared" si="5"/>
        <v>EAST_MDB_1C_1\H_A_7</v>
      </c>
      <c r="AN22" s="2" t="str">
        <f t="shared" si="5"/>
        <v>EAST_MDB_1C_1\H_B_1</v>
      </c>
      <c r="AO22" s="2" t="str">
        <f t="shared" si="5"/>
        <v>EAST_MDB_1C_1\H_B_3</v>
      </c>
      <c r="AP22" s="2" t="str">
        <f t="shared" si="5"/>
        <v>EAST_MDB_1C_1\H_B_5</v>
      </c>
      <c r="AQ22" s="2" t="str">
        <f t="shared" si="5"/>
        <v>EAST_MDB_1C_1\H_B_7</v>
      </c>
      <c r="AR22" s="2" t="str">
        <f t="shared" si="5"/>
        <v>EAST_MDB_1C_1\H_C_1</v>
      </c>
      <c r="AS22" s="2" t="str">
        <f t="shared" si="5"/>
        <v>EAST_MDB_1C_1\H_C_3</v>
      </c>
      <c r="AT22" s="2" t="str">
        <f t="shared" si="5"/>
        <v>EAST_MDB_1C_1\H_C_5</v>
      </c>
      <c r="AU22" s="2" t="str">
        <f t="shared" si="5"/>
        <v>EAST_MDB_1C_1\H_C_7</v>
      </c>
      <c r="AV22" s="2" t="str">
        <f t="shared" ref="AV22:BA27" si="6">$C22&amp;AV$7</f>
        <v>EAST_MDB_1C_1\PV1</v>
      </c>
      <c r="AW22" s="2" t="str">
        <f t="shared" si="6"/>
        <v>EAST_MDB_1C_1\PV2</v>
      </c>
      <c r="AX22" s="2" t="str">
        <f t="shared" si="6"/>
        <v>EAST_MDB_1C_1\PV3</v>
      </c>
      <c r="AY22" s="2" t="str">
        <f t="shared" si="6"/>
        <v>EAST_MDB_1C_1\PI1</v>
      </c>
      <c r="AZ22" s="2" t="str">
        <f t="shared" si="6"/>
        <v>EAST_MDB_1C_1\PI2</v>
      </c>
      <c r="BA22" s="2" t="str">
        <f t="shared" si="6"/>
        <v>EAST_MDB_1C_1\PI3</v>
      </c>
    </row>
    <row r="23" spans="1:53" x14ac:dyDescent="0.25">
      <c r="A23" s="3">
        <v>16</v>
      </c>
      <c r="B23" s="3" t="s">
        <v>335</v>
      </c>
      <c r="C23" s="3" t="s">
        <v>77</v>
      </c>
      <c r="D23" s="3" t="s">
        <v>320</v>
      </c>
      <c r="E23" s="4"/>
      <c r="F23" s="2" t="str">
        <f t="shared" si="4"/>
        <v>EAST_MDB_1C_2\ST</v>
      </c>
      <c r="G23" s="2" t="str">
        <f t="shared" si="4"/>
        <v>EAST_MDB_1C_2\TRIP</v>
      </c>
      <c r="H23" s="20"/>
      <c r="I23" s="20"/>
      <c r="J23" s="20"/>
      <c r="K23" s="20"/>
      <c r="L23" s="20"/>
      <c r="M23" s="20"/>
      <c r="N23" s="20"/>
      <c r="O23" s="20"/>
      <c r="P23" s="20"/>
      <c r="Q23" s="24"/>
      <c r="R23" s="2" t="str">
        <f t="shared" si="5"/>
        <v>EAST_MDB_1C_2\V12</v>
      </c>
      <c r="S23" s="2" t="str">
        <f t="shared" si="5"/>
        <v>EAST_MDB_1C_2\V23</v>
      </c>
      <c r="T23" s="2" t="str">
        <f t="shared" si="5"/>
        <v>EAST_MDB_1C_2\V31</v>
      </c>
      <c r="U23" s="2" t="str">
        <f t="shared" si="5"/>
        <v>EAST_MDB_1C_2\V1N</v>
      </c>
      <c r="V23" s="2" t="str">
        <f t="shared" si="5"/>
        <v>EAST_MDB_1C_2\V2N</v>
      </c>
      <c r="W23" s="2" t="str">
        <f t="shared" si="5"/>
        <v>EAST_MDB_1C_2\V3N</v>
      </c>
      <c r="X23" s="2" t="str">
        <f t="shared" si="5"/>
        <v>EAST_MDB_1C_2\VA</v>
      </c>
      <c r="Y23" s="2" t="str">
        <f t="shared" si="5"/>
        <v>EAST_MDB_1C_2\A1</v>
      </c>
      <c r="Z23" s="2" t="str">
        <f t="shared" si="5"/>
        <v>EAST_MDB_1C_2\A2</v>
      </c>
      <c r="AA23" s="2" t="str">
        <f t="shared" si="5"/>
        <v>EAST_MDB_1C_2\A3</v>
      </c>
      <c r="AB23" s="2" t="str">
        <f t="shared" si="5"/>
        <v>EAST_MDB_1C_2\AA</v>
      </c>
      <c r="AC23" s="2" t="str">
        <f t="shared" si="5"/>
        <v>EAST_MDB_1C_2\PF</v>
      </c>
      <c r="AD23" s="2" t="str">
        <f t="shared" si="5"/>
        <v>EAST_MDB_1C_2\HZ</v>
      </c>
      <c r="AE23" s="2" t="str">
        <f t="shared" si="5"/>
        <v>EAST_MDB_1C_2\KW</v>
      </c>
      <c r="AF23" s="2" t="str">
        <f t="shared" si="5"/>
        <v>EAST_MDB_1C_2\KHh</v>
      </c>
      <c r="AG23" s="2" t="str">
        <f t="shared" si="5"/>
        <v>EAST_MDB_1C_2\VA</v>
      </c>
      <c r="AH23" s="2" t="str">
        <f t="shared" si="5"/>
        <v>EAST_MDB_1C_2\VAH</v>
      </c>
      <c r="AI23" s="2" t="str">
        <f t="shared" si="5"/>
        <v>EAST_MDB_1C_2\PEAK</v>
      </c>
      <c r="AJ23" s="2" t="str">
        <f t="shared" si="5"/>
        <v>EAST_MDB_1C_2\H_A_1</v>
      </c>
      <c r="AK23" s="2" t="str">
        <f t="shared" si="5"/>
        <v>EAST_MDB_1C_2\H_A_3</v>
      </c>
      <c r="AL23" s="2" t="str">
        <f t="shared" si="5"/>
        <v>EAST_MDB_1C_2\H_A_5</v>
      </c>
      <c r="AM23" s="2" t="str">
        <f t="shared" si="5"/>
        <v>EAST_MDB_1C_2\H_A_7</v>
      </c>
      <c r="AN23" s="2" t="str">
        <f t="shared" si="5"/>
        <v>EAST_MDB_1C_2\H_B_1</v>
      </c>
      <c r="AO23" s="2" t="str">
        <f t="shared" si="5"/>
        <v>EAST_MDB_1C_2\H_B_3</v>
      </c>
      <c r="AP23" s="2" t="str">
        <f t="shared" si="5"/>
        <v>EAST_MDB_1C_2\H_B_5</v>
      </c>
      <c r="AQ23" s="2" t="str">
        <f t="shared" si="5"/>
        <v>EAST_MDB_1C_2\H_B_7</v>
      </c>
      <c r="AR23" s="2" t="str">
        <f t="shared" si="5"/>
        <v>EAST_MDB_1C_2\H_C_1</v>
      </c>
      <c r="AS23" s="2" t="str">
        <f t="shared" si="5"/>
        <v>EAST_MDB_1C_2\H_C_3</v>
      </c>
      <c r="AT23" s="2" t="str">
        <f t="shared" si="5"/>
        <v>EAST_MDB_1C_2\H_C_5</v>
      </c>
      <c r="AU23" s="2" t="str">
        <f t="shared" si="5"/>
        <v>EAST_MDB_1C_2\H_C_7</v>
      </c>
      <c r="AV23" s="2" t="str">
        <f t="shared" si="6"/>
        <v>EAST_MDB_1C_2\PV1</v>
      </c>
      <c r="AW23" s="2" t="str">
        <f t="shared" si="6"/>
        <v>EAST_MDB_1C_2\PV2</v>
      </c>
      <c r="AX23" s="2" t="str">
        <f t="shared" si="6"/>
        <v>EAST_MDB_1C_2\PV3</v>
      </c>
      <c r="AY23" s="2" t="str">
        <f t="shared" si="6"/>
        <v>EAST_MDB_1C_2\PI1</v>
      </c>
      <c r="AZ23" s="2" t="str">
        <f t="shared" si="6"/>
        <v>EAST_MDB_1C_2\PI2</v>
      </c>
      <c r="BA23" s="2" t="str">
        <f t="shared" si="6"/>
        <v>EAST_MDB_1C_2\PI3</v>
      </c>
    </row>
    <row r="24" spans="1:53" x14ac:dyDescent="0.25">
      <c r="A24" s="3">
        <v>17</v>
      </c>
      <c r="B24" s="3" t="s">
        <v>335</v>
      </c>
      <c r="C24" s="3" t="s">
        <v>78</v>
      </c>
      <c r="D24" s="3" t="s">
        <v>320</v>
      </c>
      <c r="E24" s="4"/>
      <c r="F24" s="2" t="str">
        <f t="shared" si="4"/>
        <v>EAST_MDB_1C_3\ST</v>
      </c>
      <c r="G24" s="2" t="str">
        <f t="shared" si="4"/>
        <v>EAST_MDB_1C_3\TRIP</v>
      </c>
      <c r="H24" s="20"/>
      <c r="I24" s="20"/>
      <c r="J24" s="20"/>
      <c r="K24" s="20"/>
      <c r="L24" s="20"/>
      <c r="M24" s="20"/>
      <c r="N24" s="20"/>
      <c r="O24" s="20"/>
      <c r="P24" s="20"/>
      <c r="Q24" s="24"/>
      <c r="R24" s="2" t="str">
        <f t="shared" si="5"/>
        <v>EAST_MDB_1C_3\V12</v>
      </c>
      <c r="S24" s="2" t="str">
        <f t="shared" si="5"/>
        <v>EAST_MDB_1C_3\V23</v>
      </c>
      <c r="T24" s="2" t="str">
        <f t="shared" si="5"/>
        <v>EAST_MDB_1C_3\V31</v>
      </c>
      <c r="U24" s="2" t="str">
        <f t="shared" si="5"/>
        <v>EAST_MDB_1C_3\V1N</v>
      </c>
      <c r="V24" s="2" t="str">
        <f t="shared" si="5"/>
        <v>EAST_MDB_1C_3\V2N</v>
      </c>
      <c r="W24" s="2" t="str">
        <f t="shared" si="5"/>
        <v>EAST_MDB_1C_3\V3N</v>
      </c>
      <c r="X24" s="2" t="str">
        <f t="shared" si="5"/>
        <v>EAST_MDB_1C_3\VA</v>
      </c>
      <c r="Y24" s="2" t="str">
        <f t="shared" si="5"/>
        <v>EAST_MDB_1C_3\A1</v>
      </c>
      <c r="Z24" s="2" t="str">
        <f t="shared" si="5"/>
        <v>EAST_MDB_1C_3\A2</v>
      </c>
      <c r="AA24" s="2" t="str">
        <f t="shared" si="5"/>
        <v>EAST_MDB_1C_3\A3</v>
      </c>
      <c r="AB24" s="2" t="str">
        <f t="shared" si="5"/>
        <v>EAST_MDB_1C_3\AA</v>
      </c>
      <c r="AC24" s="2" t="str">
        <f t="shared" si="5"/>
        <v>EAST_MDB_1C_3\PF</v>
      </c>
      <c r="AD24" s="2" t="str">
        <f t="shared" si="5"/>
        <v>EAST_MDB_1C_3\HZ</v>
      </c>
      <c r="AE24" s="2" t="str">
        <f t="shared" si="5"/>
        <v>EAST_MDB_1C_3\KW</v>
      </c>
      <c r="AF24" s="2" t="str">
        <f t="shared" si="5"/>
        <v>EAST_MDB_1C_3\KHh</v>
      </c>
      <c r="AG24" s="2" t="str">
        <f t="shared" si="5"/>
        <v>EAST_MDB_1C_3\VA</v>
      </c>
      <c r="AH24" s="2" t="str">
        <f t="shared" si="5"/>
        <v>EAST_MDB_1C_3\VAH</v>
      </c>
      <c r="AI24" s="2" t="str">
        <f t="shared" si="5"/>
        <v>EAST_MDB_1C_3\PEAK</v>
      </c>
      <c r="AJ24" s="2" t="str">
        <f t="shared" si="5"/>
        <v>EAST_MDB_1C_3\H_A_1</v>
      </c>
      <c r="AK24" s="2" t="str">
        <f t="shared" si="5"/>
        <v>EAST_MDB_1C_3\H_A_3</v>
      </c>
      <c r="AL24" s="2" t="str">
        <f t="shared" si="5"/>
        <v>EAST_MDB_1C_3\H_A_5</v>
      </c>
      <c r="AM24" s="2" t="str">
        <f t="shared" si="5"/>
        <v>EAST_MDB_1C_3\H_A_7</v>
      </c>
      <c r="AN24" s="2" t="str">
        <f t="shared" si="5"/>
        <v>EAST_MDB_1C_3\H_B_1</v>
      </c>
      <c r="AO24" s="2" t="str">
        <f t="shared" si="5"/>
        <v>EAST_MDB_1C_3\H_B_3</v>
      </c>
      <c r="AP24" s="2" t="str">
        <f t="shared" si="5"/>
        <v>EAST_MDB_1C_3\H_B_5</v>
      </c>
      <c r="AQ24" s="2" t="str">
        <f t="shared" si="5"/>
        <v>EAST_MDB_1C_3\H_B_7</v>
      </c>
      <c r="AR24" s="2" t="str">
        <f t="shared" si="5"/>
        <v>EAST_MDB_1C_3\H_C_1</v>
      </c>
      <c r="AS24" s="2" t="str">
        <f t="shared" si="5"/>
        <v>EAST_MDB_1C_3\H_C_3</v>
      </c>
      <c r="AT24" s="2" t="str">
        <f t="shared" si="5"/>
        <v>EAST_MDB_1C_3\H_C_5</v>
      </c>
      <c r="AU24" s="2" t="str">
        <f t="shared" si="5"/>
        <v>EAST_MDB_1C_3\H_C_7</v>
      </c>
      <c r="AV24" s="2" t="str">
        <f t="shared" si="6"/>
        <v>EAST_MDB_1C_3\PV1</v>
      </c>
      <c r="AW24" s="2" t="str">
        <f t="shared" si="6"/>
        <v>EAST_MDB_1C_3\PV2</v>
      </c>
      <c r="AX24" s="2" t="str">
        <f t="shared" si="6"/>
        <v>EAST_MDB_1C_3\PV3</v>
      </c>
      <c r="AY24" s="2" t="str">
        <f t="shared" si="6"/>
        <v>EAST_MDB_1C_3\PI1</v>
      </c>
      <c r="AZ24" s="2" t="str">
        <f t="shared" si="6"/>
        <v>EAST_MDB_1C_3\PI2</v>
      </c>
      <c r="BA24" s="2" t="str">
        <f t="shared" si="6"/>
        <v>EAST_MDB_1C_3\PI3</v>
      </c>
    </row>
    <row r="25" spans="1:53" x14ac:dyDescent="0.25">
      <c r="A25" s="3">
        <v>18</v>
      </c>
      <c r="B25" s="3" t="s">
        <v>335</v>
      </c>
      <c r="C25" s="3" t="s">
        <v>79</v>
      </c>
      <c r="D25" s="3" t="s">
        <v>320</v>
      </c>
      <c r="E25" s="4"/>
      <c r="F25" s="2" t="str">
        <f t="shared" si="4"/>
        <v>EAST_MDB_1C_4\ST</v>
      </c>
      <c r="G25" s="2" t="str">
        <f t="shared" si="4"/>
        <v>EAST_MDB_1C_4\TRIP</v>
      </c>
      <c r="H25" s="20"/>
      <c r="I25" s="20"/>
      <c r="J25" s="20"/>
      <c r="K25" s="20"/>
      <c r="L25" s="20"/>
      <c r="M25" s="20"/>
      <c r="N25" s="20"/>
      <c r="O25" s="20"/>
      <c r="P25" s="20"/>
      <c r="Q25" s="24"/>
      <c r="R25" s="2" t="str">
        <f t="shared" si="5"/>
        <v>EAST_MDB_1C_4\V12</v>
      </c>
      <c r="S25" s="2" t="str">
        <f t="shared" si="5"/>
        <v>EAST_MDB_1C_4\V23</v>
      </c>
      <c r="T25" s="2" t="str">
        <f t="shared" si="5"/>
        <v>EAST_MDB_1C_4\V31</v>
      </c>
      <c r="U25" s="2" t="str">
        <f t="shared" si="5"/>
        <v>EAST_MDB_1C_4\V1N</v>
      </c>
      <c r="V25" s="2" t="str">
        <f t="shared" si="5"/>
        <v>EAST_MDB_1C_4\V2N</v>
      </c>
      <c r="W25" s="2" t="str">
        <f t="shared" si="5"/>
        <v>EAST_MDB_1C_4\V3N</v>
      </c>
      <c r="X25" s="2" t="str">
        <f t="shared" si="5"/>
        <v>EAST_MDB_1C_4\VA</v>
      </c>
      <c r="Y25" s="2" t="str">
        <f t="shared" si="5"/>
        <v>EAST_MDB_1C_4\A1</v>
      </c>
      <c r="Z25" s="2" t="str">
        <f t="shared" si="5"/>
        <v>EAST_MDB_1C_4\A2</v>
      </c>
      <c r="AA25" s="2" t="str">
        <f t="shared" si="5"/>
        <v>EAST_MDB_1C_4\A3</v>
      </c>
      <c r="AB25" s="2" t="str">
        <f t="shared" si="5"/>
        <v>EAST_MDB_1C_4\AA</v>
      </c>
      <c r="AC25" s="2" t="str">
        <f t="shared" si="5"/>
        <v>EAST_MDB_1C_4\PF</v>
      </c>
      <c r="AD25" s="2" t="str">
        <f t="shared" si="5"/>
        <v>EAST_MDB_1C_4\HZ</v>
      </c>
      <c r="AE25" s="2" t="str">
        <f t="shared" si="5"/>
        <v>EAST_MDB_1C_4\KW</v>
      </c>
      <c r="AF25" s="2" t="str">
        <f t="shared" si="5"/>
        <v>EAST_MDB_1C_4\KHh</v>
      </c>
      <c r="AG25" s="2" t="str">
        <f t="shared" si="5"/>
        <v>EAST_MDB_1C_4\VA</v>
      </c>
      <c r="AH25" s="2" t="str">
        <f t="shared" si="5"/>
        <v>EAST_MDB_1C_4\VAH</v>
      </c>
      <c r="AI25" s="2" t="str">
        <f t="shared" si="5"/>
        <v>EAST_MDB_1C_4\PEAK</v>
      </c>
      <c r="AJ25" s="2" t="str">
        <f t="shared" si="5"/>
        <v>EAST_MDB_1C_4\H_A_1</v>
      </c>
      <c r="AK25" s="2" t="str">
        <f t="shared" si="5"/>
        <v>EAST_MDB_1C_4\H_A_3</v>
      </c>
      <c r="AL25" s="2" t="str">
        <f t="shared" si="5"/>
        <v>EAST_MDB_1C_4\H_A_5</v>
      </c>
      <c r="AM25" s="2" t="str">
        <f t="shared" si="5"/>
        <v>EAST_MDB_1C_4\H_A_7</v>
      </c>
      <c r="AN25" s="2" t="str">
        <f t="shared" si="5"/>
        <v>EAST_MDB_1C_4\H_B_1</v>
      </c>
      <c r="AO25" s="2" t="str">
        <f t="shared" si="5"/>
        <v>EAST_MDB_1C_4\H_B_3</v>
      </c>
      <c r="AP25" s="2" t="str">
        <f t="shared" si="5"/>
        <v>EAST_MDB_1C_4\H_B_5</v>
      </c>
      <c r="AQ25" s="2" t="str">
        <f t="shared" si="5"/>
        <v>EAST_MDB_1C_4\H_B_7</v>
      </c>
      <c r="AR25" s="2" t="str">
        <f t="shared" si="5"/>
        <v>EAST_MDB_1C_4\H_C_1</v>
      </c>
      <c r="AS25" s="2" t="str">
        <f t="shared" si="5"/>
        <v>EAST_MDB_1C_4\H_C_3</v>
      </c>
      <c r="AT25" s="2" t="str">
        <f t="shared" si="5"/>
        <v>EAST_MDB_1C_4\H_C_5</v>
      </c>
      <c r="AU25" s="2" t="str">
        <f t="shared" si="5"/>
        <v>EAST_MDB_1C_4\H_C_7</v>
      </c>
      <c r="AV25" s="2" t="str">
        <f t="shared" si="6"/>
        <v>EAST_MDB_1C_4\PV1</v>
      </c>
      <c r="AW25" s="2" t="str">
        <f t="shared" si="6"/>
        <v>EAST_MDB_1C_4\PV2</v>
      </c>
      <c r="AX25" s="2" t="str">
        <f t="shared" si="6"/>
        <v>EAST_MDB_1C_4\PV3</v>
      </c>
      <c r="AY25" s="2" t="str">
        <f t="shared" si="6"/>
        <v>EAST_MDB_1C_4\PI1</v>
      </c>
      <c r="AZ25" s="2" t="str">
        <f t="shared" si="6"/>
        <v>EAST_MDB_1C_4\PI2</v>
      </c>
      <c r="BA25" s="2" t="str">
        <f t="shared" si="6"/>
        <v>EAST_MDB_1C_4\PI3</v>
      </c>
    </row>
    <row r="26" spans="1:53" x14ac:dyDescent="0.25">
      <c r="A26" s="3">
        <v>19</v>
      </c>
      <c r="B26" s="3" t="s">
        <v>335</v>
      </c>
      <c r="C26" s="3" t="s">
        <v>80</v>
      </c>
      <c r="D26" s="3" t="s">
        <v>320</v>
      </c>
      <c r="E26" s="4"/>
      <c r="F26" s="2" t="str">
        <f t="shared" si="4"/>
        <v>EAST_MDB_1C_5\ST</v>
      </c>
      <c r="G26" s="2" t="str">
        <f t="shared" si="4"/>
        <v>EAST_MDB_1C_5\TRIP</v>
      </c>
      <c r="H26" s="20"/>
      <c r="I26" s="20"/>
      <c r="J26" s="20"/>
      <c r="K26" s="20"/>
      <c r="L26" s="20"/>
      <c r="M26" s="20"/>
      <c r="N26" s="20"/>
      <c r="O26" s="20"/>
      <c r="P26" s="20"/>
      <c r="Q26" s="24"/>
      <c r="R26" s="2" t="str">
        <f t="shared" si="5"/>
        <v>EAST_MDB_1C_5\V12</v>
      </c>
      <c r="S26" s="2" t="str">
        <f t="shared" si="5"/>
        <v>EAST_MDB_1C_5\V23</v>
      </c>
      <c r="T26" s="2" t="str">
        <f t="shared" si="5"/>
        <v>EAST_MDB_1C_5\V31</v>
      </c>
      <c r="U26" s="2" t="str">
        <f t="shared" si="5"/>
        <v>EAST_MDB_1C_5\V1N</v>
      </c>
      <c r="V26" s="2" t="str">
        <f t="shared" si="5"/>
        <v>EAST_MDB_1C_5\V2N</v>
      </c>
      <c r="W26" s="2" t="str">
        <f t="shared" si="5"/>
        <v>EAST_MDB_1C_5\V3N</v>
      </c>
      <c r="X26" s="2" t="str">
        <f t="shared" si="5"/>
        <v>EAST_MDB_1C_5\VA</v>
      </c>
      <c r="Y26" s="2" t="str">
        <f t="shared" si="5"/>
        <v>EAST_MDB_1C_5\A1</v>
      </c>
      <c r="Z26" s="2" t="str">
        <f t="shared" si="5"/>
        <v>EAST_MDB_1C_5\A2</v>
      </c>
      <c r="AA26" s="2" t="str">
        <f t="shared" si="5"/>
        <v>EAST_MDB_1C_5\A3</v>
      </c>
      <c r="AB26" s="2" t="str">
        <f t="shared" si="5"/>
        <v>EAST_MDB_1C_5\AA</v>
      </c>
      <c r="AC26" s="2" t="str">
        <f t="shared" si="5"/>
        <v>EAST_MDB_1C_5\PF</v>
      </c>
      <c r="AD26" s="2" t="str">
        <f t="shared" si="5"/>
        <v>EAST_MDB_1C_5\HZ</v>
      </c>
      <c r="AE26" s="2" t="str">
        <f t="shared" si="5"/>
        <v>EAST_MDB_1C_5\KW</v>
      </c>
      <c r="AF26" s="2" t="str">
        <f t="shared" si="5"/>
        <v>EAST_MDB_1C_5\KHh</v>
      </c>
      <c r="AG26" s="2" t="str">
        <f t="shared" si="5"/>
        <v>EAST_MDB_1C_5\VA</v>
      </c>
      <c r="AH26" s="2" t="str">
        <f t="shared" si="5"/>
        <v>EAST_MDB_1C_5\VAH</v>
      </c>
      <c r="AI26" s="2" t="str">
        <f t="shared" si="5"/>
        <v>EAST_MDB_1C_5\PEAK</v>
      </c>
      <c r="AJ26" s="2" t="str">
        <f t="shared" si="5"/>
        <v>EAST_MDB_1C_5\H_A_1</v>
      </c>
      <c r="AK26" s="2" t="str">
        <f t="shared" si="5"/>
        <v>EAST_MDB_1C_5\H_A_3</v>
      </c>
      <c r="AL26" s="2" t="str">
        <f t="shared" si="5"/>
        <v>EAST_MDB_1C_5\H_A_5</v>
      </c>
      <c r="AM26" s="2" t="str">
        <f t="shared" si="5"/>
        <v>EAST_MDB_1C_5\H_A_7</v>
      </c>
      <c r="AN26" s="2" t="str">
        <f t="shared" si="5"/>
        <v>EAST_MDB_1C_5\H_B_1</v>
      </c>
      <c r="AO26" s="2" t="str">
        <f t="shared" si="5"/>
        <v>EAST_MDB_1C_5\H_B_3</v>
      </c>
      <c r="AP26" s="2" t="str">
        <f t="shared" si="5"/>
        <v>EAST_MDB_1C_5\H_B_5</v>
      </c>
      <c r="AQ26" s="2" t="str">
        <f t="shared" si="5"/>
        <v>EAST_MDB_1C_5\H_B_7</v>
      </c>
      <c r="AR26" s="2" t="str">
        <f t="shared" si="5"/>
        <v>EAST_MDB_1C_5\H_C_1</v>
      </c>
      <c r="AS26" s="2" t="str">
        <f t="shared" si="5"/>
        <v>EAST_MDB_1C_5\H_C_3</v>
      </c>
      <c r="AT26" s="2" t="str">
        <f t="shared" si="5"/>
        <v>EAST_MDB_1C_5\H_C_5</v>
      </c>
      <c r="AU26" s="2" t="str">
        <f t="shared" si="5"/>
        <v>EAST_MDB_1C_5\H_C_7</v>
      </c>
      <c r="AV26" s="2" t="str">
        <f t="shared" si="6"/>
        <v>EAST_MDB_1C_5\PV1</v>
      </c>
      <c r="AW26" s="2" t="str">
        <f t="shared" si="6"/>
        <v>EAST_MDB_1C_5\PV2</v>
      </c>
      <c r="AX26" s="2" t="str">
        <f t="shared" si="6"/>
        <v>EAST_MDB_1C_5\PV3</v>
      </c>
      <c r="AY26" s="2" t="str">
        <f t="shared" si="6"/>
        <v>EAST_MDB_1C_5\PI1</v>
      </c>
      <c r="AZ26" s="2" t="str">
        <f t="shared" si="6"/>
        <v>EAST_MDB_1C_5\PI2</v>
      </c>
      <c r="BA26" s="2" t="str">
        <f t="shared" si="6"/>
        <v>EAST_MDB_1C_5\PI3</v>
      </c>
    </row>
    <row r="27" spans="1:53" x14ac:dyDescent="0.25">
      <c r="A27" s="3">
        <v>20</v>
      </c>
      <c r="B27" s="3" t="s">
        <v>335</v>
      </c>
      <c r="C27" s="8" t="s">
        <v>54</v>
      </c>
      <c r="D27" s="8" t="s">
        <v>289</v>
      </c>
      <c r="E27" s="4"/>
      <c r="F27" s="2" t="str">
        <f t="shared" si="4"/>
        <v>EAST_ACB_2\ST</v>
      </c>
      <c r="G27" s="2" t="str">
        <f t="shared" si="4"/>
        <v>EAST_ACB_2\TRIP</v>
      </c>
      <c r="H27" s="20"/>
      <c r="I27" s="20"/>
      <c r="J27" s="20"/>
      <c r="K27" s="20"/>
      <c r="L27" s="20"/>
      <c r="M27" s="20"/>
      <c r="N27" s="20"/>
      <c r="O27" s="2" t="str">
        <f>$C27&amp;O$7</f>
        <v>EAST_ACB_2\50_51</v>
      </c>
      <c r="P27" s="2" t="str">
        <f>$C27&amp;P$7</f>
        <v>EAST_ACB_2\51G</v>
      </c>
      <c r="Q27" s="24"/>
      <c r="R27" s="2" t="str">
        <f t="shared" si="5"/>
        <v>EAST_ACB_2\V12</v>
      </c>
      <c r="S27" s="2" t="str">
        <f t="shared" si="5"/>
        <v>EAST_ACB_2\V23</v>
      </c>
      <c r="T27" s="2" t="str">
        <f t="shared" si="5"/>
        <v>EAST_ACB_2\V31</v>
      </c>
      <c r="U27" s="2" t="str">
        <f t="shared" si="5"/>
        <v>EAST_ACB_2\V1N</v>
      </c>
      <c r="V27" s="2" t="str">
        <f t="shared" si="5"/>
        <v>EAST_ACB_2\V2N</v>
      </c>
      <c r="W27" s="2" t="str">
        <f t="shared" si="5"/>
        <v>EAST_ACB_2\V3N</v>
      </c>
      <c r="X27" s="2" t="str">
        <f t="shared" si="5"/>
        <v>EAST_ACB_2\VA</v>
      </c>
      <c r="Y27" s="2" t="str">
        <f t="shared" si="5"/>
        <v>EAST_ACB_2\A1</v>
      </c>
      <c r="Z27" s="2" t="str">
        <f t="shared" si="5"/>
        <v>EAST_ACB_2\A2</v>
      </c>
      <c r="AA27" s="2" t="str">
        <f t="shared" si="5"/>
        <v>EAST_ACB_2\A3</v>
      </c>
      <c r="AB27" s="2" t="str">
        <f t="shared" si="5"/>
        <v>EAST_ACB_2\AA</v>
      </c>
      <c r="AC27" s="2" t="str">
        <f t="shared" si="5"/>
        <v>EAST_ACB_2\PF</v>
      </c>
      <c r="AD27" s="2" t="str">
        <f t="shared" si="5"/>
        <v>EAST_ACB_2\HZ</v>
      </c>
      <c r="AE27" s="2" t="str">
        <f t="shared" si="5"/>
        <v>EAST_ACB_2\KW</v>
      </c>
      <c r="AF27" s="2" t="str">
        <f t="shared" si="5"/>
        <v>EAST_ACB_2\KHh</v>
      </c>
      <c r="AG27" s="2" t="str">
        <f t="shared" si="5"/>
        <v>EAST_ACB_2\VA</v>
      </c>
      <c r="AH27" s="2" t="str">
        <f t="shared" si="5"/>
        <v>EAST_ACB_2\VAH</v>
      </c>
      <c r="AI27" s="2" t="str">
        <f t="shared" si="5"/>
        <v>EAST_ACB_2\PEAK</v>
      </c>
      <c r="AJ27" s="2" t="str">
        <f t="shared" si="5"/>
        <v>EAST_ACB_2\H_A_1</v>
      </c>
      <c r="AK27" s="2" t="str">
        <f t="shared" si="5"/>
        <v>EAST_ACB_2\H_A_3</v>
      </c>
      <c r="AL27" s="2" t="str">
        <f t="shared" si="5"/>
        <v>EAST_ACB_2\H_A_5</v>
      </c>
      <c r="AM27" s="2" t="str">
        <f t="shared" si="5"/>
        <v>EAST_ACB_2\H_A_7</v>
      </c>
      <c r="AN27" s="2" t="str">
        <f t="shared" si="5"/>
        <v>EAST_ACB_2\H_B_1</v>
      </c>
      <c r="AO27" s="2" t="str">
        <f t="shared" si="5"/>
        <v>EAST_ACB_2\H_B_3</v>
      </c>
      <c r="AP27" s="2" t="str">
        <f t="shared" si="5"/>
        <v>EAST_ACB_2\H_B_5</v>
      </c>
      <c r="AQ27" s="2" t="str">
        <f t="shared" si="5"/>
        <v>EAST_ACB_2\H_B_7</v>
      </c>
      <c r="AR27" s="2" t="str">
        <f t="shared" si="5"/>
        <v>EAST_ACB_2\H_C_1</v>
      </c>
      <c r="AS27" s="2" t="str">
        <f t="shared" si="5"/>
        <v>EAST_ACB_2\H_C_3</v>
      </c>
      <c r="AT27" s="2" t="str">
        <f t="shared" si="5"/>
        <v>EAST_ACB_2\H_C_5</v>
      </c>
      <c r="AU27" s="2" t="str">
        <f t="shared" si="5"/>
        <v>EAST_ACB_2\H_C_7</v>
      </c>
      <c r="AV27" s="2" t="str">
        <f t="shared" si="6"/>
        <v>EAST_ACB_2\PV1</v>
      </c>
      <c r="AW27" s="2" t="str">
        <f t="shared" si="6"/>
        <v>EAST_ACB_2\PV2</v>
      </c>
      <c r="AX27" s="2" t="str">
        <f t="shared" si="6"/>
        <v>EAST_ACB_2\PV3</v>
      </c>
      <c r="AY27" s="2" t="str">
        <f t="shared" si="6"/>
        <v>EAST_ACB_2\PI1</v>
      </c>
      <c r="AZ27" s="2" t="str">
        <f t="shared" si="6"/>
        <v>EAST_ACB_2\PI2</v>
      </c>
      <c r="BA27" s="2" t="str">
        <f t="shared" si="6"/>
        <v>EAST_ACB_2\PI3</v>
      </c>
    </row>
    <row r="28" spans="1:53" x14ac:dyDescent="0.25">
      <c r="A28" s="3">
        <v>21</v>
      </c>
      <c r="B28" s="3" t="s">
        <v>335</v>
      </c>
      <c r="C28" s="3" t="s">
        <v>227</v>
      </c>
      <c r="D28" s="3" t="s">
        <v>289</v>
      </c>
      <c r="E28" s="4"/>
      <c r="F28" s="2"/>
      <c r="G28" s="2"/>
      <c r="H28" s="2" t="str">
        <f>$C28&amp;H$7</f>
        <v>EAST_MDB_2A\ELD</v>
      </c>
      <c r="I28" s="2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 x14ac:dyDescent="0.25">
      <c r="A29" s="3">
        <v>22</v>
      </c>
      <c r="B29" s="3" t="s">
        <v>335</v>
      </c>
      <c r="C29" s="3" t="s">
        <v>251</v>
      </c>
      <c r="D29" s="3" t="s">
        <v>303</v>
      </c>
      <c r="E29" s="4"/>
      <c r="F29" s="20"/>
      <c r="G29" s="2"/>
      <c r="H29" s="2"/>
      <c r="I29" s="2" t="str">
        <f>$C29&amp;I$7</f>
        <v>EAST_TR_2\TM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 x14ac:dyDescent="0.25">
      <c r="A30" s="3">
        <v>23</v>
      </c>
      <c r="B30" s="3" t="s">
        <v>335</v>
      </c>
      <c r="C30" s="3" t="s">
        <v>259</v>
      </c>
      <c r="D30" s="3" t="s">
        <v>311</v>
      </c>
      <c r="E30" s="4"/>
      <c r="F30" s="2" t="str">
        <f t="shared" ref="F30:G35" si="7">$C30&amp;F$7</f>
        <v>EAST_CTTS_2\ST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 x14ac:dyDescent="0.25">
      <c r="A31" s="3">
        <v>24</v>
      </c>
      <c r="B31" s="3" t="s">
        <v>335</v>
      </c>
      <c r="C31" s="3" t="s">
        <v>81</v>
      </c>
      <c r="D31" s="3" t="s">
        <v>289</v>
      </c>
      <c r="E31" s="4"/>
      <c r="F31" s="2" t="str">
        <f t="shared" si="7"/>
        <v>EAST_MDB_2A_1\ST</v>
      </c>
      <c r="G31" s="2" t="str">
        <f t="shared" si="7"/>
        <v>EAST_MDB_2A_1\TRIP</v>
      </c>
      <c r="H31" s="20"/>
      <c r="I31" s="20"/>
      <c r="J31" s="20"/>
      <c r="K31" s="20"/>
      <c r="L31" s="20"/>
      <c r="M31" s="20"/>
      <c r="N31" s="20"/>
      <c r="O31" s="20"/>
      <c r="P31" s="20"/>
      <c r="Q31" s="24"/>
      <c r="R31" s="2" t="str">
        <f t="shared" ref="R31:AU35" si="8">$C31&amp;R$7</f>
        <v>EAST_MDB_2A_1\V12</v>
      </c>
      <c r="S31" s="2" t="str">
        <f t="shared" si="8"/>
        <v>EAST_MDB_2A_1\V23</v>
      </c>
      <c r="T31" s="2" t="str">
        <f t="shared" si="8"/>
        <v>EAST_MDB_2A_1\V31</v>
      </c>
      <c r="U31" s="2" t="str">
        <f t="shared" si="8"/>
        <v>EAST_MDB_2A_1\V1N</v>
      </c>
      <c r="V31" s="2" t="str">
        <f t="shared" si="8"/>
        <v>EAST_MDB_2A_1\V2N</v>
      </c>
      <c r="W31" s="2" t="str">
        <f t="shared" si="8"/>
        <v>EAST_MDB_2A_1\V3N</v>
      </c>
      <c r="X31" s="2" t="str">
        <f t="shared" si="8"/>
        <v>EAST_MDB_2A_1\VA</v>
      </c>
      <c r="Y31" s="2" t="str">
        <f t="shared" si="8"/>
        <v>EAST_MDB_2A_1\A1</v>
      </c>
      <c r="Z31" s="2" t="str">
        <f t="shared" si="8"/>
        <v>EAST_MDB_2A_1\A2</v>
      </c>
      <c r="AA31" s="2" t="str">
        <f t="shared" si="8"/>
        <v>EAST_MDB_2A_1\A3</v>
      </c>
      <c r="AB31" s="2" t="str">
        <f t="shared" si="8"/>
        <v>EAST_MDB_2A_1\AA</v>
      </c>
      <c r="AC31" s="2" t="str">
        <f t="shared" si="8"/>
        <v>EAST_MDB_2A_1\PF</v>
      </c>
      <c r="AD31" s="2" t="str">
        <f t="shared" si="8"/>
        <v>EAST_MDB_2A_1\HZ</v>
      </c>
      <c r="AE31" s="2" t="str">
        <f t="shared" si="8"/>
        <v>EAST_MDB_2A_1\KW</v>
      </c>
      <c r="AF31" s="2" t="str">
        <f t="shared" si="8"/>
        <v>EAST_MDB_2A_1\KHh</v>
      </c>
      <c r="AG31" s="2" t="str">
        <f t="shared" si="8"/>
        <v>EAST_MDB_2A_1\VA</v>
      </c>
      <c r="AH31" s="2" t="str">
        <f t="shared" si="8"/>
        <v>EAST_MDB_2A_1\VAH</v>
      </c>
      <c r="AI31" s="2" t="str">
        <f t="shared" si="8"/>
        <v>EAST_MDB_2A_1\PEAK</v>
      </c>
      <c r="AJ31" s="2" t="str">
        <f t="shared" si="8"/>
        <v>EAST_MDB_2A_1\H_A_1</v>
      </c>
      <c r="AK31" s="2" t="str">
        <f t="shared" si="8"/>
        <v>EAST_MDB_2A_1\H_A_3</v>
      </c>
      <c r="AL31" s="2" t="str">
        <f t="shared" si="8"/>
        <v>EAST_MDB_2A_1\H_A_5</v>
      </c>
      <c r="AM31" s="2" t="str">
        <f t="shared" si="8"/>
        <v>EAST_MDB_2A_1\H_A_7</v>
      </c>
      <c r="AN31" s="2" t="str">
        <f t="shared" si="8"/>
        <v>EAST_MDB_2A_1\H_B_1</v>
      </c>
      <c r="AO31" s="2" t="str">
        <f t="shared" si="8"/>
        <v>EAST_MDB_2A_1\H_B_3</v>
      </c>
      <c r="AP31" s="2" t="str">
        <f t="shared" si="8"/>
        <v>EAST_MDB_2A_1\H_B_5</v>
      </c>
      <c r="AQ31" s="2" t="str">
        <f t="shared" si="8"/>
        <v>EAST_MDB_2A_1\H_B_7</v>
      </c>
      <c r="AR31" s="2" t="str">
        <f t="shared" si="8"/>
        <v>EAST_MDB_2A_1\H_C_1</v>
      </c>
      <c r="AS31" s="2" t="str">
        <f t="shared" si="8"/>
        <v>EAST_MDB_2A_1\H_C_3</v>
      </c>
      <c r="AT31" s="2" t="str">
        <f t="shared" si="8"/>
        <v>EAST_MDB_2A_1\H_C_5</v>
      </c>
      <c r="AU31" s="2" t="str">
        <f t="shared" si="8"/>
        <v>EAST_MDB_2A_1\H_C_7</v>
      </c>
      <c r="AV31" s="2" t="str">
        <f t="shared" ref="AV31:BA35" si="9">$C31&amp;AV$7</f>
        <v>EAST_MDB_2A_1\PV1</v>
      </c>
      <c r="AW31" s="2" t="str">
        <f t="shared" si="9"/>
        <v>EAST_MDB_2A_1\PV2</v>
      </c>
      <c r="AX31" s="2" t="str">
        <f t="shared" si="9"/>
        <v>EAST_MDB_2A_1\PV3</v>
      </c>
      <c r="AY31" s="2" t="str">
        <f t="shared" si="9"/>
        <v>EAST_MDB_2A_1\PI1</v>
      </c>
      <c r="AZ31" s="2" t="str">
        <f t="shared" si="9"/>
        <v>EAST_MDB_2A_1\PI2</v>
      </c>
      <c r="BA31" s="2" t="str">
        <f t="shared" si="9"/>
        <v>EAST_MDB_2A_1\PI3</v>
      </c>
    </row>
    <row r="32" spans="1:53" x14ac:dyDescent="0.25">
      <c r="A32" s="3">
        <v>25</v>
      </c>
      <c r="B32" s="3" t="s">
        <v>335</v>
      </c>
      <c r="C32" s="3" t="s">
        <v>82</v>
      </c>
      <c r="D32" s="3" t="s">
        <v>289</v>
      </c>
      <c r="E32" s="4"/>
      <c r="F32" s="2" t="str">
        <f t="shared" si="7"/>
        <v>EAST_MDB_2A_2\ST</v>
      </c>
      <c r="G32" s="2" t="str">
        <f t="shared" si="7"/>
        <v>EAST_MDB_2A_2\TRIP</v>
      </c>
      <c r="H32" s="20"/>
      <c r="I32" s="20"/>
      <c r="J32" s="20"/>
      <c r="K32" s="20"/>
      <c r="L32" s="20"/>
      <c r="M32" s="20"/>
      <c r="N32" s="20"/>
      <c r="O32" s="20"/>
      <c r="P32" s="20"/>
      <c r="Q32" s="24"/>
      <c r="R32" s="2" t="str">
        <f t="shared" si="8"/>
        <v>EAST_MDB_2A_2\V12</v>
      </c>
      <c r="S32" s="2" t="str">
        <f t="shared" si="8"/>
        <v>EAST_MDB_2A_2\V23</v>
      </c>
      <c r="T32" s="2" t="str">
        <f t="shared" si="8"/>
        <v>EAST_MDB_2A_2\V31</v>
      </c>
      <c r="U32" s="2" t="str">
        <f t="shared" si="8"/>
        <v>EAST_MDB_2A_2\V1N</v>
      </c>
      <c r="V32" s="2" t="str">
        <f t="shared" si="8"/>
        <v>EAST_MDB_2A_2\V2N</v>
      </c>
      <c r="W32" s="2" t="str">
        <f t="shared" si="8"/>
        <v>EAST_MDB_2A_2\V3N</v>
      </c>
      <c r="X32" s="2" t="str">
        <f t="shared" si="8"/>
        <v>EAST_MDB_2A_2\VA</v>
      </c>
      <c r="Y32" s="2" t="str">
        <f t="shared" si="8"/>
        <v>EAST_MDB_2A_2\A1</v>
      </c>
      <c r="Z32" s="2" t="str">
        <f t="shared" si="8"/>
        <v>EAST_MDB_2A_2\A2</v>
      </c>
      <c r="AA32" s="2" t="str">
        <f t="shared" si="8"/>
        <v>EAST_MDB_2A_2\A3</v>
      </c>
      <c r="AB32" s="2" t="str">
        <f t="shared" si="8"/>
        <v>EAST_MDB_2A_2\AA</v>
      </c>
      <c r="AC32" s="2" t="str">
        <f t="shared" si="8"/>
        <v>EAST_MDB_2A_2\PF</v>
      </c>
      <c r="AD32" s="2" t="str">
        <f t="shared" si="8"/>
        <v>EAST_MDB_2A_2\HZ</v>
      </c>
      <c r="AE32" s="2" t="str">
        <f t="shared" si="8"/>
        <v>EAST_MDB_2A_2\KW</v>
      </c>
      <c r="AF32" s="2" t="str">
        <f t="shared" si="8"/>
        <v>EAST_MDB_2A_2\KHh</v>
      </c>
      <c r="AG32" s="2" t="str">
        <f t="shared" si="8"/>
        <v>EAST_MDB_2A_2\VA</v>
      </c>
      <c r="AH32" s="2" t="str">
        <f t="shared" si="8"/>
        <v>EAST_MDB_2A_2\VAH</v>
      </c>
      <c r="AI32" s="2" t="str">
        <f t="shared" si="8"/>
        <v>EAST_MDB_2A_2\PEAK</v>
      </c>
      <c r="AJ32" s="2" t="str">
        <f t="shared" si="8"/>
        <v>EAST_MDB_2A_2\H_A_1</v>
      </c>
      <c r="AK32" s="2" t="str">
        <f t="shared" si="8"/>
        <v>EAST_MDB_2A_2\H_A_3</v>
      </c>
      <c r="AL32" s="2" t="str">
        <f t="shared" si="8"/>
        <v>EAST_MDB_2A_2\H_A_5</v>
      </c>
      <c r="AM32" s="2" t="str">
        <f t="shared" si="8"/>
        <v>EAST_MDB_2A_2\H_A_7</v>
      </c>
      <c r="AN32" s="2" t="str">
        <f t="shared" si="8"/>
        <v>EAST_MDB_2A_2\H_B_1</v>
      </c>
      <c r="AO32" s="2" t="str">
        <f t="shared" si="8"/>
        <v>EAST_MDB_2A_2\H_B_3</v>
      </c>
      <c r="AP32" s="2" t="str">
        <f t="shared" si="8"/>
        <v>EAST_MDB_2A_2\H_B_5</v>
      </c>
      <c r="AQ32" s="2" t="str">
        <f t="shared" si="8"/>
        <v>EAST_MDB_2A_2\H_B_7</v>
      </c>
      <c r="AR32" s="2" t="str">
        <f t="shared" si="8"/>
        <v>EAST_MDB_2A_2\H_C_1</v>
      </c>
      <c r="AS32" s="2" t="str">
        <f t="shared" si="8"/>
        <v>EAST_MDB_2A_2\H_C_3</v>
      </c>
      <c r="AT32" s="2" t="str">
        <f t="shared" si="8"/>
        <v>EAST_MDB_2A_2\H_C_5</v>
      </c>
      <c r="AU32" s="2" t="str">
        <f t="shared" si="8"/>
        <v>EAST_MDB_2A_2\H_C_7</v>
      </c>
      <c r="AV32" s="2" t="str">
        <f t="shared" si="9"/>
        <v>EAST_MDB_2A_2\PV1</v>
      </c>
      <c r="AW32" s="2" t="str">
        <f t="shared" si="9"/>
        <v>EAST_MDB_2A_2\PV2</v>
      </c>
      <c r="AX32" s="2" t="str">
        <f t="shared" si="9"/>
        <v>EAST_MDB_2A_2\PV3</v>
      </c>
      <c r="AY32" s="2" t="str">
        <f t="shared" si="9"/>
        <v>EAST_MDB_2A_2\PI1</v>
      </c>
      <c r="AZ32" s="2" t="str">
        <f t="shared" si="9"/>
        <v>EAST_MDB_2A_2\PI2</v>
      </c>
      <c r="BA32" s="2" t="str">
        <f t="shared" si="9"/>
        <v>EAST_MDB_2A_2\PI3</v>
      </c>
    </row>
    <row r="33" spans="1:53" x14ac:dyDescent="0.25">
      <c r="A33" s="3">
        <v>26</v>
      </c>
      <c r="B33" s="3" t="s">
        <v>335</v>
      </c>
      <c r="C33" s="3" t="s">
        <v>83</v>
      </c>
      <c r="D33" s="3" t="s">
        <v>289</v>
      </c>
      <c r="E33" s="4"/>
      <c r="F33" s="2" t="str">
        <f t="shared" si="7"/>
        <v>EAST_MDB_2A_3\ST</v>
      </c>
      <c r="G33" s="2" t="str">
        <f t="shared" si="7"/>
        <v>EAST_MDB_2A_3\TRIP</v>
      </c>
      <c r="H33" s="20"/>
      <c r="I33" s="20"/>
      <c r="J33" s="20"/>
      <c r="K33" s="20"/>
      <c r="L33" s="20"/>
      <c r="M33" s="20"/>
      <c r="N33" s="20"/>
      <c r="O33" s="20"/>
      <c r="P33" s="20"/>
      <c r="Q33" s="24"/>
      <c r="R33" s="2" t="str">
        <f t="shared" si="8"/>
        <v>EAST_MDB_2A_3\V12</v>
      </c>
      <c r="S33" s="2" t="str">
        <f t="shared" si="8"/>
        <v>EAST_MDB_2A_3\V23</v>
      </c>
      <c r="T33" s="2" t="str">
        <f t="shared" si="8"/>
        <v>EAST_MDB_2A_3\V31</v>
      </c>
      <c r="U33" s="2" t="str">
        <f t="shared" si="8"/>
        <v>EAST_MDB_2A_3\V1N</v>
      </c>
      <c r="V33" s="2" t="str">
        <f t="shared" si="8"/>
        <v>EAST_MDB_2A_3\V2N</v>
      </c>
      <c r="W33" s="2" t="str">
        <f t="shared" si="8"/>
        <v>EAST_MDB_2A_3\V3N</v>
      </c>
      <c r="X33" s="2" t="str">
        <f t="shared" si="8"/>
        <v>EAST_MDB_2A_3\VA</v>
      </c>
      <c r="Y33" s="2" t="str">
        <f t="shared" si="8"/>
        <v>EAST_MDB_2A_3\A1</v>
      </c>
      <c r="Z33" s="2" t="str">
        <f t="shared" si="8"/>
        <v>EAST_MDB_2A_3\A2</v>
      </c>
      <c r="AA33" s="2" t="str">
        <f t="shared" si="8"/>
        <v>EAST_MDB_2A_3\A3</v>
      </c>
      <c r="AB33" s="2" t="str">
        <f t="shared" si="8"/>
        <v>EAST_MDB_2A_3\AA</v>
      </c>
      <c r="AC33" s="2" t="str">
        <f t="shared" si="8"/>
        <v>EAST_MDB_2A_3\PF</v>
      </c>
      <c r="AD33" s="2" t="str">
        <f t="shared" si="8"/>
        <v>EAST_MDB_2A_3\HZ</v>
      </c>
      <c r="AE33" s="2" t="str">
        <f t="shared" si="8"/>
        <v>EAST_MDB_2A_3\KW</v>
      </c>
      <c r="AF33" s="2" t="str">
        <f t="shared" si="8"/>
        <v>EAST_MDB_2A_3\KHh</v>
      </c>
      <c r="AG33" s="2" t="str">
        <f t="shared" si="8"/>
        <v>EAST_MDB_2A_3\VA</v>
      </c>
      <c r="AH33" s="2" t="str">
        <f t="shared" si="8"/>
        <v>EAST_MDB_2A_3\VAH</v>
      </c>
      <c r="AI33" s="2" t="str">
        <f t="shared" si="8"/>
        <v>EAST_MDB_2A_3\PEAK</v>
      </c>
      <c r="AJ33" s="2" t="str">
        <f t="shared" si="8"/>
        <v>EAST_MDB_2A_3\H_A_1</v>
      </c>
      <c r="AK33" s="2" t="str">
        <f t="shared" si="8"/>
        <v>EAST_MDB_2A_3\H_A_3</v>
      </c>
      <c r="AL33" s="2" t="str">
        <f t="shared" si="8"/>
        <v>EAST_MDB_2A_3\H_A_5</v>
      </c>
      <c r="AM33" s="2" t="str">
        <f t="shared" si="8"/>
        <v>EAST_MDB_2A_3\H_A_7</v>
      </c>
      <c r="AN33" s="2" t="str">
        <f t="shared" si="8"/>
        <v>EAST_MDB_2A_3\H_B_1</v>
      </c>
      <c r="AO33" s="2" t="str">
        <f t="shared" si="8"/>
        <v>EAST_MDB_2A_3\H_B_3</v>
      </c>
      <c r="AP33" s="2" t="str">
        <f t="shared" si="8"/>
        <v>EAST_MDB_2A_3\H_B_5</v>
      </c>
      <c r="AQ33" s="2" t="str">
        <f t="shared" si="8"/>
        <v>EAST_MDB_2A_3\H_B_7</v>
      </c>
      <c r="AR33" s="2" t="str">
        <f t="shared" si="8"/>
        <v>EAST_MDB_2A_3\H_C_1</v>
      </c>
      <c r="AS33" s="2" t="str">
        <f t="shared" si="8"/>
        <v>EAST_MDB_2A_3\H_C_3</v>
      </c>
      <c r="AT33" s="2" t="str">
        <f t="shared" si="8"/>
        <v>EAST_MDB_2A_3\H_C_5</v>
      </c>
      <c r="AU33" s="2" t="str">
        <f t="shared" si="8"/>
        <v>EAST_MDB_2A_3\H_C_7</v>
      </c>
      <c r="AV33" s="2" t="str">
        <f t="shared" si="9"/>
        <v>EAST_MDB_2A_3\PV1</v>
      </c>
      <c r="AW33" s="2" t="str">
        <f t="shared" si="9"/>
        <v>EAST_MDB_2A_3\PV2</v>
      </c>
      <c r="AX33" s="2" t="str">
        <f t="shared" si="9"/>
        <v>EAST_MDB_2A_3\PV3</v>
      </c>
      <c r="AY33" s="2" t="str">
        <f t="shared" si="9"/>
        <v>EAST_MDB_2A_3\PI1</v>
      </c>
      <c r="AZ33" s="2" t="str">
        <f t="shared" si="9"/>
        <v>EAST_MDB_2A_3\PI2</v>
      </c>
      <c r="BA33" s="2" t="str">
        <f t="shared" si="9"/>
        <v>EAST_MDB_2A_3\PI3</v>
      </c>
    </row>
    <row r="34" spans="1:53" x14ac:dyDescent="0.25">
      <c r="A34" s="3">
        <v>27</v>
      </c>
      <c r="B34" s="3" t="s">
        <v>335</v>
      </c>
      <c r="C34" s="3" t="s">
        <v>84</v>
      </c>
      <c r="D34" s="3" t="s">
        <v>289</v>
      </c>
      <c r="E34" s="4"/>
      <c r="F34" s="2" t="str">
        <f t="shared" si="7"/>
        <v>EAST_MDB_2A_4\ST</v>
      </c>
      <c r="G34" s="2" t="str">
        <f t="shared" si="7"/>
        <v>EAST_MDB_2A_4\TRIP</v>
      </c>
      <c r="H34" s="20"/>
      <c r="I34" s="20"/>
      <c r="J34" s="20"/>
      <c r="K34" s="20"/>
      <c r="L34" s="20"/>
      <c r="M34" s="20"/>
      <c r="N34" s="20"/>
      <c r="O34" s="20"/>
      <c r="P34" s="20"/>
      <c r="Q34" s="24"/>
      <c r="R34" s="2" t="str">
        <f t="shared" si="8"/>
        <v>EAST_MDB_2A_4\V12</v>
      </c>
      <c r="S34" s="2" t="str">
        <f t="shared" si="8"/>
        <v>EAST_MDB_2A_4\V23</v>
      </c>
      <c r="T34" s="2" t="str">
        <f t="shared" si="8"/>
        <v>EAST_MDB_2A_4\V31</v>
      </c>
      <c r="U34" s="2" t="str">
        <f t="shared" si="8"/>
        <v>EAST_MDB_2A_4\V1N</v>
      </c>
      <c r="V34" s="2" t="str">
        <f t="shared" si="8"/>
        <v>EAST_MDB_2A_4\V2N</v>
      </c>
      <c r="W34" s="2" t="str">
        <f t="shared" si="8"/>
        <v>EAST_MDB_2A_4\V3N</v>
      </c>
      <c r="X34" s="2" t="str">
        <f t="shared" si="8"/>
        <v>EAST_MDB_2A_4\VA</v>
      </c>
      <c r="Y34" s="2" t="str">
        <f t="shared" si="8"/>
        <v>EAST_MDB_2A_4\A1</v>
      </c>
      <c r="Z34" s="2" t="str">
        <f t="shared" si="8"/>
        <v>EAST_MDB_2A_4\A2</v>
      </c>
      <c r="AA34" s="2" t="str">
        <f t="shared" si="8"/>
        <v>EAST_MDB_2A_4\A3</v>
      </c>
      <c r="AB34" s="2" t="str">
        <f t="shared" si="8"/>
        <v>EAST_MDB_2A_4\AA</v>
      </c>
      <c r="AC34" s="2" t="str">
        <f t="shared" si="8"/>
        <v>EAST_MDB_2A_4\PF</v>
      </c>
      <c r="AD34" s="2" t="str">
        <f t="shared" si="8"/>
        <v>EAST_MDB_2A_4\HZ</v>
      </c>
      <c r="AE34" s="2" t="str">
        <f t="shared" si="8"/>
        <v>EAST_MDB_2A_4\KW</v>
      </c>
      <c r="AF34" s="2" t="str">
        <f t="shared" si="8"/>
        <v>EAST_MDB_2A_4\KHh</v>
      </c>
      <c r="AG34" s="2" t="str">
        <f t="shared" si="8"/>
        <v>EAST_MDB_2A_4\VA</v>
      </c>
      <c r="AH34" s="2" t="str">
        <f t="shared" si="8"/>
        <v>EAST_MDB_2A_4\VAH</v>
      </c>
      <c r="AI34" s="2" t="str">
        <f t="shared" si="8"/>
        <v>EAST_MDB_2A_4\PEAK</v>
      </c>
      <c r="AJ34" s="2" t="str">
        <f t="shared" si="8"/>
        <v>EAST_MDB_2A_4\H_A_1</v>
      </c>
      <c r="AK34" s="2" t="str">
        <f t="shared" si="8"/>
        <v>EAST_MDB_2A_4\H_A_3</v>
      </c>
      <c r="AL34" s="2" t="str">
        <f t="shared" si="8"/>
        <v>EAST_MDB_2A_4\H_A_5</v>
      </c>
      <c r="AM34" s="2" t="str">
        <f t="shared" si="8"/>
        <v>EAST_MDB_2A_4\H_A_7</v>
      </c>
      <c r="AN34" s="2" t="str">
        <f t="shared" si="8"/>
        <v>EAST_MDB_2A_4\H_B_1</v>
      </c>
      <c r="AO34" s="2" t="str">
        <f t="shared" si="8"/>
        <v>EAST_MDB_2A_4\H_B_3</v>
      </c>
      <c r="AP34" s="2" t="str">
        <f t="shared" si="8"/>
        <v>EAST_MDB_2A_4\H_B_5</v>
      </c>
      <c r="AQ34" s="2" t="str">
        <f t="shared" si="8"/>
        <v>EAST_MDB_2A_4\H_B_7</v>
      </c>
      <c r="AR34" s="2" t="str">
        <f t="shared" si="8"/>
        <v>EAST_MDB_2A_4\H_C_1</v>
      </c>
      <c r="AS34" s="2" t="str">
        <f t="shared" si="8"/>
        <v>EAST_MDB_2A_4\H_C_3</v>
      </c>
      <c r="AT34" s="2" t="str">
        <f t="shared" si="8"/>
        <v>EAST_MDB_2A_4\H_C_5</v>
      </c>
      <c r="AU34" s="2" t="str">
        <f t="shared" si="8"/>
        <v>EAST_MDB_2A_4\H_C_7</v>
      </c>
      <c r="AV34" s="2" t="str">
        <f t="shared" si="9"/>
        <v>EAST_MDB_2A_4\PV1</v>
      </c>
      <c r="AW34" s="2" t="str">
        <f t="shared" si="9"/>
        <v>EAST_MDB_2A_4\PV2</v>
      </c>
      <c r="AX34" s="2" t="str">
        <f t="shared" si="9"/>
        <v>EAST_MDB_2A_4\PV3</v>
      </c>
      <c r="AY34" s="2" t="str">
        <f t="shared" si="9"/>
        <v>EAST_MDB_2A_4\PI1</v>
      </c>
      <c r="AZ34" s="2" t="str">
        <f t="shared" si="9"/>
        <v>EAST_MDB_2A_4\PI2</v>
      </c>
      <c r="BA34" s="2" t="str">
        <f t="shared" si="9"/>
        <v>EAST_MDB_2A_4\PI3</v>
      </c>
    </row>
    <row r="35" spans="1:53" x14ac:dyDescent="0.25">
      <c r="A35" s="3">
        <v>28</v>
      </c>
      <c r="B35" s="3" t="s">
        <v>335</v>
      </c>
      <c r="C35" s="3" t="s">
        <v>85</v>
      </c>
      <c r="D35" s="3" t="s">
        <v>289</v>
      </c>
      <c r="E35" s="4"/>
      <c r="F35" s="2" t="str">
        <f t="shared" si="7"/>
        <v>EAST_MDB_2A_5\ST</v>
      </c>
      <c r="G35" s="2" t="str">
        <f t="shared" si="7"/>
        <v>EAST_MDB_2A_5\TRIP</v>
      </c>
      <c r="H35" s="20"/>
      <c r="I35" s="20"/>
      <c r="J35" s="20"/>
      <c r="K35" s="20"/>
      <c r="L35" s="20"/>
      <c r="M35" s="20"/>
      <c r="N35" s="20"/>
      <c r="O35" s="20"/>
      <c r="P35" s="20"/>
      <c r="Q35" s="24"/>
      <c r="R35" s="2" t="str">
        <f t="shared" si="8"/>
        <v>EAST_MDB_2A_5\V12</v>
      </c>
      <c r="S35" s="2" t="str">
        <f t="shared" si="8"/>
        <v>EAST_MDB_2A_5\V23</v>
      </c>
      <c r="T35" s="2" t="str">
        <f t="shared" si="8"/>
        <v>EAST_MDB_2A_5\V31</v>
      </c>
      <c r="U35" s="2" t="str">
        <f t="shared" si="8"/>
        <v>EAST_MDB_2A_5\V1N</v>
      </c>
      <c r="V35" s="2" t="str">
        <f t="shared" si="8"/>
        <v>EAST_MDB_2A_5\V2N</v>
      </c>
      <c r="W35" s="2" t="str">
        <f t="shared" si="8"/>
        <v>EAST_MDB_2A_5\V3N</v>
      </c>
      <c r="X35" s="2" t="str">
        <f t="shared" si="8"/>
        <v>EAST_MDB_2A_5\VA</v>
      </c>
      <c r="Y35" s="2" t="str">
        <f t="shared" si="8"/>
        <v>EAST_MDB_2A_5\A1</v>
      </c>
      <c r="Z35" s="2" t="str">
        <f t="shared" si="8"/>
        <v>EAST_MDB_2A_5\A2</v>
      </c>
      <c r="AA35" s="2" t="str">
        <f t="shared" si="8"/>
        <v>EAST_MDB_2A_5\A3</v>
      </c>
      <c r="AB35" s="2" t="str">
        <f t="shared" si="8"/>
        <v>EAST_MDB_2A_5\AA</v>
      </c>
      <c r="AC35" s="2" t="str">
        <f t="shared" si="8"/>
        <v>EAST_MDB_2A_5\PF</v>
      </c>
      <c r="AD35" s="2" t="str">
        <f t="shared" si="8"/>
        <v>EAST_MDB_2A_5\HZ</v>
      </c>
      <c r="AE35" s="2" t="str">
        <f t="shared" si="8"/>
        <v>EAST_MDB_2A_5\KW</v>
      </c>
      <c r="AF35" s="2" t="str">
        <f t="shared" si="8"/>
        <v>EAST_MDB_2A_5\KHh</v>
      </c>
      <c r="AG35" s="2" t="str">
        <f t="shared" si="8"/>
        <v>EAST_MDB_2A_5\VA</v>
      </c>
      <c r="AH35" s="2" t="str">
        <f t="shared" si="8"/>
        <v>EAST_MDB_2A_5\VAH</v>
      </c>
      <c r="AI35" s="2" t="str">
        <f t="shared" si="8"/>
        <v>EAST_MDB_2A_5\PEAK</v>
      </c>
      <c r="AJ35" s="2" t="str">
        <f t="shared" si="8"/>
        <v>EAST_MDB_2A_5\H_A_1</v>
      </c>
      <c r="AK35" s="2" t="str">
        <f t="shared" si="8"/>
        <v>EAST_MDB_2A_5\H_A_3</v>
      </c>
      <c r="AL35" s="2" t="str">
        <f t="shared" si="8"/>
        <v>EAST_MDB_2A_5\H_A_5</v>
      </c>
      <c r="AM35" s="2" t="str">
        <f t="shared" si="8"/>
        <v>EAST_MDB_2A_5\H_A_7</v>
      </c>
      <c r="AN35" s="2" t="str">
        <f t="shared" si="8"/>
        <v>EAST_MDB_2A_5\H_B_1</v>
      </c>
      <c r="AO35" s="2" t="str">
        <f t="shared" si="8"/>
        <v>EAST_MDB_2A_5\H_B_3</v>
      </c>
      <c r="AP35" s="2" t="str">
        <f t="shared" si="8"/>
        <v>EAST_MDB_2A_5\H_B_5</v>
      </c>
      <c r="AQ35" s="2" t="str">
        <f t="shared" si="8"/>
        <v>EAST_MDB_2A_5\H_B_7</v>
      </c>
      <c r="AR35" s="2" t="str">
        <f t="shared" si="8"/>
        <v>EAST_MDB_2A_5\H_C_1</v>
      </c>
      <c r="AS35" s="2" t="str">
        <f t="shared" si="8"/>
        <v>EAST_MDB_2A_5\H_C_3</v>
      </c>
      <c r="AT35" s="2" t="str">
        <f t="shared" si="8"/>
        <v>EAST_MDB_2A_5\H_C_5</v>
      </c>
      <c r="AU35" s="2" t="str">
        <f t="shared" si="8"/>
        <v>EAST_MDB_2A_5\H_C_7</v>
      </c>
      <c r="AV35" s="2" t="str">
        <f t="shared" si="9"/>
        <v>EAST_MDB_2A_5\PV1</v>
      </c>
      <c r="AW35" s="2" t="str">
        <f t="shared" si="9"/>
        <v>EAST_MDB_2A_5\PV2</v>
      </c>
      <c r="AX35" s="2" t="str">
        <f t="shared" si="9"/>
        <v>EAST_MDB_2A_5\PV3</v>
      </c>
      <c r="AY35" s="2" t="str">
        <f t="shared" si="9"/>
        <v>EAST_MDB_2A_5\PI1</v>
      </c>
      <c r="AZ35" s="2" t="str">
        <f t="shared" si="9"/>
        <v>EAST_MDB_2A_5\PI2</v>
      </c>
      <c r="BA35" s="2" t="str">
        <f t="shared" si="9"/>
        <v>EAST_MDB_2A_5\PI3</v>
      </c>
    </row>
    <row r="36" spans="1:53" x14ac:dyDescent="0.25">
      <c r="A36" s="3">
        <v>29</v>
      </c>
      <c r="B36" s="3" t="s">
        <v>335</v>
      </c>
      <c r="C36" s="3" t="s">
        <v>228</v>
      </c>
      <c r="D36" s="3" t="s">
        <v>325</v>
      </c>
      <c r="E36" s="4"/>
      <c r="F36" s="2"/>
      <c r="G36" s="2"/>
      <c r="H36" s="2" t="str">
        <f>$C36&amp;H$7</f>
        <v>EAST_MDB_2B\ELD</v>
      </c>
      <c r="I36" s="20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 x14ac:dyDescent="0.25">
      <c r="A37" s="3">
        <v>30</v>
      </c>
      <c r="B37" s="3" t="s">
        <v>335</v>
      </c>
      <c r="C37" s="3" t="s">
        <v>86</v>
      </c>
      <c r="D37" s="3" t="s">
        <v>325</v>
      </c>
      <c r="E37" s="4"/>
      <c r="F37" s="2" t="str">
        <f t="shared" ref="F37:G46" si="10">$C37&amp;F$7</f>
        <v>EAST_MDB_2B_1\ST</v>
      </c>
      <c r="G37" s="2" t="str">
        <f t="shared" si="10"/>
        <v>EAST_MDB_2B_1\TRIP</v>
      </c>
      <c r="H37" s="20"/>
      <c r="I37" s="20"/>
      <c r="J37" s="20"/>
      <c r="K37" s="20"/>
      <c r="L37" s="20"/>
      <c r="M37" s="20"/>
      <c r="N37" s="20"/>
      <c r="O37" s="20"/>
      <c r="P37" s="20"/>
      <c r="Q37" s="24"/>
      <c r="R37" s="2" t="str">
        <f t="shared" ref="R37:AU46" si="11">$C37&amp;R$7</f>
        <v>EAST_MDB_2B_1\V12</v>
      </c>
      <c r="S37" s="2" t="str">
        <f t="shared" si="11"/>
        <v>EAST_MDB_2B_1\V23</v>
      </c>
      <c r="T37" s="2" t="str">
        <f t="shared" si="11"/>
        <v>EAST_MDB_2B_1\V31</v>
      </c>
      <c r="U37" s="2" t="str">
        <f t="shared" si="11"/>
        <v>EAST_MDB_2B_1\V1N</v>
      </c>
      <c r="V37" s="2" t="str">
        <f t="shared" si="11"/>
        <v>EAST_MDB_2B_1\V2N</v>
      </c>
      <c r="W37" s="2" t="str">
        <f t="shared" si="11"/>
        <v>EAST_MDB_2B_1\V3N</v>
      </c>
      <c r="X37" s="2" t="str">
        <f t="shared" si="11"/>
        <v>EAST_MDB_2B_1\VA</v>
      </c>
      <c r="Y37" s="2" t="str">
        <f t="shared" si="11"/>
        <v>EAST_MDB_2B_1\A1</v>
      </c>
      <c r="Z37" s="2" t="str">
        <f t="shared" si="11"/>
        <v>EAST_MDB_2B_1\A2</v>
      </c>
      <c r="AA37" s="2" t="str">
        <f t="shared" si="11"/>
        <v>EAST_MDB_2B_1\A3</v>
      </c>
      <c r="AB37" s="2" t="str">
        <f t="shared" si="11"/>
        <v>EAST_MDB_2B_1\AA</v>
      </c>
      <c r="AC37" s="2" t="str">
        <f t="shared" si="11"/>
        <v>EAST_MDB_2B_1\PF</v>
      </c>
      <c r="AD37" s="2" t="str">
        <f t="shared" si="11"/>
        <v>EAST_MDB_2B_1\HZ</v>
      </c>
      <c r="AE37" s="2" t="str">
        <f t="shared" si="11"/>
        <v>EAST_MDB_2B_1\KW</v>
      </c>
      <c r="AF37" s="2" t="str">
        <f t="shared" si="11"/>
        <v>EAST_MDB_2B_1\KHh</v>
      </c>
      <c r="AG37" s="2" t="str">
        <f t="shared" si="11"/>
        <v>EAST_MDB_2B_1\VA</v>
      </c>
      <c r="AH37" s="2" t="str">
        <f t="shared" si="11"/>
        <v>EAST_MDB_2B_1\VAH</v>
      </c>
      <c r="AI37" s="2" t="str">
        <f t="shared" si="11"/>
        <v>EAST_MDB_2B_1\PEAK</v>
      </c>
      <c r="AJ37" s="2" t="str">
        <f t="shared" si="11"/>
        <v>EAST_MDB_2B_1\H_A_1</v>
      </c>
      <c r="AK37" s="2" t="str">
        <f t="shared" si="11"/>
        <v>EAST_MDB_2B_1\H_A_3</v>
      </c>
      <c r="AL37" s="2" t="str">
        <f t="shared" si="11"/>
        <v>EAST_MDB_2B_1\H_A_5</v>
      </c>
      <c r="AM37" s="2" t="str">
        <f t="shared" si="11"/>
        <v>EAST_MDB_2B_1\H_A_7</v>
      </c>
      <c r="AN37" s="2" t="str">
        <f t="shared" si="11"/>
        <v>EAST_MDB_2B_1\H_B_1</v>
      </c>
      <c r="AO37" s="2" t="str">
        <f t="shared" si="11"/>
        <v>EAST_MDB_2B_1\H_B_3</v>
      </c>
      <c r="AP37" s="2" t="str">
        <f t="shared" si="11"/>
        <v>EAST_MDB_2B_1\H_B_5</v>
      </c>
      <c r="AQ37" s="2" t="str">
        <f t="shared" si="11"/>
        <v>EAST_MDB_2B_1\H_B_7</v>
      </c>
      <c r="AR37" s="2" t="str">
        <f t="shared" si="11"/>
        <v>EAST_MDB_2B_1\H_C_1</v>
      </c>
      <c r="AS37" s="2" t="str">
        <f t="shared" si="11"/>
        <v>EAST_MDB_2B_1\H_C_3</v>
      </c>
      <c r="AT37" s="2" t="str">
        <f t="shared" si="11"/>
        <v>EAST_MDB_2B_1\H_C_5</v>
      </c>
      <c r="AU37" s="2" t="str">
        <f t="shared" si="11"/>
        <v>EAST_MDB_2B_1\H_C_7</v>
      </c>
      <c r="AV37" s="2" t="str">
        <f t="shared" ref="AV37:BA46" si="12">$C37&amp;AV$7</f>
        <v>EAST_MDB_2B_1\PV1</v>
      </c>
      <c r="AW37" s="2" t="str">
        <f t="shared" si="12"/>
        <v>EAST_MDB_2B_1\PV2</v>
      </c>
      <c r="AX37" s="2" t="str">
        <f t="shared" si="12"/>
        <v>EAST_MDB_2B_1\PV3</v>
      </c>
      <c r="AY37" s="2" t="str">
        <f t="shared" si="12"/>
        <v>EAST_MDB_2B_1\PI1</v>
      </c>
      <c r="AZ37" s="2" t="str">
        <f t="shared" si="12"/>
        <v>EAST_MDB_2B_1\PI2</v>
      </c>
      <c r="BA37" s="2" t="str">
        <f t="shared" si="12"/>
        <v>EAST_MDB_2B_1\PI3</v>
      </c>
    </row>
    <row r="38" spans="1:53" x14ac:dyDescent="0.25">
      <c r="A38" s="3">
        <v>31</v>
      </c>
      <c r="B38" s="3" t="s">
        <v>335</v>
      </c>
      <c r="C38" s="3" t="s">
        <v>87</v>
      </c>
      <c r="D38" s="3" t="s">
        <v>325</v>
      </c>
      <c r="E38" s="4"/>
      <c r="F38" s="2" t="str">
        <f t="shared" si="10"/>
        <v>EAST_MDB_2B_2\ST</v>
      </c>
      <c r="G38" s="2" t="str">
        <f t="shared" si="10"/>
        <v>EAST_MDB_2B_2\TRIP</v>
      </c>
      <c r="H38" s="20"/>
      <c r="I38" s="20"/>
      <c r="J38" s="20"/>
      <c r="K38" s="20"/>
      <c r="L38" s="20"/>
      <c r="M38" s="20"/>
      <c r="N38" s="20"/>
      <c r="O38" s="20"/>
      <c r="P38" s="20"/>
      <c r="Q38" s="24"/>
      <c r="R38" s="2" t="str">
        <f t="shared" si="11"/>
        <v>EAST_MDB_2B_2\V12</v>
      </c>
      <c r="S38" s="2" t="str">
        <f t="shared" si="11"/>
        <v>EAST_MDB_2B_2\V23</v>
      </c>
      <c r="T38" s="2" t="str">
        <f t="shared" si="11"/>
        <v>EAST_MDB_2B_2\V31</v>
      </c>
      <c r="U38" s="2" t="str">
        <f t="shared" si="11"/>
        <v>EAST_MDB_2B_2\V1N</v>
      </c>
      <c r="V38" s="2" t="str">
        <f t="shared" si="11"/>
        <v>EAST_MDB_2B_2\V2N</v>
      </c>
      <c r="W38" s="2" t="str">
        <f t="shared" si="11"/>
        <v>EAST_MDB_2B_2\V3N</v>
      </c>
      <c r="X38" s="2" t="str">
        <f t="shared" si="11"/>
        <v>EAST_MDB_2B_2\VA</v>
      </c>
      <c r="Y38" s="2" t="str">
        <f t="shared" si="11"/>
        <v>EAST_MDB_2B_2\A1</v>
      </c>
      <c r="Z38" s="2" t="str">
        <f t="shared" si="11"/>
        <v>EAST_MDB_2B_2\A2</v>
      </c>
      <c r="AA38" s="2" t="str">
        <f t="shared" si="11"/>
        <v>EAST_MDB_2B_2\A3</v>
      </c>
      <c r="AB38" s="2" t="str">
        <f t="shared" si="11"/>
        <v>EAST_MDB_2B_2\AA</v>
      </c>
      <c r="AC38" s="2" t="str">
        <f t="shared" si="11"/>
        <v>EAST_MDB_2B_2\PF</v>
      </c>
      <c r="AD38" s="2" t="str">
        <f t="shared" si="11"/>
        <v>EAST_MDB_2B_2\HZ</v>
      </c>
      <c r="AE38" s="2" t="str">
        <f t="shared" si="11"/>
        <v>EAST_MDB_2B_2\KW</v>
      </c>
      <c r="AF38" s="2" t="str">
        <f t="shared" si="11"/>
        <v>EAST_MDB_2B_2\KHh</v>
      </c>
      <c r="AG38" s="2" t="str">
        <f t="shared" si="11"/>
        <v>EAST_MDB_2B_2\VA</v>
      </c>
      <c r="AH38" s="2" t="str">
        <f t="shared" si="11"/>
        <v>EAST_MDB_2B_2\VAH</v>
      </c>
      <c r="AI38" s="2" t="str">
        <f t="shared" si="11"/>
        <v>EAST_MDB_2B_2\PEAK</v>
      </c>
      <c r="AJ38" s="2" t="str">
        <f t="shared" si="11"/>
        <v>EAST_MDB_2B_2\H_A_1</v>
      </c>
      <c r="AK38" s="2" t="str">
        <f t="shared" si="11"/>
        <v>EAST_MDB_2B_2\H_A_3</v>
      </c>
      <c r="AL38" s="2" t="str">
        <f t="shared" si="11"/>
        <v>EAST_MDB_2B_2\H_A_5</v>
      </c>
      <c r="AM38" s="2" t="str">
        <f t="shared" si="11"/>
        <v>EAST_MDB_2B_2\H_A_7</v>
      </c>
      <c r="AN38" s="2" t="str">
        <f t="shared" si="11"/>
        <v>EAST_MDB_2B_2\H_B_1</v>
      </c>
      <c r="AO38" s="2" t="str">
        <f t="shared" si="11"/>
        <v>EAST_MDB_2B_2\H_B_3</v>
      </c>
      <c r="AP38" s="2" t="str">
        <f t="shared" si="11"/>
        <v>EAST_MDB_2B_2\H_B_5</v>
      </c>
      <c r="AQ38" s="2" t="str">
        <f t="shared" si="11"/>
        <v>EAST_MDB_2B_2\H_B_7</v>
      </c>
      <c r="AR38" s="2" t="str">
        <f t="shared" si="11"/>
        <v>EAST_MDB_2B_2\H_C_1</v>
      </c>
      <c r="AS38" s="2" t="str">
        <f t="shared" si="11"/>
        <v>EAST_MDB_2B_2\H_C_3</v>
      </c>
      <c r="AT38" s="2" t="str">
        <f t="shared" si="11"/>
        <v>EAST_MDB_2B_2\H_C_5</v>
      </c>
      <c r="AU38" s="2" t="str">
        <f t="shared" si="11"/>
        <v>EAST_MDB_2B_2\H_C_7</v>
      </c>
      <c r="AV38" s="2" t="str">
        <f t="shared" si="12"/>
        <v>EAST_MDB_2B_2\PV1</v>
      </c>
      <c r="AW38" s="2" t="str">
        <f t="shared" si="12"/>
        <v>EAST_MDB_2B_2\PV2</v>
      </c>
      <c r="AX38" s="2" t="str">
        <f t="shared" si="12"/>
        <v>EAST_MDB_2B_2\PV3</v>
      </c>
      <c r="AY38" s="2" t="str">
        <f t="shared" si="12"/>
        <v>EAST_MDB_2B_2\PI1</v>
      </c>
      <c r="AZ38" s="2" t="str">
        <f t="shared" si="12"/>
        <v>EAST_MDB_2B_2\PI2</v>
      </c>
      <c r="BA38" s="2" t="str">
        <f t="shared" si="12"/>
        <v>EAST_MDB_2B_2\PI3</v>
      </c>
    </row>
    <row r="39" spans="1:53" x14ac:dyDescent="0.25">
      <c r="A39" s="3">
        <v>32</v>
      </c>
      <c r="B39" s="3" t="s">
        <v>335</v>
      </c>
      <c r="C39" s="3" t="s">
        <v>88</v>
      </c>
      <c r="D39" s="3" t="s">
        <v>325</v>
      </c>
      <c r="E39" s="4"/>
      <c r="F39" s="2" t="str">
        <f t="shared" si="10"/>
        <v>EAST_MDB_2B_3\ST</v>
      </c>
      <c r="G39" s="2" t="str">
        <f t="shared" si="10"/>
        <v>EAST_MDB_2B_3\TRIP</v>
      </c>
      <c r="H39" s="20"/>
      <c r="I39" s="20"/>
      <c r="J39" s="20"/>
      <c r="K39" s="20"/>
      <c r="L39" s="20"/>
      <c r="M39" s="20"/>
      <c r="N39" s="20"/>
      <c r="O39" s="20"/>
      <c r="P39" s="20"/>
      <c r="Q39" s="24"/>
      <c r="R39" s="2" t="str">
        <f t="shared" si="11"/>
        <v>EAST_MDB_2B_3\V12</v>
      </c>
      <c r="S39" s="2" t="str">
        <f t="shared" si="11"/>
        <v>EAST_MDB_2B_3\V23</v>
      </c>
      <c r="T39" s="2" t="str">
        <f t="shared" si="11"/>
        <v>EAST_MDB_2B_3\V31</v>
      </c>
      <c r="U39" s="2" t="str">
        <f t="shared" si="11"/>
        <v>EAST_MDB_2B_3\V1N</v>
      </c>
      <c r="V39" s="2" t="str">
        <f t="shared" si="11"/>
        <v>EAST_MDB_2B_3\V2N</v>
      </c>
      <c r="W39" s="2" t="str">
        <f t="shared" si="11"/>
        <v>EAST_MDB_2B_3\V3N</v>
      </c>
      <c r="X39" s="2" t="str">
        <f t="shared" si="11"/>
        <v>EAST_MDB_2B_3\VA</v>
      </c>
      <c r="Y39" s="2" t="str">
        <f t="shared" si="11"/>
        <v>EAST_MDB_2B_3\A1</v>
      </c>
      <c r="Z39" s="2" t="str">
        <f t="shared" si="11"/>
        <v>EAST_MDB_2B_3\A2</v>
      </c>
      <c r="AA39" s="2" t="str">
        <f t="shared" si="11"/>
        <v>EAST_MDB_2B_3\A3</v>
      </c>
      <c r="AB39" s="2" t="str">
        <f t="shared" si="11"/>
        <v>EAST_MDB_2B_3\AA</v>
      </c>
      <c r="AC39" s="2" t="str">
        <f t="shared" si="11"/>
        <v>EAST_MDB_2B_3\PF</v>
      </c>
      <c r="AD39" s="2" t="str">
        <f t="shared" si="11"/>
        <v>EAST_MDB_2B_3\HZ</v>
      </c>
      <c r="AE39" s="2" t="str">
        <f t="shared" si="11"/>
        <v>EAST_MDB_2B_3\KW</v>
      </c>
      <c r="AF39" s="2" t="str">
        <f t="shared" si="11"/>
        <v>EAST_MDB_2B_3\KHh</v>
      </c>
      <c r="AG39" s="2" t="str">
        <f t="shared" si="11"/>
        <v>EAST_MDB_2B_3\VA</v>
      </c>
      <c r="AH39" s="2" t="str">
        <f t="shared" si="11"/>
        <v>EAST_MDB_2B_3\VAH</v>
      </c>
      <c r="AI39" s="2" t="str">
        <f t="shared" si="11"/>
        <v>EAST_MDB_2B_3\PEAK</v>
      </c>
      <c r="AJ39" s="2" t="str">
        <f t="shared" si="11"/>
        <v>EAST_MDB_2B_3\H_A_1</v>
      </c>
      <c r="AK39" s="2" t="str">
        <f t="shared" si="11"/>
        <v>EAST_MDB_2B_3\H_A_3</v>
      </c>
      <c r="AL39" s="2" t="str">
        <f t="shared" si="11"/>
        <v>EAST_MDB_2B_3\H_A_5</v>
      </c>
      <c r="AM39" s="2" t="str">
        <f t="shared" si="11"/>
        <v>EAST_MDB_2B_3\H_A_7</v>
      </c>
      <c r="AN39" s="2" t="str">
        <f t="shared" si="11"/>
        <v>EAST_MDB_2B_3\H_B_1</v>
      </c>
      <c r="AO39" s="2" t="str">
        <f t="shared" si="11"/>
        <v>EAST_MDB_2B_3\H_B_3</v>
      </c>
      <c r="AP39" s="2" t="str">
        <f t="shared" si="11"/>
        <v>EAST_MDB_2B_3\H_B_5</v>
      </c>
      <c r="AQ39" s="2" t="str">
        <f t="shared" si="11"/>
        <v>EAST_MDB_2B_3\H_B_7</v>
      </c>
      <c r="AR39" s="2" t="str">
        <f t="shared" si="11"/>
        <v>EAST_MDB_2B_3\H_C_1</v>
      </c>
      <c r="AS39" s="2" t="str">
        <f t="shared" si="11"/>
        <v>EAST_MDB_2B_3\H_C_3</v>
      </c>
      <c r="AT39" s="2" t="str">
        <f t="shared" si="11"/>
        <v>EAST_MDB_2B_3\H_C_5</v>
      </c>
      <c r="AU39" s="2" t="str">
        <f t="shared" si="11"/>
        <v>EAST_MDB_2B_3\H_C_7</v>
      </c>
      <c r="AV39" s="2" t="str">
        <f t="shared" si="12"/>
        <v>EAST_MDB_2B_3\PV1</v>
      </c>
      <c r="AW39" s="2" t="str">
        <f t="shared" si="12"/>
        <v>EAST_MDB_2B_3\PV2</v>
      </c>
      <c r="AX39" s="2" t="str">
        <f t="shared" si="12"/>
        <v>EAST_MDB_2B_3\PV3</v>
      </c>
      <c r="AY39" s="2" t="str">
        <f t="shared" si="12"/>
        <v>EAST_MDB_2B_3\PI1</v>
      </c>
      <c r="AZ39" s="2" t="str">
        <f t="shared" si="12"/>
        <v>EAST_MDB_2B_3\PI2</v>
      </c>
      <c r="BA39" s="2" t="str">
        <f t="shared" si="12"/>
        <v>EAST_MDB_2B_3\PI3</v>
      </c>
    </row>
    <row r="40" spans="1:53" x14ac:dyDescent="0.25">
      <c r="A40" s="3">
        <v>33</v>
      </c>
      <c r="B40" s="3" t="s">
        <v>335</v>
      </c>
      <c r="C40" s="3" t="s">
        <v>89</v>
      </c>
      <c r="D40" s="3" t="s">
        <v>325</v>
      </c>
      <c r="E40" s="4"/>
      <c r="F40" s="2" t="str">
        <f t="shared" si="10"/>
        <v>EAST_MDB_2B_4\ST</v>
      </c>
      <c r="G40" s="2" t="str">
        <f t="shared" si="10"/>
        <v>EAST_MDB_2B_4\TRIP</v>
      </c>
      <c r="H40" s="20"/>
      <c r="I40" s="20"/>
      <c r="J40" s="20"/>
      <c r="K40" s="20"/>
      <c r="L40" s="20"/>
      <c r="M40" s="20"/>
      <c r="N40" s="20"/>
      <c r="O40" s="20"/>
      <c r="P40" s="20"/>
      <c r="Q40" s="24"/>
      <c r="R40" s="2" t="str">
        <f t="shared" si="11"/>
        <v>EAST_MDB_2B_4\V12</v>
      </c>
      <c r="S40" s="2" t="str">
        <f t="shared" si="11"/>
        <v>EAST_MDB_2B_4\V23</v>
      </c>
      <c r="T40" s="2" t="str">
        <f t="shared" si="11"/>
        <v>EAST_MDB_2B_4\V31</v>
      </c>
      <c r="U40" s="2" t="str">
        <f t="shared" si="11"/>
        <v>EAST_MDB_2B_4\V1N</v>
      </c>
      <c r="V40" s="2" t="str">
        <f t="shared" si="11"/>
        <v>EAST_MDB_2B_4\V2N</v>
      </c>
      <c r="W40" s="2" t="str">
        <f t="shared" si="11"/>
        <v>EAST_MDB_2B_4\V3N</v>
      </c>
      <c r="X40" s="2" t="str">
        <f t="shared" si="11"/>
        <v>EAST_MDB_2B_4\VA</v>
      </c>
      <c r="Y40" s="2" t="str">
        <f t="shared" si="11"/>
        <v>EAST_MDB_2B_4\A1</v>
      </c>
      <c r="Z40" s="2" t="str">
        <f t="shared" si="11"/>
        <v>EAST_MDB_2B_4\A2</v>
      </c>
      <c r="AA40" s="2" t="str">
        <f t="shared" si="11"/>
        <v>EAST_MDB_2B_4\A3</v>
      </c>
      <c r="AB40" s="2" t="str">
        <f t="shared" si="11"/>
        <v>EAST_MDB_2B_4\AA</v>
      </c>
      <c r="AC40" s="2" t="str">
        <f t="shared" si="11"/>
        <v>EAST_MDB_2B_4\PF</v>
      </c>
      <c r="AD40" s="2" t="str">
        <f t="shared" si="11"/>
        <v>EAST_MDB_2B_4\HZ</v>
      </c>
      <c r="AE40" s="2" t="str">
        <f t="shared" si="11"/>
        <v>EAST_MDB_2B_4\KW</v>
      </c>
      <c r="AF40" s="2" t="str">
        <f t="shared" si="11"/>
        <v>EAST_MDB_2B_4\KHh</v>
      </c>
      <c r="AG40" s="2" t="str">
        <f t="shared" si="11"/>
        <v>EAST_MDB_2B_4\VA</v>
      </c>
      <c r="AH40" s="2" t="str">
        <f t="shared" si="11"/>
        <v>EAST_MDB_2B_4\VAH</v>
      </c>
      <c r="AI40" s="2" t="str">
        <f t="shared" si="11"/>
        <v>EAST_MDB_2B_4\PEAK</v>
      </c>
      <c r="AJ40" s="2" t="str">
        <f t="shared" si="11"/>
        <v>EAST_MDB_2B_4\H_A_1</v>
      </c>
      <c r="AK40" s="2" t="str">
        <f t="shared" si="11"/>
        <v>EAST_MDB_2B_4\H_A_3</v>
      </c>
      <c r="AL40" s="2" t="str">
        <f t="shared" si="11"/>
        <v>EAST_MDB_2B_4\H_A_5</v>
      </c>
      <c r="AM40" s="2" t="str">
        <f t="shared" si="11"/>
        <v>EAST_MDB_2B_4\H_A_7</v>
      </c>
      <c r="AN40" s="2" t="str">
        <f t="shared" si="11"/>
        <v>EAST_MDB_2B_4\H_B_1</v>
      </c>
      <c r="AO40" s="2" t="str">
        <f t="shared" si="11"/>
        <v>EAST_MDB_2B_4\H_B_3</v>
      </c>
      <c r="AP40" s="2" t="str">
        <f t="shared" si="11"/>
        <v>EAST_MDB_2B_4\H_B_5</v>
      </c>
      <c r="AQ40" s="2" t="str">
        <f t="shared" si="11"/>
        <v>EAST_MDB_2B_4\H_B_7</v>
      </c>
      <c r="AR40" s="2" t="str">
        <f t="shared" si="11"/>
        <v>EAST_MDB_2B_4\H_C_1</v>
      </c>
      <c r="AS40" s="2" t="str">
        <f t="shared" si="11"/>
        <v>EAST_MDB_2B_4\H_C_3</v>
      </c>
      <c r="AT40" s="2" t="str">
        <f t="shared" si="11"/>
        <v>EAST_MDB_2B_4\H_C_5</v>
      </c>
      <c r="AU40" s="2" t="str">
        <f t="shared" si="11"/>
        <v>EAST_MDB_2B_4\H_C_7</v>
      </c>
      <c r="AV40" s="2" t="str">
        <f t="shared" si="12"/>
        <v>EAST_MDB_2B_4\PV1</v>
      </c>
      <c r="AW40" s="2" t="str">
        <f t="shared" si="12"/>
        <v>EAST_MDB_2B_4\PV2</v>
      </c>
      <c r="AX40" s="2" t="str">
        <f t="shared" si="12"/>
        <v>EAST_MDB_2B_4\PV3</v>
      </c>
      <c r="AY40" s="2" t="str">
        <f t="shared" si="12"/>
        <v>EAST_MDB_2B_4\PI1</v>
      </c>
      <c r="AZ40" s="2" t="str">
        <f t="shared" si="12"/>
        <v>EAST_MDB_2B_4\PI2</v>
      </c>
      <c r="BA40" s="2" t="str">
        <f t="shared" si="12"/>
        <v>EAST_MDB_2B_4\PI3</v>
      </c>
    </row>
    <row r="41" spans="1:53" x14ac:dyDescent="0.25">
      <c r="A41" s="3">
        <v>34</v>
      </c>
      <c r="B41" s="3" t="s">
        <v>335</v>
      </c>
      <c r="C41" s="3" t="s">
        <v>90</v>
      </c>
      <c r="D41" s="3" t="s">
        <v>325</v>
      </c>
      <c r="E41" s="4"/>
      <c r="F41" s="2" t="str">
        <f t="shared" si="10"/>
        <v>EAST_MDB_2B_5\ST</v>
      </c>
      <c r="G41" s="2" t="str">
        <f t="shared" si="10"/>
        <v>EAST_MDB_2B_5\TRIP</v>
      </c>
      <c r="H41" s="20"/>
      <c r="I41" s="20"/>
      <c r="J41" s="20"/>
      <c r="K41" s="20"/>
      <c r="L41" s="20"/>
      <c r="M41" s="20"/>
      <c r="N41" s="20"/>
      <c r="O41" s="20"/>
      <c r="P41" s="20"/>
      <c r="Q41" s="24"/>
      <c r="R41" s="2" t="str">
        <f t="shared" si="11"/>
        <v>EAST_MDB_2B_5\V12</v>
      </c>
      <c r="S41" s="2" t="str">
        <f t="shared" si="11"/>
        <v>EAST_MDB_2B_5\V23</v>
      </c>
      <c r="T41" s="2" t="str">
        <f t="shared" si="11"/>
        <v>EAST_MDB_2B_5\V31</v>
      </c>
      <c r="U41" s="2" t="str">
        <f t="shared" si="11"/>
        <v>EAST_MDB_2B_5\V1N</v>
      </c>
      <c r="V41" s="2" t="str">
        <f t="shared" si="11"/>
        <v>EAST_MDB_2B_5\V2N</v>
      </c>
      <c r="W41" s="2" t="str">
        <f t="shared" si="11"/>
        <v>EAST_MDB_2B_5\V3N</v>
      </c>
      <c r="X41" s="2" t="str">
        <f t="shared" si="11"/>
        <v>EAST_MDB_2B_5\VA</v>
      </c>
      <c r="Y41" s="2" t="str">
        <f t="shared" si="11"/>
        <v>EAST_MDB_2B_5\A1</v>
      </c>
      <c r="Z41" s="2" t="str">
        <f t="shared" si="11"/>
        <v>EAST_MDB_2B_5\A2</v>
      </c>
      <c r="AA41" s="2" t="str">
        <f t="shared" si="11"/>
        <v>EAST_MDB_2B_5\A3</v>
      </c>
      <c r="AB41" s="2" t="str">
        <f t="shared" si="11"/>
        <v>EAST_MDB_2B_5\AA</v>
      </c>
      <c r="AC41" s="2" t="str">
        <f t="shared" si="11"/>
        <v>EAST_MDB_2B_5\PF</v>
      </c>
      <c r="AD41" s="2" t="str">
        <f t="shared" si="11"/>
        <v>EAST_MDB_2B_5\HZ</v>
      </c>
      <c r="AE41" s="2" t="str">
        <f t="shared" si="11"/>
        <v>EAST_MDB_2B_5\KW</v>
      </c>
      <c r="AF41" s="2" t="str">
        <f t="shared" si="11"/>
        <v>EAST_MDB_2B_5\KHh</v>
      </c>
      <c r="AG41" s="2" t="str">
        <f t="shared" si="11"/>
        <v>EAST_MDB_2B_5\VA</v>
      </c>
      <c r="AH41" s="2" t="str">
        <f t="shared" si="11"/>
        <v>EAST_MDB_2B_5\VAH</v>
      </c>
      <c r="AI41" s="2" t="str">
        <f t="shared" si="11"/>
        <v>EAST_MDB_2B_5\PEAK</v>
      </c>
      <c r="AJ41" s="2" t="str">
        <f t="shared" si="11"/>
        <v>EAST_MDB_2B_5\H_A_1</v>
      </c>
      <c r="AK41" s="2" t="str">
        <f t="shared" si="11"/>
        <v>EAST_MDB_2B_5\H_A_3</v>
      </c>
      <c r="AL41" s="2" t="str">
        <f t="shared" si="11"/>
        <v>EAST_MDB_2B_5\H_A_5</v>
      </c>
      <c r="AM41" s="2" t="str">
        <f t="shared" si="11"/>
        <v>EAST_MDB_2B_5\H_A_7</v>
      </c>
      <c r="AN41" s="2" t="str">
        <f t="shared" si="11"/>
        <v>EAST_MDB_2B_5\H_B_1</v>
      </c>
      <c r="AO41" s="2" t="str">
        <f t="shared" si="11"/>
        <v>EAST_MDB_2B_5\H_B_3</v>
      </c>
      <c r="AP41" s="2" t="str">
        <f t="shared" si="11"/>
        <v>EAST_MDB_2B_5\H_B_5</v>
      </c>
      <c r="AQ41" s="2" t="str">
        <f t="shared" ref="AJ41:AU46" si="13">$C41&amp;AQ$7</f>
        <v>EAST_MDB_2B_5\H_B_7</v>
      </c>
      <c r="AR41" s="2" t="str">
        <f t="shared" si="13"/>
        <v>EAST_MDB_2B_5\H_C_1</v>
      </c>
      <c r="AS41" s="2" t="str">
        <f t="shared" si="13"/>
        <v>EAST_MDB_2B_5\H_C_3</v>
      </c>
      <c r="AT41" s="2" t="str">
        <f t="shared" si="13"/>
        <v>EAST_MDB_2B_5\H_C_5</v>
      </c>
      <c r="AU41" s="2" t="str">
        <f t="shared" si="13"/>
        <v>EAST_MDB_2B_5\H_C_7</v>
      </c>
      <c r="AV41" s="2" t="str">
        <f t="shared" si="12"/>
        <v>EAST_MDB_2B_5\PV1</v>
      </c>
      <c r="AW41" s="2" t="str">
        <f t="shared" si="12"/>
        <v>EAST_MDB_2B_5\PV2</v>
      </c>
      <c r="AX41" s="2" t="str">
        <f t="shared" si="12"/>
        <v>EAST_MDB_2B_5\PV3</v>
      </c>
      <c r="AY41" s="2" t="str">
        <f t="shared" si="12"/>
        <v>EAST_MDB_2B_5\PI1</v>
      </c>
      <c r="AZ41" s="2" t="str">
        <f t="shared" si="12"/>
        <v>EAST_MDB_2B_5\PI2</v>
      </c>
      <c r="BA41" s="2" t="str">
        <f t="shared" si="12"/>
        <v>EAST_MDB_2B_5\PI3</v>
      </c>
    </row>
    <row r="42" spans="1:53" x14ac:dyDescent="0.25">
      <c r="A42" s="3">
        <v>35</v>
      </c>
      <c r="B42" s="3" t="s">
        <v>335</v>
      </c>
      <c r="C42" s="3" t="s">
        <v>91</v>
      </c>
      <c r="D42" s="3" t="s">
        <v>325</v>
      </c>
      <c r="E42" s="4"/>
      <c r="F42" s="2" t="str">
        <f t="shared" si="10"/>
        <v>EAST_MDB_2B_6\ST</v>
      </c>
      <c r="G42" s="2" t="str">
        <f t="shared" si="10"/>
        <v>EAST_MDB_2B_6\TRIP</v>
      </c>
      <c r="H42" s="20"/>
      <c r="I42" s="20"/>
      <c r="J42" s="20"/>
      <c r="K42" s="20"/>
      <c r="L42" s="20"/>
      <c r="M42" s="20"/>
      <c r="N42" s="20"/>
      <c r="O42" s="20"/>
      <c r="P42" s="20"/>
      <c r="Q42" s="24"/>
      <c r="R42" s="2" t="str">
        <f t="shared" si="11"/>
        <v>EAST_MDB_2B_6\V12</v>
      </c>
      <c r="S42" s="2" t="str">
        <f t="shared" si="11"/>
        <v>EAST_MDB_2B_6\V23</v>
      </c>
      <c r="T42" s="2" t="str">
        <f t="shared" si="11"/>
        <v>EAST_MDB_2B_6\V31</v>
      </c>
      <c r="U42" s="2" t="str">
        <f t="shared" si="11"/>
        <v>EAST_MDB_2B_6\V1N</v>
      </c>
      <c r="V42" s="2" t="str">
        <f t="shared" si="11"/>
        <v>EAST_MDB_2B_6\V2N</v>
      </c>
      <c r="W42" s="2" t="str">
        <f t="shared" si="11"/>
        <v>EAST_MDB_2B_6\V3N</v>
      </c>
      <c r="X42" s="2" t="str">
        <f t="shared" si="11"/>
        <v>EAST_MDB_2B_6\VA</v>
      </c>
      <c r="Y42" s="2" t="str">
        <f t="shared" si="11"/>
        <v>EAST_MDB_2B_6\A1</v>
      </c>
      <c r="Z42" s="2" t="str">
        <f t="shared" si="11"/>
        <v>EAST_MDB_2B_6\A2</v>
      </c>
      <c r="AA42" s="2" t="str">
        <f t="shared" si="11"/>
        <v>EAST_MDB_2B_6\A3</v>
      </c>
      <c r="AB42" s="2" t="str">
        <f t="shared" si="11"/>
        <v>EAST_MDB_2B_6\AA</v>
      </c>
      <c r="AC42" s="2" t="str">
        <f t="shared" si="11"/>
        <v>EAST_MDB_2B_6\PF</v>
      </c>
      <c r="AD42" s="2" t="str">
        <f t="shared" si="11"/>
        <v>EAST_MDB_2B_6\HZ</v>
      </c>
      <c r="AE42" s="2" t="str">
        <f t="shared" si="11"/>
        <v>EAST_MDB_2B_6\KW</v>
      </c>
      <c r="AF42" s="2" t="str">
        <f t="shared" si="11"/>
        <v>EAST_MDB_2B_6\KHh</v>
      </c>
      <c r="AG42" s="2" t="str">
        <f t="shared" si="11"/>
        <v>EAST_MDB_2B_6\VA</v>
      </c>
      <c r="AH42" s="2" t="str">
        <f t="shared" si="11"/>
        <v>EAST_MDB_2B_6\VAH</v>
      </c>
      <c r="AI42" s="2" t="str">
        <f t="shared" si="11"/>
        <v>EAST_MDB_2B_6\PEAK</v>
      </c>
      <c r="AJ42" s="2" t="str">
        <f t="shared" si="13"/>
        <v>EAST_MDB_2B_6\H_A_1</v>
      </c>
      <c r="AK42" s="2" t="str">
        <f t="shared" si="13"/>
        <v>EAST_MDB_2B_6\H_A_3</v>
      </c>
      <c r="AL42" s="2" t="str">
        <f t="shared" si="13"/>
        <v>EAST_MDB_2B_6\H_A_5</v>
      </c>
      <c r="AM42" s="2" t="str">
        <f t="shared" si="13"/>
        <v>EAST_MDB_2B_6\H_A_7</v>
      </c>
      <c r="AN42" s="2" t="str">
        <f t="shared" si="13"/>
        <v>EAST_MDB_2B_6\H_B_1</v>
      </c>
      <c r="AO42" s="2" t="str">
        <f t="shared" si="13"/>
        <v>EAST_MDB_2B_6\H_B_3</v>
      </c>
      <c r="AP42" s="2" t="str">
        <f t="shared" si="13"/>
        <v>EAST_MDB_2B_6\H_B_5</v>
      </c>
      <c r="AQ42" s="2" t="str">
        <f t="shared" si="13"/>
        <v>EAST_MDB_2B_6\H_B_7</v>
      </c>
      <c r="AR42" s="2" t="str">
        <f t="shared" si="13"/>
        <v>EAST_MDB_2B_6\H_C_1</v>
      </c>
      <c r="AS42" s="2" t="str">
        <f t="shared" si="13"/>
        <v>EAST_MDB_2B_6\H_C_3</v>
      </c>
      <c r="AT42" s="2" t="str">
        <f t="shared" si="13"/>
        <v>EAST_MDB_2B_6\H_C_5</v>
      </c>
      <c r="AU42" s="2" t="str">
        <f t="shared" si="13"/>
        <v>EAST_MDB_2B_6\H_C_7</v>
      </c>
      <c r="AV42" s="2" t="str">
        <f t="shared" si="12"/>
        <v>EAST_MDB_2B_6\PV1</v>
      </c>
      <c r="AW42" s="2" t="str">
        <f t="shared" si="12"/>
        <v>EAST_MDB_2B_6\PV2</v>
      </c>
      <c r="AX42" s="2" t="str">
        <f t="shared" si="12"/>
        <v>EAST_MDB_2B_6\PV3</v>
      </c>
      <c r="AY42" s="2" t="str">
        <f t="shared" si="12"/>
        <v>EAST_MDB_2B_6\PI1</v>
      </c>
      <c r="AZ42" s="2" t="str">
        <f t="shared" si="12"/>
        <v>EAST_MDB_2B_6\PI2</v>
      </c>
      <c r="BA42" s="2" t="str">
        <f t="shared" si="12"/>
        <v>EAST_MDB_2B_6\PI3</v>
      </c>
    </row>
    <row r="43" spans="1:53" x14ac:dyDescent="0.25">
      <c r="A43" s="3">
        <v>36</v>
      </c>
      <c r="B43" s="3" t="s">
        <v>335</v>
      </c>
      <c r="C43" s="3" t="s">
        <v>92</v>
      </c>
      <c r="D43" s="3" t="s">
        <v>325</v>
      </c>
      <c r="E43" s="4"/>
      <c r="F43" s="2" t="str">
        <f t="shared" si="10"/>
        <v>EAST_MDB_2B_7\ST</v>
      </c>
      <c r="G43" s="2" t="str">
        <f t="shared" si="10"/>
        <v>EAST_MDB_2B_7\TRIP</v>
      </c>
      <c r="H43" s="20"/>
      <c r="I43" s="20"/>
      <c r="J43" s="20"/>
      <c r="K43" s="20"/>
      <c r="L43" s="20"/>
      <c r="M43" s="20"/>
      <c r="N43" s="20"/>
      <c r="O43" s="20"/>
      <c r="P43" s="20"/>
      <c r="Q43" s="24"/>
      <c r="R43" s="2" t="str">
        <f t="shared" si="11"/>
        <v>EAST_MDB_2B_7\V12</v>
      </c>
      <c r="S43" s="2" t="str">
        <f t="shared" si="11"/>
        <v>EAST_MDB_2B_7\V23</v>
      </c>
      <c r="T43" s="2" t="str">
        <f t="shared" si="11"/>
        <v>EAST_MDB_2B_7\V31</v>
      </c>
      <c r="U43" s="2" t="str">
        <f t="shared" si="11"/>
        <v>EAST_MDB_2B_7\V1N</v>
      </c>
      <c r="V43" s="2" t="str">
        <f t="shared" si="11"/>
        <v>EAST_MDB_2B_7\V2N</v>
      </c>
      <c r="W43" s="2" t="str">
        <f t="shared" si="11"/>
        <v>EAST_MDB_2B_7\V3N</v>
      </c>
      <c r="X43" s="2" t="str">
        <f t="shared" si="11"/>
        <v>EAST_MDB_2B_7\VA</v>
      </c>
      <c r="Y43" s="2" t="str">
        <f t="shared" si="11"/>
        <v>EAST_MDB_2B_7\A1</v>
      </c>
      <c r="Z43" s="2" t="str">
        <f t="shared" si="11"/>
        <v>EAST_MDB_2B_7\A2</v>
      </c>
      <c r="AA43" s="2" t="str">
        <f t="shared" si="11"/>
        <v>EAST_MDB_2B_7\A3</v>
      </c>
      <c r="AB43" s="2" t="str">
        <f t="shared" si="11"/>
        <v>EAST_MDB_2B_7\AA</v>
      </c>
      <c r="AC43" s="2" t="str">
        <f t="shared" si="11"/>
        <v>EAST_MDB_2B_7\PF</v>
      </c>
      <c r="AD43" s="2" t="str">
        <f t="shared" si="11"/>
        <v>EAST_MDB_2B_7\HZ</v>
      </c>
      <c r="AE43" s="2" t="str">
        <f t="shared" si="11"/>
        <v>EAST_MDB_2B_7\KW</v>
      </c>
      <c r="AF43" s="2" t="str">
        <f t="shared" si="11"/>
        <v>EAST_MDB_2B_7\KHh</v>
      </c>
      <c r="AG43" s="2" t="str">
        <f t="shared" si="11"/>
        <v>EAST_MDB_2B_7\VA</v>
      </c>
      <c r="AH43" s="2" t="str">
        <f t="shared" si="11"/>
        <v>EAST_MDB_2B_7\VAH</v>
      </c>
      <c r="AI43" s="2" t="str">
        <f t="shared" si="11"/>
        <v>EAST_MDB_2B_7\PEAK</v>
      </c>
      <c r="AJ43" s="2" t="str">
        <f t="shared" si="13"/>
        <v>EAST_MDB_2B_7\H_A_1</v>
      </c>
      <c r="AK43" s="2" t="str">
        <f t="shared" si="13"/>
        <v>EAST_MDB_2B_7\H_A_3</v>
      </c>
      <c r="AL43" s="2" t="str">
        <f t="shared" si="13"/>
        <v>EAST_MDB_2B_7\H_A_5</v>
      </c>
      <c r="AM43" s="2" t="str">
        <f t="shared" si="13"/>
        <v>EAST_MDB_2B_7\H_A_7</v>
      </c>
      <c r="AN43" s="2" t="str">
        <f t="shared" si="13"/>
        <v>EAST_MDB_2B_7\H_B_1</v>
      </c>
      <c r="AO43" s="2" t="str">
        <f t="shared" si="13"/>
        <v>EAST_MDB_2B_7\H_B_3</v>
      </c>
      <c r="AP43" s="2" t="str">
        <f t="shared" si="13"/>
        <v>EAST_MDB_2B_7\H_B_5</v>
      </c>
      <c r="AQ43" s="2" t="str">
        <f t="shared" si="13"/>
        <v>EAST_MDB_2B_7\H_B_7</v>
      </c>
      <c r="AR43" s="2" t="str">
        <f t="shared" si="13"/>
        <v>EAST_MDB_2B_7\H_C_1</v>
      </c>
      <c r="AS43" s="2" t="str">
        <f t="shared" si="13"/>
        <v>EAST_MDB_2B_7\H_C_3</v>
      </c>
      <c r="AT43" s="2" t="str">
        <f t="shared" si="13"/>
        <v>EAST_MDB_2B_7\H_C_5</v>
      </c>
      <c r="AU43" s="2" t="str">
        <f t="shared" si="13"/>
        <v>EAST_MDB_2B_7\H_C_7</v>
      </c>
      <c r="AV43" s="2" t="str">
        <f t="shared" si="12"/>
        <v>EAST_MDB_2B_7\PV1</v>
      </c>
      <c r="AW43" s="2" t="str">
        <f t="shared" si="12"/>
        <v>EAST_MDB_2B_7\PV2</v>
      </c>
      <c r="AX43" s="2" t="str">
        <f t="shared" si="12"/>
        <v>EAST_MDB_2B_7\PV3</v>
      </c>
      <c r="AY43" s="2" t="str">
        <f t="shared" si="12"/>
        <v>EAST_MDB_2B_7\PI1</v>
      </c>
      <c r="AZ43" s="2" t="str">
        <f t="shared" si="12"/>
        <v>EAST_MDB_2B_7\PI2</v>
      </c>
      <c r="BA43" s="2" t="str">
        <f t="shared" si="12"/>
        <v>EAST_MDB_2B_7\PI3</v>
      </c>
    </row>
    <row r="44" spans="1:53" x14ac:dyDescent="0.25">
      <c r="A44" s="3">
        <v>37</v>
      </c>
      <c r="B44" s="3" t="s">
        <v>335</v>
      </c>
      <c r="C44" s="3" t="s">
        <v>93</v>
      </c>
      <c r="D44" s="3" t="s">
        <v>325</v>
      </c>
      <c r="E44" s="4"/>
      <c r="F44" s="2" t="str">
        <f t="shared" si="10"/>
        <v>EAST_MDB_2B_8\ST</v>
      </c>
      <c r="G44" s="2" t="str">
        <f t="shared" si="10"/>
        <v>EAST_MDB_2B_8\TRIP</v>
      </c>
      <c r="H44" s="20"/>
      <c r="I44" s="20"/>
      <c r="J44" s="20"/>
      <c r="K44" s="20"/>
      <c r="L44" s="20"/>
      <c r="M44" s="20"/>
      <c r="N44" s="20"/>
      <c r="O44" s="20"/>
      <c r="P44" s="20"/>
      <c r="Q44" s="24"/>
      <c r="R44" s="2" t="str">
        <f t="shared" si="11"/>
        <v>EAST_MDB_2B_8\V12</v>
      </c>
      <c r="S44" s="2" t="str">
        <f t="shared" si="11"/>
        <v>EAST_MDB_2B_8\V23</v>
      </c>
      <c r="T44" s="2" t="str">
        <f t="shared" si="11"/>
        <v>EAST_MDB_2B_8\V31</v>
      </c>
      <c r="U44" s="2" t="str">
        <f t="shared" si="11"/>
        <v>EAST_MDB_2B_8\V1N</v>
      </c>
      <c r="V44" s="2" t="str">
        <f t="shared" si="11"/>
        <v>EAST_MDB_2B_8\V2N</v>
      </c>
      <c r="W44" s="2" t="str">
        <f t="shared" si="11"/>
        <v>EAST_MDB_2B_8\V3N</v>
      </c>
      <c r="X44" s="2" t="str">
        <f t="shared" si="11"/>
        <v>EAST_MDB_2B_8\VA</v>
      </c>
      <c r="Y44" s="2" t="str">
        <f t="shared" si="11"/>
        <v>EAST_MDB_2B_8\A1</v>
      </c>
      <c r="Z44" s="2" t="str">
        <f t="shared" si="11"/>
        <v>EAST_MDB_2B_8\A2</v>
      </c>
      <c r="AA44" s="2" t="str">
        <f t="shared" si="11"/>
        <v>EAST_MDB_2B_8\A3</v>
      </c>
      <c r="AB44" s="2" t="str">
        <f t="shared" si="11"/>
        <v>EAST_MDB_2B_8\AA</v>
      </c>
      <c r="AC44" s="2" t="str">
        <f t="shared" si="11"/>
        <v>EAST_MDB_2B_8\PF</v>
      </c>
      <c r="AD44" s="2" t="str">
        <f t="shared" si="11"/>
        <v>EAST_MDB_2B_8\HZ</v>
      </c>
      <c r="AE44" s="2" t="str">
        <f t="shared" si="11"/>
        <v>EAST_MDB_2B_8\KW</v>
      </c>
      <c r="AF44" s="2" t="str">
        <f t="shared" si="11"/>
        <v>EAST_MDB_2B_8\KHh</v>
      </c>
      <c r="AG44" s="2" t="str">
        <f t="shared" si="11"/>
        <v>EAST_MDB_2B_8\VA</v>
      </c>
      <c r="AH44" s="2" t="str">
        <f t="shared" si="11"/>
        <v>EAST_MDB_2B_8\VAH</v>
      </c>
      <c r="AI44" s="2" t="str">
        <f t="shared" si="11"/>
        <v>EAST_MDB_2B_8\PEAK</v>
      </c>
      <c r="AJ44" s="2" t="str">
        <f t="shared" si="13"/>
        <v>EAST_MDB_2B_8\H_A_1</v>
      </c>
      <c r="AK44" s="2" t="str">
        <f t="shared" si="13"/>
        <v>EAST_MDB_2B_8\H_A_3</v>
      </c>
      <c r="AL44" s="2" t="str">
        <f t="shared" si="13"/>
        <v>EAST_MDB_2B_8\H_A_5</v>
      </c>
      <c r="AM44" s="2" t="str">
        <f t="shared" si="13"/>
        <v>EAST_MDB_2B_8\H_A_7</v>
      </c>
      <c r="AN44" s="2" t="str">
        <f t="shared" si="13"/>
        <v>EAST_MDB_2B_8\H_B_1</v>
      </c>
      <c r="AO44" s="2" t="str">
        <f t="shared" si="13"/>
        <v>EAST_MDB_2B_8\H_B_3</v>
      </c>
      <c r="AP44" s="2" t="str">
        <f t="shared" si="13"/>
        <v>EAST_MDB_2B_8\H_B_5</v>
      </c>
      <c r="AQ44" s="2" t="str">
        <f t="shared" si="13"/>
        <v>EAST_MDB_2B_8\H_B_7</v>
      </c>
      <c r="AR44" s="2" t="str">
        <f t="shared" si="13"/>
        <v>EAST_MDB_2B_8\H_C_1</v>
      </c>
      <c r="AS44" s="2" t="str">
        <f t="shared" si="13"/>
        <v>EAST_MDB_2B_8\H_C_3</v>
      </c>
      <c r="AT44" s="2" t="str">
        <f t="shared" si="13"/>
        <v>EAST_MDB_2B_8\H_C_5</v>
      </c>
      <c r="AU44" s="2" t="str">
        <f t="shared" si="13"/>
        <v>EAST_MDB_2B_8\H_C_7</v>
      </c>
      <c r="AV44" s="2" t="str">
        <f t="shared" si="12"/>
        <v>EAST_MDB_2B_8\PV1</v>
      </c>
      <c r="AW44" s="2" t="str">
        <f t="shared" si="12"/>
        <v>EAST_MDB_2B_8\PV2</v>
      </c>
      <c r="AX44" s="2" t="str">
        <f t="shared" si="12"/>
        <v>EAST_MDB_2B_8\PV3</v>
      </c>
      <c r="AY44" s="2" t="str">
        <f t="shared" si="12"/>
        <v>EAST_MDB_2B_8\PI1</v>
      </c>
      <c r="AZ44" s="2" t="str">
        <f t="shared" si="12"/>
        <v>EAST_MDB_2B_8\PI2</v>
      </c>
      <c r="BA44" s="2" t="str">
        <f t="shared" si="12"/>
        <v>EAST_MDB_2B_8\PI3</v>
      </c>
    </row>
    <row r="45" spans="1:53" x14ac:dyDescent="0.25">
      <c r="A45" s="3">
        <v>38</v>
      </c>
      <c r="B45" s="3" t="s">
        <v>335</v>
      </c>
      <c r="C45" s="3" t="s">
        <v>94</v>
      </c>
      <c r="D45" s="3" t="s">
        <v>325</v>
      </c>
      <c r="E45" s="4"/>
      <c r="F45" s="2" t="str">
        <f t="shared" si="10"/>
        <v>EAST_MDB_2B_9\ST</v>
      </c>
      <c r="G45" s="2" t="str">
        <f t="shared" si="10"/>
        <v>EAST_MDB_2B_9\TRIP</v>
      </c>
      <c r="H45" s="20"/>
      <c r="I45" s="20"/>
      <c r="J45" s="20"/>
      <c r="K45" s="20"/>
      <c r="L45" s="20"/>
      <c r="M45" s="20"/>
      <c r="N45" s="20"/>
      <c r="O45" s="20"/>
      <c r="P45" s="20"/>
      <c r="Q45" s="24"/>
      <c r="R45" s="2" t="str">
        <f t="shared" si="11"/>
        <v>EAST_MDB_2B_9\V12</v>
      </c>
      <c r="S45" s="2" t="str">
        <f t="shared" si="11"/>
        <v>EAST_MDB_2B_9\V23</v>
      </c>
      <c r="T45" s="2" t="str">
        <f t="shared" si="11"/>
        <v>EAST_MDB_2B_9\V31</v>
      </c>
      <c r="U45" s="2" t="str">
        <f t="shared" si="11"/>
        <v>EAST_MDB_2B_9\V1N</v>
      </c>
      <c r="V45" s="2" t="str">
        <f t="shared" si="11"/>
        <v>EAST_MDB_2B_9\V2N</v>
      </c>
      <c r="W45" s="2" t="str">
        <f t="shared" si="11"/>
        <v>EAST_MDB_2B_9\V3N</v>
      </c>
      <c r="X45" s="2" t="str">
        <f t="shared" si="11"/>
        <v>EAST_MDB_2B_9\VA</v>
      </c>
      <c r="Y45" s="2" t="str">
        <f t="shared" si="11"/>
        <v>EAST_MDB_2B_9\A1</v>
      </c>
      <c r="Z45" s="2" t="str">
        <f t="shared" si="11"/>
        <v>EAST_MDB_2B_9\A2</v>
      </c>
      <c r="AA45" s="2" t="str">
        <f t="shared" si="11"/>
        <v>EAST_MDB_2B_9\A3</v>
      </c>
      <c r="AB45" s="2" t="str">
        <f t="shared" si="11"/>
        <v>EAST_MDB_2B_9\AA</v>
      </c>
      <c r="AC45" s="2" t="str">
        <f t="shared" si="11"/>
        <v>EAST_MDB_2B_9\PF</v>
      </c>
      <c r="AD45" s="2" t="str">
        <f t="shared" si="11"/>
        <v>EAST_MDB_2B_9\HZ</v>
      </c>
      <c r="AE45" s="2" t="str">
        <f t="shared" si="11"/>
        <v>EAST_MDB_2B_9\KW</v>
      </c>
      <c r="AF45" s="2" t="str">
        <f t="shared" si="11"/>
        <v>EAST_MDB_2B_9\KHh</v>
      </c>
      <c r="AG45" s="2" t="str">
        <f t="shared" si="11"/>
        <v>EAST_MDB_2B_9\VA</v>
      </c>
      <c r="AH45" s="2" t="str">
        <f t="shared" si="11"/>
        <v>EAST_MDB_2B_9\VAH</v>
      </c>
      <c r="AI45" s="2" t="str">
        <f t="shared" si="11"/>
        <v>EAST_MDB_2B_9\PEAK</v>
      </c>
      <c r="AJ45" s="2" t="str">
        <f t="shared" si="13"/>
        <v>EAST_MDB_2B_9\H_A_1</v>
      </c>
      <c r="AK45" s="2" t="str">
        <f t="shared" si="13"/>
        <v>EAST_MDB_2B_9\H_A_3</v>
      </c>
      <c r="AL45" s="2" t="str">
        <f t="shared" si="13"/>
        <v>EAST_MDB_2B_9\H_A_5</v>
      </c>
      <c r="AM45" s="2" t="str">
        <f t="shared" si="13"/>
        <v>EAST_MDB_2B_9\H_A_7</v>
      </c>
      <c r="AN45" s="2" t="str">
        <f t="shared" si="13"/>
        <v>EAST_MDB_2B_9\H_B_1</v>
      </c>
      <c r="AO45" s="2" t="str">
        <f t="shared" si="13"/>
        <v>EAST_MDB_2B_9\H_B_3</v>
      </c>
      <c r="AP45" s="2" t="str">
        <f t="shared" si="13"/>
        <v>EAST_MDB_2B_9\H_B_5</v>
      </c>
      <c r="AQ45" s="2" t="str">
        <f t="shared" si="13"/>
        <v>EAST_MDB_2B_9\H_B_7</v>
      </c>
      <c r="AR45" s="2" t="str">
        <f t="shared" si="13"/>
        <v>EAST_MDB_2B_9\H_C_1</v>
      </c>
      <c r="AS45" s="2" t="str">
        <f t="shared" si="13"/>
        <v>EAST_MDB_2B_9\H_C_3</v>
      </c>
      <c r="AT45" s="2" t="str">
        <f t="shared" si="13"/>
        <v>EAST_MDB_2B_9\H_C_5</v>
      </c>
      <c r="AU45" s="2" t="str">
        <f t="shared" si="13"/>
        <v>EAST_MDB_2B_9\H_C_7</v>
      </c>
      <c r="AV45" s="2" t="str">
        <f t="shared" si="12"/>
        <v>EAST_MDB_2B_9\PV1</v>
      </c>
      <c r="AW45" s="2" t="str">
        <f t="shared" si="12"/>
        <v>EAST_MDB_2B_9\PV2</v>
      </c>
      <c r="AX45" s="2" t="str">
        <f t="shared" si="12"/>
        <v>EAST_MDB_2B_9\PV3</v>
      </c>
      <c r="AY45" s="2" t="str">
        <f t="shared" si="12"/>
        <v>EAST_MDB_2B_9\PI1</v>
      </c>
      <c r="AZ45" s="2" t="str">
        <f t="shared" si="12"/>
        <v>EAST_MDB_2B_9\PI2</v>
      </c>
      <c r="BA45" s="2" t="str">
        <f t="shared" si="12"/>
        <v>EAST_MDB_2B_9\PI3</v>
      </c>
    </row>
    <row r="46" spans="1:53" x14ac:dyDescent="0.25">
      <c r="A46" s="3">
        <v>39</v>
      </c>
      <c r="B46" s="3" t="s">
        <v>335</v>
      </c>
      <c r="C46" s="3" t="s">
        <v>95</v>
      </c>
      <c r="D46" s="3" t="s">
        <v>325</v>
      </c>
      <c r="E46" s="4"/>
      <c r="F46" s="2" t="str">
        <f t="shared" si="10"/>
        <v>EAST_MDB_2B_10\ST</v>
      </c>
      <c r="G46" s="2" t="str">
        <f t="shared" si="10"/>
        <v>EAST_MDB_2B_10\TRIP</v>
      </c>
      <c r="H46" s="20"/>
      <c r="I46" s="20"/>
      <c r="J46" s="20"/>
      <c r="K46" s="20"/>
      <c r="L46" s="20"/>
      <c r="M46" s="20"/>
      <c r="N46" s="20"/>
      <c r="O46" s="20"/>
      <c r="P46" s="20"/>
      <c r="Q46" s="24"/>
      <c r="R46" s="2" t="str">
        <f t="shared" si="11"/>
        <v>EAST_MDB_2B_10\V12</v>
      </c>
      <c r="S46" s="2" t="str">
        <f t="shared" si="11"/>
        <v>EAST_MDB_2B_10\V23</v>
      </c>
      <c r="T46" s="2" t="str">
        <f t="shared" si="11"/>
        <v>EAST_MDB_2B_10\V31</v>
      </c>
      <c r="U46" s="2" t="str">
        <f t="shared" si="11"/>
        <v>EAST_MDB_2B_10\V1N</v>
      </c>
      <c r="V46" s="2" t="str">
        <f t="shared" si="11"/>
        <v>EAST_MDB_2B_10\V2N</v>
      </c>
      <c r="W46" s="2" t="str">
        <f t="shared" si="11"/>
        <v>EAST_MDB_2B_10\V3N</v>
      </c>
      <c r="X46" s="2" t="str">
        <f t="shared" si="11"/>
        <v>EAST_MDB_2B_10\VA</v>
      </c>
      <c r="Y46" s="2" t="str">
        <f t="shared" si="11"/>
        <v>EAST_MDB_2B_10\A1</v>
      </c>
      <c r="Z46" s="2" t="str">
        <f t="shared" si="11"/>
        <v>EAST_MDB_2B_10\A2</v>
      </c>
      <c r="AA46" s="2" t="str">
        <f t="shared" si="11"/>
        <v>EAST_MDB_2B_10\A3</v>
      </c>
      <c r="AB46" s="2" t="str">
        <f t="shared" si="11"/>
        <v>EAST_MDB_2B_10\AA</v>
      </c>
      <c r="AC46" s="2" t="str">
        <f t="shared" si="11"/>
        <v>EAST_MDB_2B_10\PF</v>
      </c>
      <c r="AD46" s="2" t="str">
        <f t="shared" si="11"/>
        <v>EAST_MDB_2B_10\HZ</v>
      </c>
      <c r="AE46" s="2" t="str">
        <f t="shared" si="11"/>
        <v>EAST_MDB_2B_10\KW</v>
      </c>
      <c r="AF46" s="2" t="str">
        <f t="shared" si="11"/>
        <v>EAST_MDB_2B_10\KHh</v>
      </c>
      <c r="AG46" s="2" t="str">
        <f t="shared" si="11"/>
        <v>EAST_MDB_2B_10\VA</v>
      </c>
      <c r="AH46" s="2" t="str">
        <f t="shared" si="11"/>
        <v>EAST_MDB_2B_10\VAH</v>
      </c>
      <c r="AI46" s="2" t="str">
        <f t="shared" si="11"/>
        <v>EAST_MDB_2B_10\PEAK</v>
      </c>
      <c r="AJ46" s="2" t="str">
        <f t="shared" si="13"/>
        <v>EAST_MDB_2B_10\H_A_1</v>
      </c>
      <c r="AK46" s="2" t="str">
        <f t="shared" si="13"/>
        <v>EAST_MDB_2B_10\H_A_3</v>
      </c>
      <c r="AL46" s="2" t="str">
        <f t="shared" si="13"/>
        <v>EAST_MDB_2B_10\H_A_5</v>
      </c>
      <c r="AM46" s="2" t="str">
        <f t="shared" si="13"/>
        <v>EAST_MDB_2B_10\H_A_7</v>
      </c>
      <c r="AN46" s="2" t="str">
        <f t="shared" si="13"/>
        <v>EAST_MDB_2B_10\H_B_1</v>
      </c>
      <c r="AO46" s="2" t="str">
        <f t="shared" si="13"/>
        <v>EAST_MDB_2B_10\H_B_3</v>
      </c>
      <c r="AP46" s="2" t="str">
        <f t="shared" si="13"/>
        <v>EAST_MDB_2B_10\H_B_5</v>
      </c>
      <c r="AQ46" s="2" t="str">
        <f t="shared" si="13"/>
        <v>EAST_MDB_2B_10\H_B_7</v>
      </c>
      <c r="AR46" s="2" t="str">
        <f t="shared" si="13"/>
        <v>EAST_MDB_2B_10\H_C_1</v>
      </c>
      <c r="AS46" s="2" t="str">
        <f t="shared" si="13"/>
        <v>EAST_MDB_2B_10\H_C_3</v>
      </c>
      <c r="AT46" s="2" t="str">
        <f t="shared" si="13"/>
        <v>EAST_MDB_2B_10\H_C_5</v>
      </c>
      <c r="AU46" s="2" t="str">
        <f t="shared" si="13"/>
        <v>EAST_MDB_2B_10\H_C_7</v>
      </c>
      <c r="AV46" s="2" t="str">
        <f t="shared" si="12"/>
        <v>EAST_MDB_2B_10\PV1</v>
      </c>
      <c r="AW46" s="2" t="str">
        <f t="shared" si="12"/>
        <v>EAST_MDB_2B_10\PV2</v>
      </c>
      <c r="AX46" s="2" t="str">
        <f t="shared" si="12"/>
        <v>EAST_MDB_2B_10\PV3</v>
      </c>
      <c r="AY46" s="2" t="str">
        <f t="shared" si="12"/>
        <v>EAST_MDB_2B_10\PI1</v>
      </c>
      <c r="AZ46" s="2" t="str">
        <f t="shared" si="12"/>
        <v>EAST_MDB_2B_10\PI2</v>
      </c>
      <c r="BA46" s="2" t="str">
        <f t="shared" si="12"/>
        <v>EAST_MDB_2B_10\PI3</v>
      </c>
    </row>
    <row r="47" spans="1:53" x14ac:dyDescent="0.25">
      <c r="A47" s="3">
        <v>40</v>
      </c>
      <c r="B47" s="3" t="s">
        <v>335</v>
      </c>
      <c r="C47" s="3" t="s">
        <v>229</v>
      </c>
      <c r="D47" s="3" t="s">
        <v>326</v>
      </c>
      <c r="E47" s="4"/>
      <c r="F47" s="2"/>
      <c r="G47" s="2"/>
      <c r="H47" s="2" t="str">
        <f>$C47&amp;H$7</f>
        <v>EAST_MDB_2C\ELD</v>
      </c>
      <c r="I47" s="20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</row>
    <row r="48" spans="1:53" x14ac:dyDescent="0.25">
      <c r="A48" s="3">
        <v>41</v>
      </c>
      <c r="B48" s="3" t="s">
        <v>335</v>
      </c>
      <c r="C48" s="3" t="s">
        <v>96</v>
      </c>
      <c r="D48" s="3" t="s">
        <v>326</v>
      </c>
      <c r="E48" s="4"/>
      <c r="F48" s="2" t="str">
        <f t="shared" ref="F48:G56" si="14">$C48&amp;F$7</f>
        <v>EAST_MDB_2C_1\ST</v>
      </c>
      <c r="G48" s="2" t="str">
        <f t="shared" si="14"/>
        <v>EAST_MDB_2C_1\TRIP</v>
      </c>
      <c r="H48" s="20"/>
      <c r="I48" s="20"/>
      <c r="J48" s="20"/>
      <c r="K48" s="20"/>
      <c r="L48" s="20"/>
      <c r="M48" s="20"/>
      <c r="N48" s="20"/>
      <c r="O48" s="20"/>
      <c r="P48" s="20"/>
      <c r="Q48" s="24"/>
      <c r="R48" s="2" t="str">
        <f t="shared" ref="R48:AU56" si="15">$C48&amp;R$7</f>
        <v>EAST_MDB_2C_1\V12</v>
      </c>
      <c r="S48" s="2" t="str">
        <f t="shared" si="15"/>
        <v>EAST_MDB_2C_1\V23</v>
      </c>
      <c r="T48" s="2" t="str">
        <f t="shared" si="15"/>
        <v>EAST_MDB_2C_1\V31</v>
      </c>
      <c r="U48" s="2" t="str">
        <f t="shared" si="15"/>
        <v>EAST_MDB_2C_1\V1N</v>
      </c>
      <c r="V48" s="2" t="str">
        <f t="shared" si="15"/>
        <v>EAST_MDB_2C_1\V2N</v>
      </c>
      <c r="W48" s="2" t="str">
        <f t="shared" si="15"/>
        <v>EAST_MDB_2C_1\V3N</v>
      </c>
      <c r="X48" s="2" t="str">
        <f t="shared" si="15"/>
        <v>EAST_MDB_2C_1\VA</v>
      </c>
      <c r="Y48" s="2" t="str">
        <f t="shared" si="15"/>
        <v>EAST_MDB_2C_1\A1</v>
      </c>
      <c r="Z48" s="2" t="str">
        <f t="shared" si="15"/>
        <v>EAST_MDB_2C_1\A2</v>
      </c>
      <c r="AA48" s="2" t="str">
        <f t="shared" si="15"/>
        <v>EAST_MDB_2C_1\A3</v>
      </c>
      <c r="AB48" s="2" t="str">
        <f t="shared" si="15"/>
        <v>EAST_MDB_2C_1\AA</v>
      </c>
      <c r="AC48" s="2" t="str">
        <f t="shared" si="15"/>
        <v>EAST_MDB_2C_1\PF</v>
      </c>
      <c r="AD48" s="2" t="str">
        <f t="shared" si="15"/>
        <v>EAST_MDB_2C_1\HZ</v>
      </c>
      <c r="AE48" s="2" t="str">
        <f t="shared" si="15"/>
        <v>EAST_MDB_2C_1\KW</v>
      </c>
      <c r="AF48" s="2" t="str">
        <f t="shared" si="15"/>
        <v>EAST_MDB_2C_1\KHh</v>
      </c>
      <c r="AG48" s="2" t="str">
        <f t="shared" si="15"/>
        <v>EAST_MDB_2C_1\VA</v>
      </c>
      <c r="AH48" s="2" t="str">
        <f t="shared" si="15"/>
        <v>EAST_MDB_2C_1\VAH</v>
      </c>
      <c r="AI48" s="2" t="str">
        <f t="shared" si="15"/>
        <v>EAST_MDB_2C_1\PEAK</v>
      </c>
      <c r="AJ48" s="2" t="str">
        <f t="shared" si="15"/>
        <v>EAST_MDB_2C_1\H_A_1</v>
      </c>
      <c r="AK48" s="2" t="str">
        <f t="shared" si="15"/>
        <v>EAST_MDB_2C_1\H_A_3</v>
      </c>
      <c r="AL48" s="2" t="str">
        <f t="shared" si="15"/>
        <v>EAST_MDB_2C_1\H_A_5</v>
      </c>
      <c r="AM48" s="2" t="str">
        <f t="shared" si="15"/>
        <v>EAST_MDB_2C_1\H_A_7</v>
      </c>
      <c r="AN48" s="2" t="str">
        <f t="shared" si="15"/>
        <v>EAST_MDB_2C_1\H_B_1</v>
      </c>
      <c r="AO48" s="2" t="str">
        <f t="shared" si="15"/>
        <v>EAST_MDB_2C_1\H_B_3</v>
      </c>
      <c r="AP48" s="2" t="str">
        <f t="shared" si="15"/>
        <v>EAST_MDB_2C_1\H_B_5</v>
      </c>
      <c r="AQ48" s="2" t="str">
        <f t="shared" si="15"/>
        <v>EAST_MDB_2C_1\H_B_7</v>
      </c>
      <c r="AR48" s="2" t="str">
        <f t="shared" si="15"/>
        <v>EAST_MDB_2C_1\H_C_1</v>
      </c>
      <c r="AS48" s="2" t="str">
        <f t="shared" si="15"/>
        <v>EAST_MDB_2C_1\H_C_3</v>
      </c>
      <c r="AT48" s="2" t="str">
        <f t="shared" si="15"/>
        <v>EAST_MDB_2C_1\H_C_5</v>
      </c>
      <c r="AU48" s="2" t="str">
        <f t="shared" si="15"/>
        <v>EAST_MDB_2C_1\H_C_7</v>
      </c>
      <c r="AV48" s="2" t="str">
        <f t="shared" ref="AV48:BA56" si="16">$C48&amp;AV$7</f>
        <v>EAST_MDB_2C_1\PV1</v>
      </c>
      <c r="AW48" s="2" t="str">
        <f t="shared" si="16"/>
        <v>EAST_MDB_2C_1\PV2</v>
      </c>
      <c r="AX48" s="2" t="str">
        <f t="shared" si="16"/>
        <v>EAST_MDB_2C_1\PV3</v>
      </c>
      <c r="AY48" s="2" t="str">
        <f t="shared" si="16"/>
        <v>EAST_MDB_2C_1\PI1</v>
      </c>
      <c r="AZ48" s="2" t="str">
        <f t="shared" si="16"/>
        <v>EAST_MDB_2C_1\PI2</v>
      </c>
      <c r="BA48" s="2" t="str">
        <f t="shared" si="16"/>
        <v>EAST_MDB_2C_1\PI3</v>
      </c>
    </row>
    <row r="49" spans="1:53" x14ac:dyDescent="0.25">
      <c r="A49" s="3">
        <v>42</v>
      </c>
      <c r="B49" s="3" t="s">
        <v>335</v>
      </c>
      <c r="C49" s="3" t="s">
        <v>97</v>
      </c>
      <c r="D49" s="3" t="s">
        <v>326</v>
      </c>
      <c r="E49" s="4"/>
      <c r="F49" s="2" t="str">
        <f t="shared" si="14"/>
        <v>EAST_MDB_2C_2\ST</v>
      </c>
      <c r="G49" s="2" t="str">
        <f t="shared" si="14"/>
        <v>EAST_MDB_2C_2\TRIP</v>
      </c>
      <c r="H49" s="20"/>
      <c r="I49" s="20"/>
      <c r="J49" s="20"/>
      <c r="K49" s="20"/>
      <c r="L49" s="20"/>
      <c r="M49" s="20"/>
      <c r="N49" s="20"/>
      <c r="O49" s="20"/>
      <c r="P49" s="20"/>
      <c r="Q49" s="24"/>
      <c r="R49" s="2" t="str">
        <f t="shared" si="15"/>
        <v>EAST_MDB_2C_2\V12</v>
      </c>
      <c r="S49" s="2" t="str">
        <f t="shared" si="15"/>
        <v>EAST_MDB_2C_2\V23</v>
      </c>
      <c r="T49" s="2" t="str">
        <f t="shared" si="15"/>
        <v>EAST_MDB_2C_2\V31</v>
      </c>
      <c r="U49" s="2" t="str">
        <f t="shared" si="15"/>
        <v>EAST_MDB_2C_2\V1N</v>
      </c>
      <c r="V49" s="2" t="str">
        <f t="shared" si="15"/>
        <v>EAST_MDB_2C_2\V2N</v>
      </c>
      <c r="W49" s="2" t="str">
        <f t="shared" si="15"/>
        <v>EAST_MDB_2C_2\V3N</v>
      </c>
      <c r="X49" s="2" t="str">
        <f t="shared" si="15"/>
        <v>EAST_MDB_2C_2\VA</v>
      </c>
      <c r="Y49" s="2" t="str">
        <f t="shared" si="15"/>
        <v>EAST_MDB_2C_2\A1</v>
      </c>
      <c r="Z49" s="2" t="str">
        <f t="shared" si="15"/>
        <v>EAST_MDB_2C_2\A2</v>
      </c>
      <c r="AA49" s="2" t="str">
        <f t="shared" si="15"/>
        <v>EAST_MDB_2C_2\A3</v>
      </c>
      <c r="AB49" s="2" t="str">
        <f t="shared" si="15"/>
        <v>EAST_MDB_2C_2\AA</v>
      </c>
      <c r="AC49" s="2" t="str">
        <f t="shared" si="15"/>
        <v>EAST_MDB_2C_2\PF</v>
      </c>
      <c r="AD49" s="2" t="str">
        <f t="shared" si="15"/>
        <v>EAST_MDB_2C_2\HZ</v>
      </c>
      <c r="AE49" s="2" t="str">
        <f t="shared" si="15"/>
        <v>EAST_MDB_2C_2\KW</v>
      </c>
      <c r="AF49" s="2" t="str">
        <f t="shared" si="15"/>
        <v>EAST_MDB_2C_2\KHh</v>
      </c>
      <c r="AG49" s="2" t="str">
        <f t="shared" si="15"/>
        <v>EAST_MDB_2C_2\VA</v>
      </c>
      <c r="AH49" s="2" t="str">
        <f t="shared" si="15"/>
        <v>EAST_MDB_2C_2\VAH</v>
      </c>
      <c r="AI49" s="2" t="str">
        <f t="shared" si="15"/>
        <v>EAST_MDB_2C_2\PEAK</v>
      </c>
      <c r="AJ49" s="2" t="str">
        <f t="shared" si="15"/>
        <v>EAST_MDB_2C_2\H_A_1</v>
      </c>
      <c r="AK49" s="2" t="str">
        <f t="shared" si="15"/>
        <v>EAST_MDB_2C_2\H_A_3</v>
      </c>
      <c r="AL49" s="2" t="str">
        <f t="shared" si="15"/>
        <v>EAST_MDB_2C_2\H_A_5</v>
      </c>
      <c r="AM49" s="2" t="str">
        <f t="shared" si="15"/>
        <v>EAST_MDB_2C_2\H_A_7</v>
      </c>
      <c r="AN49" s="2" t="str">
        <f t="shared" si="15"/>
        <v>EAST_MDB_2C_2\H_B_1</v>
      </c>
      <c r="AO49" s="2" t="str">
        <f t="shared" si="15"/>
        <v>EAST_MDB_2C_2\H_B_3</v>
      </c>
      <c r="AP49" s="2" t="str">
        <f t="shared" si="15"/>
        <v>EAST_MDB_2C_2\H_B_5</v>
      </c>
      <c r="AQ49" s="2" t="str">
        <f t="shared" si="15"/>
        <v>EAST_MDB_2C_2\H_B_7</v>
      </c>
      <c r="AR49" s="2" t="str">
        <f t="shared" si="15"/>
        <v>EAST_MDB_2C_2\H_C_1</v>
      </c>
      <c r="AS49" s="2" t="str">
        <f t="shared" si="15"/>
        <v>EAST_MDB_2C_2\H_C_3</v>
      </c>
      <c r="AT49" s="2" t="str">
        <f t="shared" si="15"/>
        <v>EAST_MDB_2C_2\H_C_5</v>
      </c>
      <c r="AU49" s="2" t="str">
        <f t="shared" si="15"/>
        <v>EAST_MDB_2C_2\H_C_7</v>
      </c>
      <c r="AV49" s="2" t="str">
        <f t="shared" si="16"/>
        <v>EAST_MDB_2C_2\PV1</v>
      </c>
      <c r="AW49" s="2" t="str">
        <f t="shared" si="16"/>
        <v>EAST_MDB_2C_2\PV2</v>
      </c>
      <c r="AX49" s="2" t="str">
        <f t="shared" si="16"/>
        <v>EAST_MDB_2C_2\PV3</v>
      </c>
      <c r="AY49" s="2" t="str">
        <f t="shared" si="16"/>
        <v>EAST_MDB_2C_2\PI1</v>
      </c>
      <c r="AZ49" s="2" t="str">
        <f t="shared" si="16"/>
        <v>EAST_MDB_2C_2\PI2</v>
      </c>
      <c r="BA49" s="2" t="str">
        <f t="shared" si="16"/>
        <v>EAST_MDB_2C_2\PI3</v>
      </c>
    </row>
    <row r="50" spans="1:53" x14ac:dyDescent="0.25">
      <c r="A50" s="3">
        <v>43</v>
      </c>
      <c r="B50" s="3" t="s">
        <v>335</v>
      </c>
      <c r="C50" s="3" t="s">
        <v>98</v>
      </c>
      <c r="D50" s="3" t="s">
        <v>326</v>
      </c>
      <c r="E50" s="4"/>
      <c r="F50" s="2" t="str">
        <f t="shared" si="14"/>
        <v>EAST_MDB_2C_3\ST</v>
      </c>
      <c r="G50" s="2" t="str">
        <f t="shared" si="14"/>
        <v>EAST_MDB_2C_3\TRIP</v>
      </c>
      <c r="H50" s="20"/>
      <c r="I50" s="20"/>
      <c r="J50" s="20"/>
      <c r="K50" s="20"/>
      <c r="L50" s="20"/>
      <c r="M50" s="20"/>
      <c r="N50" s="20"/>
      <c r="O50" s="20"/>
      <c r="P50" s="20"/>
      <c r="Q50" s="24"/>
      <c r="R50" s="2" t="str">
        <f t="shared" si="15"/>
        <v>EAST_MDB_2C_3\V12</v>
      </c>
      <c r="S50" s="2" t="str">
        <f t="shared" si="15"/>
        <v>EAST_MDB_2C_3\V23</v>
      </c>
      <c r="T50" s="2" t="str">
        <f t="shared" si="15"/>
        <v>EAST_MDB_2C_3\V31</v>
      </c>
      <c r="U50" s="2" t="str">
        <f t="shared" si="15"/>
        <v>EAST_MDB_2C_3\V1N</v>
      </c>
      <c r="V50" s="2" t="str">
        <f t="shared" si="15"/>
        <v>EAST_MDB_2C_3\V2N</v>
      </c>
      <c r="W50" s="2" t="str">
        <f t="shared" si="15"/>
        <v>EAST_MDB_2C_3\V3N</v>
      </c>
      <c r="X50" s="2" t="str">
        <f t="shared" si="15"/>
        <v>EAST_MDB_2C_3\VA</v>
      </c>
      <c r="Y50" s="2" t="str">
        <f t="shared" si="15"/>
        <v>EAST_MDB_2C_3\A1</v>
      </c>
      <c r="Z50" s="2" t="str">
        <f t="shared" si="15"/>
        <v>EAST_MDB_2C_3\A2</v>
      </c>
      <c r="AA50" s="2" t="str">
        <f t="shared" si="15"/>
        <v>EAST_MDB_2C_3\A3</v>
      </c>
      <c r="AB50" s="2" t="str">
        <f t="shared" si="15"/>
        <v>EAST_MDB_2C_3\AA</v>
      </c>
      <c r="AC50" s="2" t="str">
        <f t="shared" si="15"/>
        <v>EAST_MDB_2C_3\PF</v>
      </c>
      <c r="AD50" s="2" t="str">
        <f t="shared" si="15"/>
        <v>EAST_MDB_2C_3\HZ</v>
      </c>
      <c r="AE50" s="2" t="str">
        <f t="shared" si="15"/>
        <v>EAST_MDB_2C_3\KW</v>
      </c>
      <c r="AF50" s="2" t="str">
        <f t="shared" si="15"/>
        <v>EAST_MDB_2C_3\KHh</v>
      </c>
      <c r="AG50" s="2" t="str">
        <f t="shared" si="15"/>
        <v>EAST_MDB_2C_3\VA</v>
      </c>
      <c r="AH50" s="2" t="str">
        <f t="shared" si="15"/>
        <v>EAST_MDB_2C_3\VAH</v>
      </c>
      <c r="AI50" s="2" t="str">
        <f t="shared" si="15"/>
        <v>EAST_MDB_2C_3\PEAK</v>
      </c>
      <c r="AJ50" s="2" t="str">
        <f t="shared" si="15"/>
        <v>EAST_MDB_2C_3\H_A_1</v>
      </c>
      <c r="AK50" s="2" t="str">
        <f t="shared" si="15"/>
        <v>EAST_MDB_2C_3\H_A_3</v>
      </c>
      <c r="AL50" s="2" t="str">
        <f t="shared" si="15"/>
        <v>EAST_MDB_2C_3\H_A_5</v>
      </c>
      <c r="AM50" s="2" t="str">
        <f t="shared" si="15"/>
        <v>EAST_MDB_2C_3\H_A_7</v>
      </c>
      <c r="AN50" s="2" t="str">
        <f t="shared" si="15"/>
        <v>EAST_MDB_2C_3\H_B_1</v>
      </c>
      <c r="AO50" s="2" t="str">
        <f t="shared" si="15"/>
        <v>EAST_MDB_2C_3\H_B_3</v>
      </c>
      <c r="AP50" s="2" t="str">
        <f t="shared" si="15"/>
        <v>EAST_MDB_2C_3\H_B_5</v>
      </c>
      <c r="AQ50" s="2" t="str">
        <f t="shared" si="15"/>
        <v>EAST_MDB_2C_3\H_B_7</v>
      </c>
      <c r="AR50" s="2" t="str">
        <f t="shared" si="15"/>
        <v>EAST_MDB_2C_3\H_C_1</v>
      </c>
      <c r="AS50" s="2" t="str">
        <f t="shared" si="15"/>
        <v>EAST_MDB_2C_3\H_C_3</v>
      </c>
      <c r="AT50" s="2" t="str">
        <f t="shared" si="15"/>
        <v>EAST_MDB_2C_3\H_C_5</v>
      </c>
      <c r="AU50" s="2" t="str">
        <f t="shared" si="15"/>
        <v>EAST_MDB_2C_3\H_C_7</v>
      </c>
      <c r="AV50" s="2" t="str">
        <f t="shared" si="16"/>
        <v>EAST_MDB_2C_3\PV1</v>
      </c>
      <c r="AW50" s="2" t="str">
        <f t="shared" si="16"/>
        <v>EAST_MDB_2C_3\PV2</v>
      </c>
      <c r="AX50" s="2" t="str">
        <f t="shared" si="16"/>
        <v>EAST_MDB_2C_3\PV3</v>
      </c>
      <c r="AY50" s="2" t="str">
        <f t="shared" si="16"/>
        <v>EAST_MDB_2C_3\PI1</v>
      </c>
      <c r="AZ50" s="2" t="str">
        <f t="shared" si="16"/>
        <v>EAST_MDB_2C_3\PI2</v>
      </c>
      <c r="BA50" s="2" t="str">
        <f t="shared" si="16"/>
        <v>EAST_MDB_2C_3\PI3</v>
      </c>
    </row>
    <row r="51" spans="1:53" x14ac:dyDescent="0.25">
      <c r="A51" s="3">
        <v>44</v>
      </c>
      <c r="B51" s="3" t="s">
        <v>335</v>
      </c>
      <c r="C51" s="3" t="s">
        <v>99</v>
      </c>
      <c r="D51" s="3" t="s">
        <v>326</v>
      </c>
      <c r="E51" s="4"/>
      <c r="F51" s="2" t="str">
        <f t="shared" si="14"/>
        <v>EAST_MDB_2C_4\ST</v>
      </c>
      <c r="G51" s="2" t="str">
        <f t="shared" si="14"/>
        <v>EAST_MDB_2C_4\TRIP</v>
      </c>
      <c r="H51" s="20"/>
      <c r="I51" s="20"/>
      <c r="J51" s="20"/>
      <c r="K51" s="20"/>
      <c r="L51" s="20"/>
      <c r="M51" s="20"/>
      <c r="N51" s="20"/>
      <c r="O51" s="20"/>
      <c r="P51" s="20"/>
      <c r="Q51" s="24"/>
      <c r="R51" s="2" t="str">
        <f t="shared" si="15"/>
        <v>EAST_MDB_2C_4\V12</v>
      </c>
      <c r="S51" s="2" t="str">
        <f t="shared" si="15"/>
        <v>EAST_MDB_2C_4\V23</v>
      </c>
      <c r="T51" s="2" t="str">
        <f t="shared" si="15"/>
        <v>EAST_MDB_2C_4\V31</v>
      </c>
      <c r="U51" s="2" t="str">
        <f t="shared" si="15"/>
        <v>EAST_MDB_2C_4\V1N</v>
      </c>
      <c r="V51" s="2" t="str">
        <f t="shared" si="15"/>
        <v>EAST_MDB_2C_4\V2N</v>
      </c>
      <c r="W51" s="2" t="str">
        <f t="shared" si="15"/>
        <v>EAST_MDB_2C_4\V3N</v>
      </c>
      <c r="X51" s="2" t="str">
        <f t="shared" si="15"/>
        <v>EAST_MDB_2C_4\VA</v>
      </c>
      <c r="Y51" s="2" t="str">
        <f t="shared" si="15"/>
        <v>EAST_MDB_2C_4\A1</v>
      </c>
      <c r="Z51" s="2" t="str">
        <f t="shared" si="15"/>
        <v>EAST_MDB_2C_4\A2</v>
      </c>
      <c r="AA51" s="2" t="str">
        <f t="shared" si="15"/>
        <v>EAST_MDB_2C_4\A3</v>
      </c>
      <c r="AB51" s="2" t="str">
        <f t="shared" si="15"/>
        <v>EAST_MDB_2C_4\AA</v>
      </c>
      <c r="AC51" s="2" t="str">
        <f t="shared" si="15"/>
        <v>EAST_MDB_2C_4\PF</v>
      </c>
      <c r="AD51" s="2" t="str">
        <f t="shared" si="15"/>
        <v>EAST_MDB_2C_4\HZ</v>
      </c>
      <c r="AE51" s="2" t="str">
        <f t="shared" si="15"/>
        <v>EAST_MDB_2C_4\KW</v>
      </c>
      <c r="AF51" s="2" t="str">
        <f t="shared" si="15"/>
        <v>EAST_MDB_2C_4\KHh</v>
      </c>
      <c r="AG51" s="2" t="str">
        <f t="shared" si="15"/>
        <v>EAST_MDB_2C_4\VA</v>
      </c>
      <c r="AH51" s="2" t="str">
        <f t="shared" si="15"/>
        <v>EAST_MDB_2C_4\VAH</v>
      </c>
      <c r="AI51" s="2" t="str">
        <f t="shared" si="15"/>
        <v>EAST_MDB_2C_4\PEAK</v>
      </c>
      <c r="AJ51" s="2" t="str">
        <f t="shared" si="15"/>
        <v>EAST_MDB_2C_4\H_A_1</v>
      </c>
      <c r="AK51" s="2" t="str">
        <f t="shared" si="15"/>
        <v>EAST_MDB_2C_4\H_A_3</v>
      </c>
      <c r="AL51" s="2" t="str">
        <f t="shared" si="15"/>
        <v>EAST_MDB_2C_4\H_A_5</v>
      </c>
      <c r="AM51" s="2" t="str">
        <f t="shared" si="15"/>
        <v>EAST_MDB_2C_4\H_A_7</v>
      </c>
      <c r="AN51" s="2" t="str">
        <f t="shared" si="15"/>
        <v>EAST_MDB_2C_4\H_B_1</v>
      </c>
      <c r="AO51" s="2" t="str">
        <f t="shared" si="15"/>
        <v>EAST_MDB_2C_4\H_B_3</v>
      </c>
      <c r="AP51" s="2" t="str">
        <f t="shared" si="15"/>
        <v>EAST_MDB_2C_4\H_B_5</v>
      </c>
      <c r="AQ51" s="2" t="str">
        <f t="shared" si="15"/>
        <v>EAST_MDB_2C_4\H_B_7</v>
      </c>
      <c r="AR51" s="2" t="str">
        <f t="shared" si="15"/>
        <v>EAST_MDB_2C_4\H_C_1</v>
      </c>
      <c r="AS51" s="2" t="str">
        <f t="shared" si="15"/>
        <v>EAST_MDB_2C_4\H_C_3</v>
      </c>
      <c r="AT51" s="2" t="str">
        <f t="shared" si="15"/>
        <v>EAST_MDB_2C_4\H_C_5</v>
      </c>
      <c r="AU51" s="2" t="str">
        <f t="shared" si="15"/>
        <v>EAST_MDB_2C_4\H_C_7</v>
      </c>
      <c r="AV51" s="2" t="str">
        <f t="shared" si="16"/>
        <v>EAST_MDB_2C_4\PV1</v>
      </c>
      <c r="AW51" s="2" t="str">
        <f t="shared" si="16"/>
        <v>EAST_MDB_2C_4\PV2</v>
      </c>
      <c r="AX51" s="2" t="str">
        <f t="shared" si="16"/>
        <v>EAST_MDB_2C_4\PV3</v>
      </c>
      <c r="AY51" s="2" t="str">
        <f t="shared" si="16"/>
        <v>EAST_MDB_2C_4\PI1</v>
      </c>
      <c r="AZ51" s="2" t="str">
        <f t="shared" si="16"/>
        <v>EAST_MDB_2C_4\PI2</v>
      </c>
      <c r="BA51" s="2" t="str">
        <f t="shared" si="16"/>
        <v>EAST_MDB_2C_4\PI3</v>
      </c>
    </row>
    <row r="52" spans="1:53" x14ac:dyDescent="0.25">
      <c r="A52" s="3">
        <v>45</v>
      </c>
      <c r="B52" s="3" t="s">
        <v>335</v>
      </c>
      <c r="C52" s="3" t="s">
        <v>100</v>
      </c>
      <c r="D52" s="3" t="s">
        <v>326</v>
      </c>
      <c r="E52" s="4"/>
      <c r="F52" s="2" t="str">
        <f t="shared" si="14"/>
        <v>EAST_MDB_2C_5\ST</v>
      </c>
      <c r="G52" s="2" t="str">
        <f t="shared" si="14"/>
        <v>EAST_MDB_2C_5\TRIP</v>
      </c>
      <c r="H52" s="20"/>
      <c r="I52" s="20"/>
      <c r="J52" s="20"/>
      <c r="K52" s="20"/>
      <c r="L52" s="20"/>
      <c r="M52" s="20"/>
      <c r="N52" s="20"/>
      <c r="O52" s="20"/>
      <c r="P52" s="20"/>
      <c r="Q52" s="24"/>
      <c r="R52" s="2" t="str">
        <f t="shared" si="15"/>
        <v>EAST_MDB_2C_5\V12</v>
      </c>
      <c r="S52" s="2" t="str">
        <f t="shared" si="15"/>
        <v>EAST_MDB_2C_5\V23</v>
      </c>
      <c r="T52" s="2" t="str">
        <f t="shared" si="15"/>
        <v>EAST_MDB_2C_5\V31</v>
      </c>
      <c r="U52" s="2" t="str">
        <f t="shared" si="15"/>
        <v>EAST_MDB_2C_5\V1N</v>
      </c>
      <c r="V52" s="2" t="str">
        <f t="shared" si="15"/>
        <v>EAST_MDB_2C_5\V2N</v>
      </c>
      <c r="W52" s="2" t="str">
        <f t="shared" si="15"/>
        <v>EAST_MDB_2C_5\V3N</v>
      </c>
      <c r="X52" s="2" t="str">
        <f t="shared" si="15"/>
        <v>EAST_MDB_2C_5\VA</v>
      </c>
      <c r="Y52" s="2" t="str">
        <f t="shared" si="15"/>
        <v>EAST_MDB_2C_5\A1</v>
      </c>
      <c r="Z52" s="2" t="str">
        <f t="shared" si="15"/>
        <v>EAST_MDB_2C_5\A2</v>
      </c>
      <c r="AA52" s="2" t="str">
        <f t="shared" si="15"/>
        <v>EAST_MDB_2C_5\A3</v>
      </c>
      <c r="AB52" s="2" t="str">
        <f t="shared" si="15"/>
        <v>EAST_MDB_2C_5\AA</v>
      </c>
      <c r="AC52" s="2" t="str">
        <f t="shared" si="15"/>
        <v>EAST_MDB_2C_5\PF</v>
      </c>
      <c r="AD52" s="2" t="str">
        <f t="shared" si="15"/>
        <v>EAST_MDB_2C_5\HZ</v>
      </c>
      <c r="AE52" s="2" t="str">
        <f t="shared" si="15"/>
        <v>EAST_MDB_2C_5\KW</v>
      </c>
      <c r="AF52" s="2" t="str">
        <f t="shared" si="15"/>
        <v>EAST_MDB_2C_5\KHh</v>
      </c>
      <c r="AG52" s="2" t="str">
        <f t="shared" si="15"/>
        <v>EAST_MDB_2C_5\VA</v>
      </c>
      <c r="AH52" s="2" t="str">
        <f t="shared" si="15"/>
        <v>EAST_MDB_2C_5\VAH</v>
      </c>
      <c r="AI52" s="2" t="str">
        <f t="shared" si="15"/>
        <v>EAST_MDB_2C_5\PEAK</v>
      </c>
      <c r="AJ52" s="2" t="str">
        <f t="shared" si="15"/>
        <v>EAST_MDB_2C_5\H_A_1</v>
      </c>
      <c r="AK52" s="2" t="str">
        <f t="shared" si="15"/>
        <v>EAST_MDB_2C_5\H_A_3</v>
      </c>
      <c r="AL52" s="2" t="str">
        <f t="shared" si="15"/>
        <v>EAST_MDB_2C_5\H_A_5</v>
      </c>
      <c r="AM52" s="2" t="str">
        <f t="shared" si="15"/>
        <v>EAST_MDB_2C_5\H_A_7</v>
      </c>
      <c r="AN52" s="2" t="str">
        <f t="shared" si="15"/>
        <v>EAST_MDB_2C_5\H_B_1</v>
      </c>
      <c r="AO52" s="2" t="str">
        <f t="shared" si="15"/>
        <v>EAST_MDB_2C_5\H_B_3</v>
      </c>
      <c r="AP52" s="2" t="str">
        <f t="shared" si="15"/>
        <v>EAST_MDB_2C_5\H_B_5</v>
      </c>
      <c r="AQ52" s="2" t="str">
        <f t="shared" si="15"/>
        <v>EAST_MDB_2C_5\H_B_7</v>
      </c>
      <c r="AR52" s="2" t="str">
        <f t="shared" si="15"/>
        <v>EAST_MDB_2C_5\H_C_1</v>
      </c>
      <c r="AS52" s="2" t="str">
        <f t="shared" si="15"/>
        <v>EAST_MDB_2C_5\H_C_3</v>
      </c>
      <c r="AT52" s="2" t="str">
        <f t="shared" si="15"/>
        <v>EAST_MDB_2C_5\H_C_5</v>
      </c>
      <c r="AU52" s="2" t="str">
        <f t="shared" si="15"/>
        <v>EAST_MDB_2C_5\H_C_7</v>
      </c>
      <c r="AV52" s="2" t="str">
        <f t="shared" si="16"/>
        <v>EAST_MDB_2C_5\PV1</v>
      </c>
      <c r="AW52" s="2" t="str">
        <f t="shared" si="16"/>
        <v>EAST_MDB_2C_5\PV2</v>
      </c>
      <c r="AX52" s="2" t="str">
        <f t="shared" si="16"/>
        <v>EAST_MDB_2C_5\PV3</v>
      </c>
      <c r="AY52" s="2" t="str">
        <f t="shared" si="16"/>
        <v>EAST_MDB_2C_5\PI1</v>
      </c>
      <c r="AZ52" s="2" t="str">
        <f t="shared" si="16"/>
        <v>EAST_MDB_2C_5\PI2</v>
      </c>
      <c r="BA52" s="2" t="str">
        <f t="shared" si="16"/>
        <v>EAST_MDB_2C_5\PI3</v>
      </c>
    </row>
    <row r="53" spans="1:53" x14ac:dyDescent="0.25">
      <c r="A53" s="3">
        <v>46</v>
      </c>
      <c r="B53" s="3" t="s">
        <v>335</v>
      </c>
      <c r="C53" s="3" t="s">
        <v>101</v>
      </c>
      <c r="D53" s="3" t="s">
        <v>326</v>
      </c>
      <c r="E53" s="4"/>
      <c r="F53" s="2" t="str">
        <f t="shared" si="14"/>
        <v>EAST_MDB_2C_6\ST</v>
      </c>
      <c r="G53" s="2" t="str">
        <f t="shared" si="14"/>
        <v>EAST_MDB_2C_6\TRIP</v>
      </c>
      <c r="H53" s="20"/>
      <c r="I53" s="20"/>
      <c r="J53" s="20"/>
      <c r="K53" s="20"/>
      <c r="L53" s="20"/>
      <c r="M53" s="20"/>
      <c r="N53" s="20"/>
      <c r="O53" s="20"/>
      <c r="P53" s="20"/>
      <c r="Q53" s="24"/>
      <c r="R53" s="2" t="str">
        <f t="shared" si="15"/>
        <v>EAST_MDB_2C_6\V12</v>
      </c>
      <c r="S53" s="2" t="str">
        <f t="shared" si="15"/>
        <v>EAST_MDB_2C_6\V23</v>
      </c>
      <c r="T53" s="2" t="str">
        <f t="shared" si="15"/>
        <v>EAST_MDB_2C_6\V31</v>
      </c>
      <c r="U53" s="2" t="str">
        <f t="shared" si="15"/>
        <v>EAST_MDB_2C_6\V1N</v>
      </c>
      <c r="V53" s="2" t="str">
        <f t="shared" si="15"/>
        <v>EAST_MDB_2C_6\V2N</v>
      </c>
      <c r="W53" s="2" t="str">
        <f t="shared" si="15"/>
        <v>EAST_MDB_2C_6\V3N</v>
      </c>
      <c r="X53" s="2" t="str">
        <f t="shared" si="15"/>
        <v>EAST_MDB_2C_6\VA</v>
      </c>
      <c r="Y53" s="2" t="str">
        <f t="shared" si="15"/>
        <v>EAST_MDB_2C_6\A1</v>
      </c>
      <c r="Z53" s="2" t="str">
        <f t="shared" si="15"/>
        <v>EAST_MDB_2C_6\A2</v>
      </c>
      <c r="AA53" s="2" t="str">
        <f t="shared" si="15"/>
        <v>EAST_MDB_2C_6\A3</v>
      </c>
      <c r="AB53" s="2" t="str">
        <f t="shared" si="15"/>
        <v>EAST_MDB_2C_6\AA</v>
      </c>
      <c r="AC53" s="2" t="str">
        <f t="shared" si="15"/>
        <v>EAST_MDB_2C_6\PF</v>
      </c>
      <c r="AD53" s="2" t="str">
        <f t="shared" si="15"/>
        <v>EAST_MDB_2C_6\HZ</v>
      </c>
      <c r="AE53" s="2" t="str">
        <f t="shared" si="15"/>
        <v>EAST_MDB_2C_6\KW</v>
      </c>
      <c r="AF53" s="2" t="str">
        <f t="shared" si="15"/>
        <v>EAST_MDB_2C_6\KHh</v>
      </c>
      <c r="AG53" s="2" t="str">
        <f t="shared" si="15"/>
        <v>EAST_MDB_2C_6\VA</v>
      </c>
      <c r="AH53" s="2" t="str">
        <f t="shared" si="15"/>
        <v>EAST_MDB_2C_6\VAH</v>
      </c>
      <c r="AI53" s="2" t="str">
        <f t="shared" si="15"/>
        <v>EAST_MDB_2C_6\PEAK</v>
      </c>
      <c r="AJ53" s="2" t="str">
        <f t="shared" si="15"/>
        <v>EAST_MDB_2C_6\H_A_1</v>
      </c>
      <c r="AK53" s="2" t="str">
        <f t="shared" si="15"/>
        <v>EAST_MDB_2C_6\H_A_3</v>
      </c>
      <c r="AL53" s="2" t="str">
        <f t="shared" si="15"/>
        <v>EAST_MDB_2C_6\H_A_5</v>
      </c>
      <c r="AM53" s="2" t="str">
        <f t="shared" si="15"/>
        <v>EAST_MDB_2C_6\H_A_7</v>
      </c>
      <c r="AN53" s="2" t="str">
        <f t="shared" si="15"/>
        <v>EAST_MDB_2C_6\H_B_1</v>
      </c>
      <c r="AO53" s="2" t="str">
        <f t="shared" si="15"/>
        <v>EAST_MDB_2C_6\H_B_3</v>
      </c>
      <c r="AP53" s="2" t="str">
        <f t="shared" si="15"/>
        <v>EAST_MDB_2C_6\H_B_5</v>
      </c>
      <c r="AQ53" s="2" t="str">
        <f t="shared" si="15"/>
        <v>EAST_MDB_2C_6\H_B_7</v>
      </c>
      <c r="AR53" s="2" t="str">
        <f t="shared" si="15"/>
        <v>EAST_MDB_2C_6\H_C_1</v>
      </c>
      <c r="AS53" s="2" t="str">
        <f t="shared" si="15"/>
        <v>EAST_MDB_2C_6\H_C_3</v>
      </c>
      <c r="AT53" s="2" t="str">
        <f t="shared" si="15"/>
        <v>EAST_MDB_2C_6\H_C_5</v>
      </c>
      <c r="AU53" s="2" t="str">
        <f t="shared" si="15"/>
        <v>EAST_MDB_2C_6\H_C_7</v>
      </c>
      <c r="AV53" s="2" t="str">
        <f t="shared" si="16"/>
        <v>EAST_MDB_2C_6\PV1</v>
      </c>
      <c r="AW53" s="2" t="str">
        <f t="shared" si="16"/>
        <v>EAST_MDB_2C_6\PV2</v>
      </c>
      <c r="AX53" s="2" t="str">
        <f t="shared" si="16"/>
        <v>EAST_MDB_2C_6\PV3</v>
      </c>
      <c r="AY53" s="2" t="str">
        <f t="shared" si="16"/>
        <v>EAST_MDB_2C_6\PI1</v>
      </c>
      <c r="AZ53" s="2" t="str">
        <f t="shared" si="16"/>
        <v>EAST_MDB_2C_6\PI2</v>
      </c>
      <c r="BA53" s="2" t="str">
        <f t="shared" si="16"/>
        <v>EAST_MDB_2C_6\PI3</v>
      </c>
    </row>
    <row r="54" spans="1:53" x14ac:dyDescent="0.25">
      <c r="A54" s="3">
        <v>47</v>
      </c>
      <c r="B54" s="3" t="s">
        <v>335</v>
      </c>
      <c r="C54" s="3" t="s">
        <v>102</v>
      </c>
      <c r="D54" s="3" t="s">
        <v>326</v>
      </c>
      <c r="E54" s="4"/>
      <c r="F54" s="2" t="str">
        <f t="shared" si="14"/>
        <v>EAST_MDB_2C_7\ST</v>
      </c>
      <c r="G54" s="2" t="str">
        <f t="shared" si="14"/>
        <v>EAST_MDB_2C_7\TRIP</v>
      </c>
      <c r="H54" s="20"/>
      <c r="I54" s="20"/>
      <c r="J54" s="20"/>
      <c r="K54" s="20"/>
      <c r="L54" s="20"/>
      <c r="M54" s="20"/>
      <c r="N54" s="20"/>
      <c r="O54" s="20"/>
      <c r="P54" s="20"/>
      <c r="Q54" s="24"/>
      <c r="R54" s="2" t="str">
        <f t="shared" si="15"/>
        <v>EAST_MDB_2C_7\V12</v>
      </c>
      <c r="S54" s="2" t="str">
        <f t="shared" si="15"/>
        <v>EAST_MDB_2C_7\V23</v>
      </c>
      <c r="T54" s="2" t="str">
        <f t="shared" si="15"/>
        <v>EAST_MDB_2C_7\V31</v>
      </c>
      <c r="U54" s="2" t="str">
        <f t="shared" si="15"/>
        <v>EAST_MDB_2C_7\V1N</v>
      </c>
      <c r="V54" s="2" t="str">
        <f t="shared" si="15"/>
        <v>EAST_MDB_2C_7\V2N</v>
      </c>
      <c r="W54" s="2" t="str">
        <f t="shared" si="15"/>
        <v>EAST_MDB_2C_7\V3N</v>
      </c>
      <c r="X54" s="2" t="str">
        <f t="shared" si="15"/>
        <v>EAST_MDB_2C_7\VA</v>
      </c>
      <c r="Y54" s="2" t="str">
        <f t="shared" si="15"/>
        <v>EAST_MDB_2C_7\A1</v>
      </c>
      <c r="Z54" s="2" t="str">
        <f t="shared" si="15"/>
        <v>EAST_MDB_2C_7\A2</v>
      </c>
      <c r="AA54" s="2" t="str">
        <f t="shared" si="15"/>
        <v>EAST_MDB_2C_7\A3</v>
      </c>
      <c r="AB54" s="2" t="str">
        <f t="shared" si="15"/>
        <v>EAST_MDB_2C_7\AA</v>
      </c>
      <c r="AC54" s="2" t="str">
        <f t="shared" si="15"/>
        <v>EAST_MDB_2C_7\PF</v>
      </c>
      <c r="AD54" s="2" t="str">
        <f t="shared" si="15"/>
        <v>EAST_MDB_2C_7\HZ</v>
      </c>
      <c r="AE54" s="2" t="str">
        <f t="shared" si="15"/>
        <v>EAST_MDB_2C_7\KW</v>
      </c>
      <c r="AF54" s="2" t="str">
        <f t="shared" si="15"/>
        <v>EAST_MDB_2C_7\KHh</v>
      </c>
      <c r="AG54" s="2" t="str">
        <f t="shared" si="15"/>
        <v>EAST_MDB_2C_7\VA</v>
      </c>
      <c r="AH54" s="2" t="str">
        <f t="shared" si="15"/>
        <v>EAST_MDB_2C_7\VAH</v>
      </c>
      <c r="AI54" s="2" t="str">
        <f t="shared" si="15"/>
        <v>EAST_MDB_2C_7\PEAK</v>
      </c>
      <c r="AJ54" s="2" t="str">
        <f t="shared" si="15"/>
        <v>EAST_MDB_2C_7\H_A_1</v>
      </c>
      <c r="AK54" s="2" t="str">
        <f t="shared" si="15"/>
        <v>EAST_MDB_2C_7\H_A_3</v>
      </c>
      <c r="AL54" s="2" t="str">
        <f t="shared" si="15"/>
        <v>EAST_MDB_2C_7\H_A_5</v>
      </c>
      <c r="AM54" s="2" t="str">
        <f t="shared" ref="AJ54:AU56" si="17">$C54&amp;AM$7</f>
        <v>EAST_MDB_2C_7\H_A_7</v>
      </c>
      <c r="AN54" s="2" t="str">
        <f t="shared" si="17"/>
        <v>EAST_MDB_2C_7\H_B_1</v>
      </c>
      <c r="AO54" s="2" t="str">
        <f t="shared" si="17"/>
        <v>EAST_MDB_2C_7\H_B_3</v>
      </c>
      <c r="AP54" s="2" t="str">
        <f t="shared" si="17"/>
        <v>EAST_MDB_2C_7\H_B_5</v>
      </c>
      <c r="AQ54" s="2" t="str">
        <f t="shared" si="17"/>
        <v>EAST_MDB_2C_7\H_B_7</v>
      </c>
      <c r="AR54" s="2" t="str">
        <f t="shared" si="17"/>
        <v>EAST_MDB_2C_7\H_C_1</v>
      </c>
      <c r="AS54" s="2" t="str">
        <f t="shared" si="17"/>
        <v>EAST_MDB_2C_7\H_C_3</v>
      </c>
      <c r="AT54" s="2" t="str">
        <f t="shared" si="17"/>
        <v>EAST_MDB_2C_7\H_C_5</v>
      </c>
      <c r="AU54" s="2" t="str">
        <f t="shared" si="17"/>
        <v>EAST_MDB_2C_7\H_C_7</v>
      </c>
      <c r="AV54" s="2" t="str">
        <f t="shared" si="16"/>
        <v>EAST_MDB_2C_7\PV1</v>
      </c>
      <c r="AW54" s="2" t="str">
        <f t="shared" si="16"/>
        <v>EAST_MDB_2C_7\PV2</v>
      </c>
      <c r="AX54" s="2" t="str">
        <f t="shared" si="16"/>
        <v>EAST_MDB_2C_7\PV3</v>
      </c>
      <c r="AY54" s="2" t="str">
        <f t="shared" si="16"/>
        <v>EAST_MDB_2C_7\PI1</v>
      </c>
      <c r="AZ54" s="2" t="str">
        <f t="shared" si="16"/>
        <v>EAST_MDB_2C_7\PI2</v>
      </c>
      <c r="BA54" s="2" t="str">
        <f t="shared" si="16"/>
        <v>EAST_MDB_2C_7\PI3</v>
      </c>
    </row>
    <row r="55" spans="1:53" x14ac:dyDescent="0.25">
      <c r="A55" s="3">
        <v>48</v>
      </c>
      <c r="B55" s="3" t="s">
        <v>335</v>
      </c>
      <c r="C55" s="8" t="s">
        <v>55</v>
      </c>
      <c r="D55" s="8" t="s">
        <v>290</v>
      </c>
      <c r="E55" s="4"/>
      <c r="F55" s="2" t="str">
        <f t="shared" si="14"/>
        <v>EAST_ACB_3\ST</v>
      </c>
      <c r="G55" s="2" t="str">
        <f t="shared" si="14"/>
        <v>EAST_ACB_3\TRIP</v>
      </c>
      <c r="H55" s="20"/>
      <c r="I55" s="20"/>
      <c r="J55" s="20"/>
      <c r="K55" s="20"/>
      <c r="L55" s="20"/>
      <c r="M55" s="20"/>
      <c r="N55" s="20"/>
      <c r="O55" s="2" t="str">
        <f>$C55&amp;O$7</f>
        <v>EAST_ACB_3\50_51</v>
      </c>
      <c r="P55" s="2" t="str">
        <f t="shared" ref="P55:P56" si="18">$C55&amp;P$7</f>
        <v>EAST_ACB_3\51G</v>
      </c>
      <c r="Q55" s="24"/>
      <c r="R55" s="2" t="str">
        <f t="shared" si="15"/>
        <v>EAST_ACB_3\V12</v>
      </c>
      <c r="S55" s="2" t="str">
        <f t="shared" si="15"/>
        <v>EAST_ACB_3\V23</v>
      </c>
      <c r="T55" s="2" t="str">
        <f t="shared" si="15"/>
        <v>EAST_ACB_3\V31</v>
      </c>
      <c r="U55" s="2" t="str">
        <f t="shared" si="15"/>
        <v>EAST_ACB_3\V1N</v>
      </c>
      <c r="V55" s="2" t="str">
        <f t="shared" si="15"/>
        <v>EAST_ACB_3\V2N</v>
      </c>
      <c r="W55" s="2" t="str">
        <f t="shared" si="15"/>
        <v>EAST_ACB_3\V3N</v>
      </c>
      <c r="X55" s="2" t="str">
        <f t="shared" si="15"/>
        <v>EAST_ACB_3\VA</v>
      </c>
      <c r="Y55" s="2" t="str">
        <f t="shared" si="15"/>
        <v>EAST_ACB_3\A1</v>
      </c>
      <c r="Z55" s="2" t="str">
        <f t="shared" si="15"/>
        <v>EAST_ACB_3\A2</v>
      </c>
      <c r="AA55" s="2" t="str">
        <f t="shared" si="15"/>
        <v>EAST_ACB_3\A3</v>
      </c>
      <c r="AB55" s="2" t="str">
        <f t="shared" si="15"/>
        <v>EAST_ACB_3\AA</v>
      </c>
      <c r="AC55" s="2" t="str">
        <f t="shared" si="15"/>
        <v>EAST_ACB_3\PF</v>
      </c>
      <c r="AD55" s="2" t="str">
        <f t="shared" si="15"/>
        <v>EAST_ACB_3\HZ</v>
      </c>
      <c r="AE55" s="2" t="str">
        <f t="shared" si="15"/>
        <v>EAST_ACB_3\KW</v>
      </c>
      <c r="AF55" s="2" t="str">
        <f t="shared" si="15"/>
        <v>EAST_ACB_3\KHh</v>
      </c>
      <c r="AG55" s="2" t="str">
        <f t="shared" si="15"/>
        <v>EAST_ACB_3\VA</v>
      </c>
      <c r="AH55" s="2" t="str">
        <f t="shared" si="15"/>
        <v>EAST_ACB_3\VAH</v>
      </c>
      <c r="AI55" s="2" t="str">
        <f t="shared" si="15"/>
        <v>EAST_ACB_3\PEAK</v>
      </c>
      <c r="AJ55" s="2" t="str">
        <f t="shared" si="17"/>
        <v>EAST_ACB_3\H_A_1</v>
      </c>
      <c r="AK55" s="2" t="str">
        <f t="shared" si="17"/>
        <v>EAST_ACB_3\H_A_3</v>
      </c>
      <c r="AL55" s="2" t="str">
        <f t="shared" si="17"/>
        <v>EAST_ACB_3\H_A_5</v>
      </c>
      <c r="AM55" s="2" t="str">
        <f t="shared" si="17"/>
        <v>EAST_ACB_3\H_A_7</v>
      </c>
      <c r="AN55" s="2" t="str">
        <f t="shared" si="17"/>
        <v>EAST_ACB_3\H_B_1</v>
      </c>
      <c r="AO55" s="2" t="str">
        <f t="shared" si="17"/>
        <v>EAST_ACB_3\H_B_3</v>
      </c>
      <c r="AP55" s="2" t="str">
        <f t="shared" si="17"/>
        <v>EAST_ACB_3\H_B_5</v>
      </c>
      <c r="AQ55" s="2" t="str">
        <f t="shared" si="17"/>
        <v>EAST_ACB_3\H_B_7</v>
      </c>
      <c r="AR55" s="2" t="str">
        <f t="shared" si="17"/>
        <v>EAST_ACB_3\H_C_1</v>
      </c>
      <c r="AS55" s="2" t="str">
        <f t="shared" si="17"/>
        <v>EAST_ACB_3\H_C_3</v>
      </c>
      <c r="AT55" s="2" t="str">
        <f t="shared" si="17"/>
        <v>EAST_ACB_3\H_C_5</v>
      </c>
      <c r="AU55" s="2" t="str">
        <f t="shared" si="17"/>
        <v>EAST_ACB_3\H_C_7</v>
      </c>
      <c r="AV55" s="2" t="str">
        <f t="shared" si="16"/>
        <v>EAST_ACB_3\PV1</v>
      </c>
      <c r="AW55" s="2" t="str">
        <f t="shared" si="16"/>
        <v>EAST_ACB_3\PV2</v>
      </c>
      <c r="AX55" s="2" t="str">
        <f t="shared" si="16"/>
        <v>EAST_ACB_3\PV3</v>
      </c>
      <c r="AY55" s="2" t="str">
        <f t="shared" si="16"/>
        <v>EAST_ACB_3\PI1</v>
      </c>
      <c r="AZ55" s="2" t="str">
        <f t="shared" si="16"/>
        <v>EAST_ACB_3\PI2</v>
      </c>
      <c r="BA55" s="2" t="str">
        <f t="shared" si="16"/>
        <v>EAST_ACB_3\PI3</v>
      </c>
    </row>
    <row r="56" spans="1:53" x14ac:dyDescent="0.25">
      <c r="A56" s="3">
        <v>49</v>
      </c>
      <c r="B56" s="3" t="s">
        <v>335</v>
      </c>
      <c r="C56" s="8" t="s">
        <v>56</v>
      </c>
      <c r="D56" s="8" t="s">
        <v>290</v>
      </c>
      <c r="E56" s="4"/>
      <c r="F56" s="2" t="str">
        <f t="shared" si="14"/>
        <v>EAST_ACB_3_1\ST</v>
      </c>
      <c r="G56" s="2" t="str">
        <f t="shared" si="14"/>
        <v>EAST_ACB_3_1\TRIP</v>
      </c>
      <c r="H56" s="20"/>
      <c r="I56" s="20"/>
      <c r="J56" s="20"/>
      <c r="K56" s="20"/>
      <c r="L56" s="20"/>
      <c r="M56" s="20"/>
      <c r="N56" s="20"/>
      <c r="O56" s="2" t="str">
        <f>$C56&amp;O$7</f>
        <v>EAST_ACB_3_1\50_51</v>
      </c>
      <c r="P56" s="2" t="str">
        <f t="shared" si="18"/>
        <v>EAST_ACB_3_1\51G</v>
      </c>
      <c r="Q56" s="24"/>
      <c r="R56" s="2" t="str">
        <f t="shared" si="15"/>
        <v>EAST_ACB_3_1\V12</v>
      </c>
      <c r="S56" s="2" t="str">
        <f t="shared" si="15"/>
        <v>EAST_ACB_3_1\V23</v>
      </c>
      <c r="T56" s="2" t="str">
        <f t="shared" si="15"/>
        <v>EAST_ACB_3_1\V31</v>
      </c>
      <c r="U56" s="2" t="str">
        <f t="shared" si="15"/>
        <v>EAST_ACB_3_1\V1N</v>
      </c>
      <c r="V56" s="2" t="str">
        <f t="shared" si="15"/>
        <v>EAST_ACB_3_1\V2N</v>
      </c>
      <c r="W56" s="2" t="str">
        <f t="shared" si="15"/>
        <v>EAST_ACB_3_1\V3N</v>
      </c>
      <c r="X56" s="2" t="str">
        <f t="shared" si="15"/>
        <v>EAST_ACB_3_1\VA</v>
      </c>
      <c r="Y56" s="2" t="str">
        <f t="shared" si="15"/>
        <v>EAST_ACB_3_1\A1</v>
      </c>
      <c r="Z56" s="2" t="str">
        <f t="shared" si="15"/>
        <v>EAST_ACB_3_1\A2</v>
      </c>
      <c r="AA56" s="2" t="str">
        <f t="shared" si="15"/>
        <v>EAST_ACB_3_1\A3</v>
      </c>
      <c r="AB56" s="2" t="str">
        <f t="shared" si="15"/>
        <v>EAST_ACB_3_1\AA</v>
      </c>
      <c r="AC56" s="2" t="str">
        <f t="shared" si="15"/>
        <v>EAST_ACB_3_1\PF</v>
      </c>
      <c r="AD56" s="2" t="str">
        <f t="shared" si="15"/>
        <v>EAST_ACB_3_1\HZ</v>
      </c>
      <c r="AE56" s="2" t="str">
        <f t="shared" si="15"/>
        <v>EAST_ACB_3_1\KW</v>
      </c>
      <c r="AF56" s="2" t="str">
        <f t="shared" si="15"/>
        <v>EAST_ACB_3_1\KHh</v>
      </c>
      <c r="AG56" s="2" t="str">
        <f t="shared" si="15"/>
        <v>EAST_ACB_3_1\VA</v>
      </c>
      <c r="AH56" s="2" t="str">
        <f t="shared" si="15"/>
        <v>EAST_ACB_3_1\VAH</v>
      </c>
      <c r="AI56" s="2" t="str">
        <f t="shared" si="15"/>
        <v>EAST_ACB_3_1\PEAK</v>
      </c>
      <c r="AJ56" s="2" t="str">
        <f t="shared" si="17"/>
        <v>EAST_ACB_3_1\H_A_1</v>
      </c>
      <c r="AK56" s="2" t="str">
        <f t="shared" si="17"/>
        <v>EAST_ACB_3_1\H_A_3</v>
      </c>
      <c r="AL56" s="2" t="str">
        <f t="shared" si="17"/>
        <v>EAST_ACB_3_1\H_A_5</v>
      </c>
      <c r="AM56" s="2" t="str">
        <f t="shared" si="17"/>
        <v>EAST_ACB_3_1\H_A_7</v>
      </c>
      <c r="AN56" s="2" t="str">
        <f t="shared" si="17"/>
        <v>EAST_ACB_3_1\H_B_1</v>
      </c>
      <c r="AO56" s="2" t="str">
        <f t="shared" si="17"/>
        <v>EAST_ACB_3_1\H_B_3</v>
      </c>
      <c r="AP56" s="2" t="str">
        <f t="shared" si="17"/>
        <v>EAST_ACB_3_1\H_B_5</v>
      </c>
      <c r="AQ56" s="2" t="str">
        <f t="shared" si="17"/>
        <v>EAST_ACB_3_1\H_B_7</v>
      </c>
      <c r="AR56" s="2" t="str">
        <f t="shared" si="17"/>
        <v>EAST_ACB_3_1\H_C_1</v>
      </c>
      <c r="AS56" s="2" t="str">
        <f t="shared" si="17"/>
        <v>EAST_ACB_3_1\H_C_3</v>
      </c>
      <c r="AT56" s="2" t="str">
        <f t="shared" si="17"/>
        <v>EAST_ACB_3_1\H_C_5</v>
      </c>
      <c r="AU56" s="2" t="str">
        <f t="shared" si="17"/>
        <v>EAST_ACB_3_1\H_C_7</v>
      </c>
      <c r="AV56" s="2" t="str">
        <f t="shared" si="16"/>
        <v>EAST_ACB_3_1\PV1</v>
      </c>
      <c r="AW56" s="2" t="str">
        <f t="shared" si="16"/>
        <v>EAST_ACB_3_1\PV2</v>
      </c>
      <c r="AX56" s="2" t="str">
        <f t="shared" si="16"/>
        <v>EAST_ACB_3_1\PV3</v>
      </c>
      <c r="AY56" s="2" t="str">
        <f t="shared" si="16"/>
        <v>EAST_ACB_3_1\PI1</v>
      </c>
      <c r="AZ56" s="2" t="str">
        <f t="shared" si="16"/>
        <v>EAST_ACB_3_1\PI2</v>
      </c>
      <c r="BA56" s="2" t="str">
        <f t="shared" si="16"/>
        <v>EAST_ACB_3_1\PI3</v>
      </c>
    </row>
    <row r="57" spans="1:53" x14ac:dyDescent="0.25">
      <c r="A57" s="3">
        <v>50</v>
      </c>
      <c r="B57" s="3" t="s">
        <v>335</v>
      </c>
      <c r="C57" s="3" t="s">
        <v>252</v>
      </c>
      <c r="D57" s="3" t="s">
        <v>304</v>
      </c>
      <c r="E57" s="4"/>
      <c r="F57" s="20"/>
      <c r="G57" s="2"/>
      <c r="H57" s="2"/>
      <c r="I57" s="2" t="str">
        <f>$C57&amp;I$7</f>
        <v>EAST_TR_3\TM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</row>
    <row r="58" spans="1:53" x14ac:dyDescent="0.25">
      <c r="A58" s="3">
        <v>51</v>
      </c>
      <c r="B58" s="3" t="s">
        <v>335</v>
      </c>
      <c r="C58" s="3" t="s">
        <v>260</v>
      </c>
      <c r="D58" s="3" t="s">
        <v>312</v>
      </c>
      <c r="E58" s="4"/>
      <c r="F58" s="2" t="str">
        <f>$C58&amp;F$7</f>
        <v>EAST_CTTS_3\ST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</row>
    <row r="59" spans="1:53" x14ac:dyDescent="0.25">
      <c r="A59" s="3">
        <v>52</v>
      </c>
      <c r="B59" s="3" t="s">
        <v>335</v>
      </c>
      <c r="C59" s="3" t="s">
        <v>230</v>
      </c>
      <c r="D59" s="3" t="s">
        <v>327</v>
      </c>
      <c r="E59" s="4"/>
      <c r="F59" s="2"/>
      <c r="G59" s="2"/>
      <c r="H59" s="2" t="str">
        <f>$C59&amp;H$7</f>
        <v>EAST_MDB_3B\ELD</v>
      </c>
      <c r="I59" s="2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</row>
    <row r="60" spans="1:53" x14ac:dyDescent="0.25">
      <c r="A60" s="3">
        <v>53</v>
      </c>
      <c r="B60" s="3" t="s">
        <v>335</v>
      </c>
      <c r="C60" s="3" t="s">
        <v>103</v>
      </c>
      <c r="D60" s="3" t="s">
        <v>327</v>
      </c>
      <c r="E60" s="4"/>
      <c r="F60" s="2" t="str">
        <f t="shared" ref="F60:G69" si="19">$C60&amp;F$7</f>
        <v>EAST_MDB_3B_1\ST</v>
      </c>
      <c r="G60" s="2" t="str">
        <f t="shared" si="19"/>
        <v>EAST_MDB_3B_1\TRIP</v>
      </c>
      <c r="H60" s="20"/>
      <c r="I60" s="20"/>
      <c r="J60" s="20"/>
      <c r="K60" s="20"/>
      <c r="L60" s="20"/>
      <c r="M60" s="20"/>
      <c r="N60" s="20"/>
      <c r="O60" s="20"/>
      <c r="P60" s="20"/>
      <c r="Q60" s="24"/>
      <c r="R60" s="2" t="str">
        <f t="shared" ref="R60:AU69" si="20">$C60&amp;R$7</f>
        <v>EAST_MDB_3B_1\V12</v>
      </c>
      <c r="S60" s="2" t="str">
        <f t="shared" si="20"/>
        <v>EAST_MDB_3B_1\V23</v>
      </c>
      <c r="T60" s="2" t="str">
        <f t="shared" si="20"/>
        <v>EAST_MDB_3B_1\V31</v>
      </c>
      <c r="U60" s="2" t="str">
        <f t="shared" si="20"/>
        <v>EAST_MDB_3B_1\V1N</v>
      </c>
      <c r="V60" s="2" t="str">
        <f t="shared" si="20"/>
        <v>EAST_MDB_3B_1\V2N</v>
      </c>
      <c r="W60" s="2" t="str">
        <f t="shared" si="20"/>
        <v>EAST_MDB_3B_1\V3N</v>
      </c>
      <c r="X60" s="2" t="str">
        <f t="shared" si="20"/>
        <v>EAST_MDB_3B_1\VA</v>
      </c>
      <c r="Y60" s="2" t="str">
        <f t="shared" si="20"/>
        <v>EAST_MDB_3B_1\A1</v>
      </c>
      <c r="Z60" s="2" t="str">
        <f t="shared" si="20"/>
        <v>EAST_MDB_3B_1\A2</v>
      </c>
      <c r="AA60" s="2" t="str">
        <f t="shared" si="20"/>
        <v>EAST_MDB_3B_1\A3</v>
      </c>
      <c r="AB60" s="2" t="str">
        <f t="shared" si="20"/>
        <v>EAST_MDB_3B_1\AA</v>
      </c>
      <c r="AC60" s="2" t="str">
        <f t="shared" si="20"/>
        <v>EAST_MDB_3B_1\PF</v>
      </c>
      <c r="AD60" s="2" t="str">
        <f t="shared" si="20"/>
        <v>EAST_MDB_3B_1\HZ</v>
      </c>
      <c r="AE60" s="2" t="str">
        <f t="shared" si="20"/>
        <v>EAST_MDB_3B_1\KW</v>
      </c>
      <c r="AF60" s="2" t="str">
        <f t="shared" si="20"/>
        <v>EAST_MDB_3B_1\KHh</v>
      </c>
      <c r="AG60" s="2" t="str">
        <f t="shared" si="20"/>
        <v>EAST_MDB_3B_1\VA</v>
      </c>
      <c r="AH60" s="2" t="str">
        <f t="shared" si="20"/>
        <v>EAST_MDB_3B_1\VAH</v>
      </c>
      <c r="AI60" s="2" t="str">
        <f t="shared" si="20"/>
        <v>EAST_MDB_3B_1\PEAK</v>
      </c>
      <c r="AJ60" s="2" t="str">
        <f t="shared" si="20"/>
        <v>EAST_MDB_3B_1\H_A_1</v>
      </c>
      <c r="AK60" s="2" t="str">
        <f t="shared" si="20"/>
        <v>EAST_MDB_3B_1\H_A_3</v>
      </c>
      <c r="AL60" s="2" t="str">
        <f t="shared" si="20"/>
        <v>EAST_MDB_3B_1\H_A_5</v>
      </c>
      <c r="AM60" s="2" t="str">
        <f t="shared" si="20"/>
        <v>EAST_MDB_3B_1\H_A_7</v>
      </c>
      <c r="AN60" s="2" t="str">
        <f t="shared" si="20"/>
        <v>EAST_MDB_3B_1\H_B_1</v>
      </c>
      <c r="AO60" s="2" t="str">
        <f t="shared" si="20"/>
        <v>EAST_MDB_3B_1\H_B_3</v>
      </c>
      <c r="AP60" s="2" t="str">
        <f t="shared" si="20"/>
        <v>EAST_MDB_3B_1\H_B_5</v>
      </c>
      <c r="AQ60" s="2" t="str">
        <f t="shared" si="20"/>
        <v>EAST_MDB_3B_1\H_B_7</v>
      </c>
      <c r="AR60" s="2" t="str">
        <f t="shared" si="20"/>
        <v>EAST_MDB_3B_1\H_C_1</v>
      </c>
      <c r="AS60" s="2" t="str">
        <f t="shared" si="20"/>
        <v>EAST_MDB_3B_1\H_C_3</v>
      </c>
      <c r="AT60" s="2" t="str">
        <f t="shared" si="20"/>
        <v>EAST_MDB_3B_1\H_C_5</v>
      </c>
      <c r="AU60" s="2" t="str">
        <f t="shared" si="20"/>
        <v>EAST_MDB_3B_1\H_C_7</v>
      </c>
      <c r="AV60" s="2" t="str">
        <f t="shared" ref="AV60:BA69" si="21">$C60&amp;AV$7</f>
        <v>EAST_MDB_3B_1\PV1</v>
      </c>
      <c r="AW60" s="2" t="str">
        <f t="shared" si="21"/>
        <v>EAST_MDB_3B_1\PV2</v>
      </c>
      <c r="AX60" s="2" t="str">
        <f t="shared" si="21"/>
        <v>EAST_MDB_3B_1\PV3</v>
      </c>
      <c r="AY60" s="2" t="str">
        <f t="shared" si="21"/>
        <v>EAST_MDB_3B_1\PI1</v>
      </c>
      <c r="AZ60" s="2" t="str">
        <f t="shared" si="21"/>
        <v>EAST_MDB_3B_1\PI2</v>
      </c>
      <c r="BA60" s="2" t="str">
        <f t="shared" si="21"/>
        <v>EAST_MDB_3B_1\PI3</v>
      </c>
    </row>
    <row r="61" spans="1:53" x14ac:dyDescent="0.25">
      <c r="A61" s="3">
        <v>54</v>
      </c>
      <c r="B61" s="3" t="s">
        <v>335</v>
      </c>
      <c r="C61" s="3" t="s">
        <v>104</v>
      </c>
      <c r="D61" s="3" t="s">
        <v>327</v>
      </c>
      <c r="E61" s="4"/>
      <c r="F61" s="2" t="str">
        <f t="shared" si="19"/>
        <v>EAST_MDB_3B_2\ST</v>
      </c>
      <c r="G61" s="2" t="str">
        <f t="shared" si="19"/>
        <v>EAST_MDB_3B_2\TRIP</v>
      </c>
      <c r="H61" s="20"/>
      <c r="I61" s="20"/>
      <c r="J61" s="20"/>
      <c r="K61" s="20"/>
      <c r="L61" s="20"/>
      <c r="M61" s="20"/>
      <c r="N61" s="20"/>
      <c r="O61" s="20"/>
      <c r="P61" s="20"/>
      <c r="Q61" s="24"/>
      <c r="R61" s="2" t="str">
        <f t="shared" si="20"/>
        <v>EAST_MDB_3B_2\V12</v>
      </c>
      <c r="S61" s="2" t="str">
        <f t="shared" si="20"/>
        <v>EAST_MDB_3B_2\V23</v>
      </c>
      <c r="T61" s="2" t="str">
        <f t="shared" si="20"/>
        <v>EAST_MDB_3B_2\V31</v>
      </c>
      <c r="U61" s="2" t="str">
        <f t="shared" si="20"/>
        <v>EAST_MDB_3B_2\V1N</v>
      </c>
      <c r="V61" s="2" t="str">
        <f t="shared" si="20"/>
        <v>EAST_MDB_3B_2\V2N</v>
      </c>
      <c r="W61" s="2" t="str">
        <f t="shared" si="20"/>
        <v>EAST_MDB_3B_2\V3N</v>
      </c>
      <c r="X61" s="2" t="str">
        <f t="shared" si="20"/>
        <v>EAST_MDB_3B_2\VA</v>
      </c>
      <c r="Y61" s="2" t="str">
        <f t="shared" si="20"/>
        <v>EAST_MDB_3B_2\A1</v>
      </c>
      <c r="Z61" s="2" t="str">
        <f t="shared" si="20"/>
        <v>EAST_MDB_3B_2\A2</v>
      </c>
      <c r="AA61" s="2" t="str">
        <f t="shared" si="20"/>
        <v>EAST_MDB_3B_2\A3</v>
      </c>
      <c r="AB61" s="2" t="str">
        <f t="shared" si="20"/>
        <v>EAST_MDB_3B_2\AA</v>
      </c>
      <c r="AC61" s="2" t="str">
        <f t="shared" si="20"/>
        <v>EAST_MDB_3B_2\PF</v>
      </c>
      <c r="AD61" s="2" t="str">
        <f t="shared" si="20"/>
        <v>EAST_MDB_3B_2\HZ</v>
      </c>
      <c r="AE61" s="2" t="str">
        <f t="shared" si="20"/>
        <v>EAST_MDB_3B_2\KW</v>
      </c>
      <c r="AF61" s="2" t="str">
        <f t="shared" si="20"/>
        <v>EAST_MDB_3B_2\KHh</v>
      </c>
      <c r="AG61" s="2" t="str">
        <f t="shared" si="20"/>
        <v>EAST_MDB_3B_2\VA</v>
      </c>
      <c r="AH61" s="2" t="str">
        <f t="shared" si="20"/>
        <v>EAST_MDB_3B_2\VAH</v>
      </c>
      <c r="AI61" s="2" t="str">
        <f t="shared" si="20"/>
        <v>EAST_MDB_3B_2\PEAK</v>
      </c>
      <c r="AJ61" s="2" t="str">
        <f t="shared" si="20"/>
        <v>EAST_MDB_3B_2\H_A_1</v>
      </c>
      <c r="AK61" s="2" t="str">
        <f t="shared" si="20"/>
        <v>EAST_MDB_3B_2\H_A_3</v>
      </c>
      <c r="AL61" s="2" t="str">
        <f t="shared" si="20"/>
        <v>EAST_MDB_3B_2\H_A_5</v>
      </c>
      <c r="AM61" s="2" t="str">
        <f t="shared" si="20"/>
        <v>EAST_MDB_3B_2\H_A_7</v>
      </c>
      <c r="AN61" s="2" t="str">
        <f t="shared" si="20"/>
        <v>EAST_MDB_3B_2\H_B_1</v>
      </c>
      <c r="AO61" s="2" t="str">
        <f t="shared" si="20"/>
        <v>EAST_MDB_3B_2\H_B_3</v>
      </c>
      <c r="AP61" s="2" t="str">
        <f t="shared" si="20"/>
        <v>EAST_MDB_3B_2\H_B_5</v>
      </c>
      <c r="AQ61" s="2" t="str">
        <f t="shared" si="20"/>
        <v>EAST_MDB_3B_2\H_B_7</v>
      </c>
      <c r="AR61" s="2" t="str">
        <f t="shared" si="20"/>
        <v>EAST_MDB_3B_2\H_C_1</v>
      </c>
      <c r="AS61" s="2" t="str">
        <f t="shared" si="20"/>
        <v>EAST_MDB_3B_2\H_C_3</v>
      </c>
      <c r="AT61" s="2" t="str">
        <f t="shared" si="20"/>
        <v>EAST_MDB_3B_2\H_C_5</v>
      </c>
      <c r="AU61" s="2" t="str">
        <f t="shared" si="20"/>
        <v>EAST_MDB_3B_2\H_C_7</v>
      </c>
      <c r="AV61" s="2" t="str">
        <f t="shared" si="21"/>
        <v>EAST_MDB_3B_2\PV1</v>
      </c>
      <c r="AW61" s="2" t="str">
        <f t="shared" si="21"/>
        <v>EAST_MDB_3B_2\PV2</v>
      </c>
      <c r="AX61" s="2" t="str">
        <f t="shared" si="21"/>
        <v>EAST_MDB_3B_2\PV3</v>
      </c>
      <c r="AY61" s="2" t="str">
        <f t="shared" si="21"/>
        <v>EAST_MDB_3B_2\PI1</v>
      </c>
      <c r="AZ61" s="2" t="str">
        <f t="shared" si="21"/>
        <v>EAST_MDB_3B_2\PI2</v>
      </c>
      <c r="BA61" s="2" t="str">
        <f t="shared" si="21"/>
        <v>EAST_MDB_3B_2\PI3</v>
      </c>
    </row>
    <row r="62" spans="1:53" x14ac:dyDescent="0.25">
      <c r="A62" s="3">
        <v>55</v>
      </c>
      <c r="B62" s="3" t="s">
        <v>335</v>
      </c>
      <c r="C62" s="3" t="s">
        <v>105</v>
      </c>
      <c r="D62" s="3" t="s">
        <v>327</v>
      </c>
      <c r="E62" s="4"/>
      <c r="F62" s="2" t="str">
        <f t="shared" si="19"/>
        <v>EAST_MDB_3B_3\ST</v>
      </c>
      <c r="G62" s="2" t="str">
        <f t="shared" si="19"/>
        <v>EAST_MDB_3B_3\TRIP</v>
      </c>
      <c r="H62" s="20"/>
      <c r="I62" s="20"/>
      <c r="J62" s="20"/>
      <c r="K62" s="20"/>
      <c r="L62" s="20"/>
      <c r="M62" s="20"/>
      <c r="N62" s="20"/>
      <c r="O62" s="20"/>
      <c r="P62" s="20"/>
      <c r="Q62" s="24"/>
      <c r="R62" s="2" t="str">
        <f t="shared" si="20"/>
        <v>EAST_MDB_3B_3\V12</v>
      </c>
      <c r="S62" s="2" t="str">
        <f t="shared" si="20"/>
        <v>EAST_MDB_3B_3\V23</v>
      </c>
      <c r="T62" s="2" t="str">
        <f t="shared" si="20"/>
        <v>EAST_MDB_3B_3\V31</v>
      </c>
      <c r="U62" s="2" t="str">
        <f t="shared" si="20"/>
        <v>EAST_MDB_3B_3\V1N</v>
      </c>
      <c r="V62" s="2" t="str">
        <f t="shared" si="20"/>
        <v>EAST_MDB_3B_3\V2N</v>
      </c>
      <c r="W62" s="2" t="str">
        <f t="shared" si="20"/>
        <v>EAST_MDB_3B_3\V3N</v>
      </c>
      <c r="X62" s="2" t="str">
        <f t="shared" si="20"/>
        <v>EAST_MDB_3B_3\VA</v>
      </c>
      <c r="Y62" s="2" t="str">
        <f t="shared" si="20"/>
        <v>EAST_MDB_3B_3\A1</v>
      </c>
      <c r="Z62" s="2" t="str">
        <f t="shared" si="20"/>
        <v>EAST_MDB_3B_3\A2</v>
      </c>
      <c r="AA62" s="2" t="str">
        <f t="shared" si="20"/>
        <v>EAST_MDB_3B_3\A3</v>
      </c>
      <c r="AB62" s="2" t="str">
        <f t="shared" si="20"/>
        <v>EAST_MDB_3B_3\AA</v>
      </c>
      <c r="AC62" s="2" t="str">
        <f t="shared" si="20"/>
        <v>EAST_MDB_3B_3\PF</v>
      </c>
      <c r="AD62" s="2" t="str">
        <f t="shared" si="20"/>
        <v>EAST_MDB_3B_3\HZ</v>
      </c>
      <c r="AE62" s="2" t="str">
        <f t="shared" si="20"/>
        <v>EAST_MDB_3B_3\KW</v>
      </c>
      <c r="AF62" s="2" t="str">
        <f t="shared" si="20"/>
        <v>EAST_MDB_3B_3\KHh</v>
      </c>
      <c r="AG62" s="2" t="str">
        <f t="shared" si="20"/>
        <v>EAST_MDB_3B_3\VA</v>
      </c>
      <c r="AH62" s="2" t="str">
        <f t="shared" si="20"/>
        <v>EAST_MDB_3B_3\VAH</v>
      </c>
      <c r="AI62" s="2" t="str">
        <f t="shared" si="20"/>
        <v>EAST_MDB_3B_3\PEAK</v>
      </c>
      <c r="AJ62" s="2" t="str">
        <f t="shared" si="20"/>
        <v>EAST_MDB_3B_3\H_A_1</v>
      </c>
      <c r="AK62" s="2" t="str">
        <f t="shared" si="20"/>
        <v>EAST_MDB_3B_3\H_A_3</v>
      </c>
      <c r="AL62" s="2" t="str">
        <f t="shared" si="20"/>
        <v>EAST_MDB_3B_3\H_A_5</v>
      </c>
      <c r="AM62" s="2" t="str">
        <f t="shared" si="20"/>
        <v>EAST_MDB_3B_3\H_A_7</v>
      </c>
      <c r="AN62" s="2" t="str">
        <f t="shared" si="20"/>
        <v>EAST_MDB_3B_3\H_B_1</v>
      </c>
      <c r="AO62" s="2" t="str">
        <f t="shared" si="20"/>
        <v>EAST_MDB_3B_3\H_B_3</v>
      </c>
      <c r="AP62" s="2" t="str">
        <f t="shared" si="20"/>
        <v>EAST_MDB_3B_3\H_B_5</v>
      </c>
      <c r="AQ62" s="2" t="str">
        <f t="shared" si="20"/>
        <v>EAST_MDB_3B_3\H_B_7</v>
      </c>
      <c r="AR62" s="2" t="str">
        <f t="shared" si="20"/>
        <v>EAST_MDB_3B_3\H_C_1</v>
      </c>
      <c r="AS62" s="2" t="str">
        <f t="shared" si="20"/>
        <v>EAST_MDB_3B_3\H_C_3</v>
      </c>
      <c r="AT62" s="2" t="str">
        <f t="shared" si="20"/>
        <v>EAST_MDB_3B_3\H_C_5</v>
      </c>
      <c r="AU62" s="2" t="str">
        <f t="shared" si="20"/>
        <v>EAST_MDB_3B_3\H_C_7</v>
      </c>
      <c r="AV62" s="2" t="str">
        <f t="shared" si="21"/>
        <v>EAST_MDB_3B_3\PV1</v>
      </c>
      <c r="AW62" s="2" t="str">
        <f t="shared" si="21"/>
        <v>EAST_MDB_3B_3\PV2</v>
      </c>
      <c r="AX62" s="2" t="str">
        <f t="shared" si="21"/>
        <v>EAST_MDB_3B_3\PV3</v>
      </c>
      <c r="AY62" s="2" t="str">
        <f t="shared" si="21"/>
        <v>EAST_MDB_3B_3\PI1</v>
      </c>
      <c r="AZ62" s="2" t="str">
        <f t="shared" si="21"/>
        <v>EAST_MDB_3B_3\PI2</v>
      </c>
      <c r="BA62" s="2" t="str">
        <f t="shared" si="21"/>
        <v>EAST_MDB_3B_3\PI3</v>
      </c>
    </row>
    <row r="63" spans="1:53" x14ac:dyDescent="0.25">
      <c r="A63" s="3">
        <v>56</v>
      </c>
      <c r="B63" s="3" t="s">
        <v>335</v>
      </c>
      <c r="C63" s="3" t="s">
        <v>106</v>
      </c>
      <c r="D63" s="3" t="s">
        <v>327</v>
      </c>
      <c r="E63" s="4"/>
      <c r="F63" s="2" t="str">
        <f t="shared" si="19"/>
        <v>EAST_MDB_3B_4\ST</v>
      </c>
      <c r="G63" s="2" t="str">
        <f t="shared" si="19"/>
        <v>EAST_MDB_3B_4\TRIP</v>
      </c>
      <c r="H63" s="20"/>
      <c r="I63" s="20"/>
      <c r="J63" s="20"/>
      <c r="K63" s="20"/>
      <c r="L63" s="20"/>
      <c r="M63" s="20"/>
      <c r="N63" s="20"/>
      <c r="O63" s="20"/>
      <c r="P63" s="20"/>
      <c r="Q63" s="24"/>
      <c r="R63" s="2" t="str">
        <f t="shared" si="20"/>
        <v>EAST_MDB_3B_4\V12</v>
      </c>
      <c r="S63" s="2" t="str">
        <f t="shared" si="20"/>
        <v>EAST_MDB_3B_4\V23</v>
      </c>
      <c r="T63" s="2" t="str">
        <f t="shared" si="20"/>
        <v>EAST_MDB_3B_4\V31</v>
      </c>
      <c r="U63" s="2" t="str">
        <f t="shared" si="20"/>
        <v>EAST_MDB_3B_4\V1N</v>
      </c>
      <c r="V63" s="2" t="str">
        <f t="shared" si="20"/>
        <v>EAST_MDB_3B_4\V2N</v>
      </c>
      <c r="W63" s="2" t="str">
        <f t="shared" si="20"/>
        <v>EAST_MDB_3B_4\V3N</v>
      </c>
      <c r="X63" s="2" t="str">
        <f t="shared" si="20"/>
        <v>EAST_MDB_3B_4\VA</v>
      </c>
      <c r="Y63" s="2" t="str">
        <f t="shared" si="20"/>
        <v>EAST_MDB_3B_4\A1</v>
      </c>
      <c r="Z63" s="2" t="str">
        <f t="shared" si="20"/>
        <v>EAST_MDB_3B_4\A2</v>
      </c>
      <c r="AA63" s="2" t="str">
        <f t="shared" si="20"/>
        <v>EAST_MDB_3B_4\A3</v>
      </c>
      <c r="AB63" s="2" t="str">
        <f t="shared" si="20"/>
        <v>EAST_MDB_3B_4\AA</v>
      </c>
      <c r="AC63" s="2" t="str">
        <f t="shared" si="20"/>
        <v>EAST_MDB_3B_4\PF</v>
      </c>
      <c r="AD63" s="2" t="str">
        <f t="shared" si="20"/>
        <v>EAST_MDB_3B_4\HZ</v>
      </c>
      <c r="AE63" s="2" t="str">
        <f t="shared" si="20"/>
        <v>EAST_MDB_3B_4\KW</v>
      </c>
      <c r="AF63" s="2" t="str">
        <f t="shared" si="20"/>
        <v>EAST_MDB_3B_4\KHh</v>
      </c>
      <c r="AG63" s="2" t="str">
        <f t="shared" si="20"/>
        <v>EAST_MDB_3B_4\VA</v>
      </c>
      <c r="AH63" s="2" t="str">
        <f t="shared" si="20"/>
        <v>EAST_MDB_3B_4\VAH</v>
      </c>
      <c r="AI63" s="2" t="str">
        <f t="shared" si="20"/>
        <v>EAST_MDB_3B_4\PEAK</v>
      </c>
      <c r="AJ63" s="2" t="str">
        <f t="shared" si="20"/>
        <v>EAST_MDB_3B_4\H_A_1</v>
      </c>
      <c r="AK63" s="2" t="str">
        <f t="shared" si="20"/>
        <v>EAST_MDB_3B_4\H_A_3</v>
      </c>
      <c r="AL63" s="2" t="str">
        <f t="shared" si="20"/>
        <v>EAST_MDB_3B_4\H_A_5</v>
      </c>
      <c r="AM63" s="2" t="str">
        <f t="shared" si="20"/>
        <v>EAST_MDB_3B_4\H_A_7</v>
      </c>
      <c r="AN63" s="2" t="str">
        <f t="shared" si="20"/>
        <v>EAST_MDB_3B_4\H_B_1</v>
      </c>
      <c r="AO63" s="2" t="str">
        <f t="shared" si="20"/>
        <v>EAST_MDB_3B_4\H_B_3</v>
      </c>
      <c r="AP63" s="2" t="str">
        <f t="shared" si="20"/>
        <v>EAST_MDB_3B_4\H_B_5</v>
      </c>
      <c r="AQ63" s="2" t="str">
        <f t="shared" si="20"/>
        <v>EAST_MDB_3B_4\H_B_7</v>
      </c>
      <c r="AR63" s="2" t="str">
        <f t="shared" si="20"/>
        <v>EAST_MDB_3B_4\H_C_1</v>
      </c>
      <c r="AS63" s="2" t="str">
        <f t="shared" si="20"/>
        <v>EAST_MDB_3B_4\H_C_3</v>
      </c>
      <c r="AT63" s="2" t="str">
        <f t="shared" si="20"/>
        <v>EAST_MDB_3B_4\H_C_5</v>
      </c>
      <c r="AU63" s="2" t="str">
        <f t="shared" si="20"/>
        <v>EAST_MDB_3B_4\H_C_7</v>
      </c>
      <c r="AV63" s="2" t="str">
        <f t="shared" si="21"/>
        <v>EAST_MDB_3B_4\PV1</v>
      </c>
      <c r="AW63" s="2" t="str">
        <f t="shared" si="21"/>
        <v>EAST_MDB_3B_4\PV2</v>
      </c>
      <c r="AX63" s="2" t="str">
        <f t="shared" si="21"/>
        <v>EAST_MDB_3B_4\PV3</v>
      </c>
      <c r="AY63" s="2" t="str">
        <f t="shared" si="21"/>
        <v>EAST_MDB_3B_4\PI1</v>
      </c>
      <c r="AZ63" s="2" t="str">
        <f t="shared" si="21"/>
        <v>EAST_MDB_3B_4\PI2</v>
      </c>
      <c r="BA63" s="2" t="str">
        <f t="shared" si="21"/>
        <v>EAST_MDB_3B_4\PI3</v>
      </c>
    </row>
    <row r="64" spans="1:53" x14ac:dyDescent="0.25">
      <c r="A64" s="3">
        <v>57</v>
      </c>
      <c r="B64" s="3" t="s">
        <v>335</v>
      </c>
      <c r="C64" s="3" t="s">
        <v>107</v>
      </c>
      <c r="D64" s="3" t="s">
        <v>327</v>
      </c>
      <c r="E64" s="4"/>
      <c r="F64" s="2" t="str">
        <f t="shared" si="19"/>
        <v>EAST_MDB_3B_5\ST</v>
      </c>
      <c r="G64" s="2" t="str">
        <f t="shared" si="19"/>
        <v>EAST_MDB_3B_5\TRIP</v>
      </c>
      <c r="H64" s="20"/>
      <c r="I64" s="20"/>
      <c r="J64" s="20"/>
      <c r="K64" s="20"/>
      <c r="L64" s="20"/>
      <c r="M64" s="20"/>
      <c r="N64" s="20"/>
      <c r="O64" s="20"/>
      <c r="P64" s="20"/>
      <c r="Q64" s="24"/>
      <c r="R64" s="2" t="str">
        <f t="shared" si="20"/>
        <v>EAST_MDB_3B_5\V12</v>
      </c>
      <c r="S64" s="2" t="str">
        <f t="shared" si="20"/>
        <v>EAST_MDB_3B_5\V23</v>
      </c>
      <c r="T64" s="2" t="str">
        <f t="shared" si="20"/>
        <v>EAST_MDB_3B_5\V31</v>
      </c>
      <c r="U64" s="2" t="str">
        <f t="shared" si="20"/>
        <v>EAST_MDB_3B_5\V1N</v>
      </c>
      <c r="V64" s="2" t="str">
        <f t="shared" si="20"/>
        <v>EAST_MDB_3B_5\V2N</v>
      </c>
      <c r="W64" s="2" t="str">
        <f t="shared" si="20"/>
        <v>EAST_MDB_3B_5\V3N</v>
      </c>
      <c r="X64" s="2" t="str">
        <f t="shared" si="20"/>
        <v>EAST_MDB_3B_5\VA</v>
      </c>
      <c r="Y64" s="2" t="str">
        <f t="shared" si="20"/>
        <v>EAST_MDB_3B_5\A1</v>
      </c>
      <c r="Z64" s="2" t="str">
        <f t="shared" si="20"/>
        <v>EAST_MDB_3B_5\A2</v>
      </c>
      <c r="AA64" s="2" t="str">
        <f t="shared" si="20"/>
        <v>EAST_MDB_3B_5\A3</v>
      </c>
      <c r="AB64" s="2" t="str">
        <f t="shared" si="20"/>
        <v>EAST_MDB_3B_5\AA</v>
      </c>
      <c r="AC64" s="2" t="str">
        <f t="shared" si="20"/>
        <v>EAST_MDB_3B_5\PF</v>
      </c>
      <c r="AD64" s="2" t="str">
        <f t="shared" si="20"/>
        <v>EAST_MDB_3B_5\HZ</v>
      </c>
      <c r="AE64" s="2" t="str">
        <f t="shared" si="20"/>
        <v>EAST_MDB_3B_5\KW</v>
      </c>
      <c r="AF64" s="2" t="str">
        <f t="shared" si="20"/>
        <v>EAST_MDB_3B_5\KHh</v>
      </c>
      <c r="AG64" s="2" t="str">
        <f t="shared" si="20"/>
        <v>EAST_MDB_3B_5\VA</v>
      </c>
      <c r="AH64" s="2" t="str">
        <f t="shared" si="20"/>
        <v>EAST_MDB_3B_5\VAH</v>
      </c>
      <c r="AI64" s="2" t="str">
        <f t="shared" si="20"/>
        <v>EAST_MDB_3B_5\PEAK</v>
      </c>
      <c r="AJ64" s="2" t="str">
        <f t="shared" si="20"/>
        <v>EAST_MDB_3B_5\H_A_1</v>
      </c>
      <c r="AK64" s="2" t="str">
        <f t="shared" si="20"/>
        <v>EAST_MDB_3B_5\H_A_3</v>
      </c>
      <c r="AL64" s="2" t="str">
        <f t="shared" si="20"/>
        <v>EAST_MDB_3B_5\H_A_5</v>
      </c>
      <c r="AM64" s="2" t="str">
        <f t="shared" si="20"/>
        <v>EAST_MDB_3B_5\H_A_7</v>
      </c>
      <c r="AN64" s="2" t="str">
        <f t="shared" si="20"/>
        <v>EAST_MDB_3B_5\H_B_1</v>
      </c>
      <c r="AO64" s="2" t="str">
        <f t="shared" si="20"/>
        <v>EAST_MDB_3B_5\H_B_3</v>
      </c>
      <c r="AP64" s="2" t="str">
        <f t="shared" si="20"/>
        <v>EAST_MDB_3B_5\H_B_5</v>
      </c>
      <c r="AQ64" s="2" t="str">
        <f t="shared" ref="AJ64:AU69" si="22">$C64&amp;AQ$7</f>
        <v>EAST_MDB_3B_5\H_B_7</v>
      </c>
      <c r="AR64" s="2" t="str">
        <f t="shared" si="22"/>
        <v>EAST_MDB_3B_5\H_C_1</v>
      </c>
      <c r="AS64" s="2" t="str">
        <f t="shared" si="22"/>
        <v>EAST_MDB_3B_5\H_C_3</v>
      </c>
      <c r="AT64" s="2" t="str">
        <f t="shared" si="22"/>
        <v>EAST_MDB_3B_5\H_C_5</v>
      </c>
      <c r="AU64" s="2" t="str">
        <f t="shared" si="22"/>
        <v>EAST_MDB_3B_5\H_C_7</v>
      </c>
      <c r="AV64" s="2" t="str">
        <f t="shared" si="21"/>
        <v>EAST_MDB_3B_5\PV1</v>
      </c>
      <c r="AW64" s="2" t="str">
        <f t="shared" si="21"/>
        <v>EAST_MDB_3B_5\PV2</v>
      </c>
      <c r="AX64" s="2" t="str">
        <f t="shared" si="21"/>
        <v>EAST_MDB_3B_5\PV3</v>
      </c>
      <c r="AY64" s="2" t="str">
        <f t="shared" si="21"/>
        <v>EAST_MDB_3B_5\PI1</v>
      </c>
      <c r="AZ64" s="2" t="str">
        <f t="shared" si="21"/>
        <v>EAST_MDB_3B_5\PI2</v>
      </c>
      <c r="BA64" s="2" t="str">
        <f t="shared" si="21"/>
        <v>EAST_MDB_3B_5\PI3</v>
      </c>
    </row>
    <row r="65" spans="1:53" x14ac:dyDescent="0.25">
      <c r="A65" s="3">
        <v>58</v>
      </c>
      <c r="B65" s="3" t="s">
        <v>335</v>
      </c>
      <c r="C65" s="3" t="s">
        <v>108</v>
      </c>
      <c r="D65" s="3" t="s">
        <v>327</v>
      </c>
      <c r="E65" s="4"/>
      <c r="F65" s="2" t="str">
        <f t="shared" si="19"/>
        <v>EAST_MDB_3B_6\ST</v>
      </c>
      <c r="G65" s="2" t="str">
        <f t="shared" si="19"/>
        <v>EAST_MDB_3B_6\TRIP</v>
      </c>
      <c r="H65" s="20"/>
      <c r="I65" s="20"/>
      <c r="J65" s="20"/>
      <c r="K65" s="20"/>
      <c r="L65" s="20"/>
      <c r="M65" s="20"/>
      <c r="N65" s="20"/>
      <c r="O65" s="20"/>
      <c r="P65" s="20"/>
      <c r="Q65" s="24"/>
      <c r="R65" s="2" t="str">
        <f t="shared" si="20"/>
        <v>EAST_MDB_3B_6\V12</v>
      </c>
      <c r="S65" s="2" t="str">
        <f t="shared" si="20"/>
        <v>EAST_MDB_3B_6\V23</v>
      </c>
      <c r="T65" s="2" t="str">
        <f t="shared" si="20"/>
        <v>EAST_MDB_3B_6\V31</v>
      </c>
      <c r="U65" s="2" t="str">
        <f t="shared" si="20"/>
        <v>EAST_MDB_3B_6\V1N</v>
      </c>
      <c r="V65" s="2" t="str">
        <f t="shared" si="20"/>
        <v>EAST_MDB_3B_6\V2N</v>
      </c>
      <c r="W65" s="2" t="str">
        <f t="shared" si="20"/>
        <v>EAST_MDB_3B_6\V3N</v>
      </c>
      <c r="X65" s="2" t="str">
        <f t="shared" si="20"/>
        <v>EAST_MDB_3B_6\VA</v>
      </c>
      <c r="Y65" s="2" t="str">
        <f t="shared" si="20"/>
        <v>EAST_MDB_3B_6\A1</v>
      </c>
      <c r="Z65" s="2" t="str">
        <f t="shared" si="20"/>
        <v>EAST_MDB_3B_6\A2</v>
      </c>
      <c r="AA65" s="2" t="str">
        <f t="shared" si="20"/>
        <v>EAST_MDB_3B_6\A3</v>
      </c>
      <c r="AB65" s="2" t="str">
        <f t="shared" si="20"/>
        <v>EAST_MDB_3B_6\AA</v>
      </c>
      <c r="AC65" s="2" t="str">
        <f t="shared" si="20"/>
        <v>EAST_MDB_3B_6\PF</v>
      </c>
      <c r="AD65" s="2" t="str">
        <f t="shared" si="20"/>
        <v>EAST_MDB_3B_6\HZ</v>
      </c>
      <c r="AE65" s="2" t="str">
        <f t="shared" si="20"/>
        <v>EAST_MDB_3B_6\KW</v>
      </c>
      <c r="AF65" s="2" t="str">
        <f t="shared" si="20"/>
        <v>EAST_MDB_3B_6\KHh</v>
      </c>
      <c r="AG65" s="2" t="str">
        <f t="shared" si="20"/>
        <v>EAST_MDB_3B_6\VA</v>
      </c>
      <c r="AH65" s="2" t="str">
        <f t="shared" si="20"/>
        <v>EAST_MDB_3B_6\VAH</v>
      </c>
      <c r="AI65" s="2" t="str">
        <f t="shared" si="20"/>
        <v>EAST_MDB_3B_6\PEAK</v>
      </c>
      <c r="AJ65" s="2" t="str">
        <f t="shared" si="22"/>
        <v>EAST_MDB_3B_6\H_A_1</v>
      </c>
      <c r="AK65" s="2" t="str">
        <f t="shared" si="22"/>
        <v>EAST_MDB_3B_6\H_A_3</v>
      </c>
      <c r="AL65" s="2" t="str">
        <f t="shared" si="22"/>
        <v>EAST_MDB_3B_6\H_A_5</v>
      </c>
      <c r="AM65" s="2" t="str">
        <f t="shared" si="22"/>
        <v>EAST_MDB_3B_6\H_A_7</v>
      </c>
      <c r="AN65" s="2" t="str">
        <f t="shared" si="22"/>
        <v>EAST_MDB_3B_6\H_B_1</v>
      </c>
      <c r="AO65" s="2" t="str">
        <f t="shared" si="22"/>
        <v>EAST_MDB_3B_6\H_B_3</v>
      </c>
      <c r="AP65" s="2" t="str">
        <f t="shared" si="22"/>
        <v>EAST_MDB_3B_6\H_B_5</v>
      </c>
      <c r="AQ65" s="2" t="str">
        <f t="shared" si="22"/>
        <v>EAST_MDB_3B_6\H_B_7</v>
      </c>
      <c r="AR65" s="2" t="str">
        <f t="shared" si="22"/>
        <v>EAST_MDB_3B_6\H_C_1</v>
      </c>
      <c r="AS65" s="2" t="str">
        <f t="shared" si="22"/>
        <v>EAST_MDB_3B_6\H_C_3</v>
      </c>
      <c r="AT65" s="2" t="str">
        <f t="shared" si="22"/>
        <v>EAST_MDB_3B_6\H_C_5</v>
      </c>
      <c r="AU65" s="2" t="str">
        <f t="shared" si="22"/>
        <v>EAST_MDB_3B_6\H_C_7</v>
      </c>
      <c r="AV65" s="2" t="str">
        <f t="shared" si="21"/>
        <v>EAST_MDB_3B_6\PV1</v>
      </c>
      <c r="AW65" s="2" t="str">
        <f t="shared" si="21"/>
        <v>EAST_MDB_3B_6\PV2</v>
      </c>
      <c r="AX65" s="2" t="str">
        <f t="shared" si="21"/>
        <v>EAST_MDB_3B_6\PV3</v>
      </c>
      <c r="AY65" s="2" t="str">
        <f t="shared" si="21"/>
        <v>EAST_MDB_3B_6\PI1</v>
      </c>
      <c r="AZ65" s="2" t="str">
        <f t="shared" si="21"/>
        <v>EAST_MDB_3B_6\PI2</v>
      </c>
      <c r="BA65" s="2" t="str">
        <f t="shared" si="21"/>
        <v>EAST_MDB_3B_6\PI3</v>
      </c>
    </row>
    <row r="66" spans="1:53" x14ac:dyDescent="0.25">
      <c r="A66" s="3">
        <v>59</v>
      </c>
      <c r="B66" s="3" t="s">
        <v>335</v>
      </c>
      <c r="C66" s="3" t="s">
        <v>109</v>
      </c>
      <c r="D66" s="3" t="s">
        <v>327</v>
      </c>
      <c r="E66" s="4"/>
      <c r="F66" s="2" t="str">
        <f t="shared" si="19"/>
        <v>EAST_MDB_3B_7\ST</v>
      </c>
      <c r="G66" s="2" t="str">
        <f t="shared" si="19"/>
        <v>EAST_MDB_3B_7\TRIP</v>
      </c>
      <c r="H66" s="20"/>
      <c r="I66" s="20"/>
      <c r="J66" s="20"/>
      <c r="K66" s="20"/>
      <c r="L66" s="20"/>
      <c r="M66" s="20"/>
      <c r="N66" s="20"/>
      <c r="O66" s="20"/>
      <c r="P66" s="20"/>
      <c r="Q66" s="24"/>
      <c r="R66" s="2" t="str">
        <f t="shared" si="20"/>
        <v>EAST_MDB_3B_7\V12</v>
      </c>
      <c r="S66" s="2" t="str">
        <f t="shared" si="20"/>
        <v>EAST_MDB_3B_7\V23</v>
      </c>
      <c r="T66" s="2" t="str">
        <f t="shared" si="20"/>
        <v>EAST_MDB_3B_7\V31</v>
      </c>
      <c r="U66" s="2" t="str">
        <f t="shared" si="20"/>
        <v>EAST_MDB_3B_7\V1N</v>
      </c>
      <c r="V66" s="2" t="str">
        <f t="shared" si="20"/>
        <v>EAST_MDB_3B_7\V2N</v>
      </c>
      <c r="W66" s="2" t="str">
        <f t="shared" si="20"/>
        <v>EAST_MDB_3B_7\V3N</v>
      </c>
      <c r="X66" s="2" t="str">
        <f t="shared" si="20"/>
        <v>EAST_MDB_3B_7\VA</v>
      </c>
      <c r="Y66" s="2" t="str">
        <f t="shared" si="20"/>
        <v>EAST_MDB_3B_7\A1</v>
      </c>
      <c r="Z66" s="2" t="str">
        <f t="shared" si="20"/>
        <v>EAST_MDB_3B_7\A2</v>
      </c>
      <c r="AA66" s="2" t="str">
        <f t="shared" si="20"/>
        <v>EAST_MDB_3B_7\A3</v>
      </c>
      <c r="AB66" s="2" t="str">
        <f t="shared" si="20"/>
        <v>EAST_MDB_3B_7\AA</v>
      </c>
      <c r="AC66" s="2" t="str">
        <f t="shared" si="20"/>
        <v>EAST_MDB_3B_7\PF</v>
      </c>
      <c r="AD66" s="2" t="str">
        <f t="shared" si="20"/>
        <v>EAST_MDB_3B_7\HZ</v>
      </c>
      <c r="AE66" s="2" t="str">
        <f t="shared" si="20"/>
        <v>EAST_MDB_3B_7\KW</v>
      </c>
      <c r="AF66" s="2" t="str">
        <f t="shared" si="20"/>
        <v>EAST_MDB_3B_7\KHh</v>
      </c>
      <c r="AG66" s="2" t="str">
        <f t="shared" si="20"/>
        <v>EAST_MDB_3B_7\VA</v>
      </c>
      <c r="AH66" s="2" t="str">
        <f t="shared" si="20"/>
        <v>EAST_MDB_3B_7\VAH</v>
      </c>
      <c r="AI66" s="2" t="str">
        <f t="shared" si="20"/>
        <v>EAST_MDB_3B_7\PEAK</v>
      </c>
      <c r="AJ66" s="2" t="str">
        <f t="shared" si="22"/>
        <v>EAST_MDB_3B_7\H_A_1</v>
      </c>
      <c r="AK66" s="2" t="str">
        <f t="shared" si="22"/>
        <v>EAST_MDB_3B_7\H_A_3</v>
      </c>
      <c r="AL66" s="2" t="str">
        <f t="shared" si="22"/>
        <v>EAST_MDB_3B_7\H_A_5</v>
      </c>
      <c r="AM66" s="2" t="str">
        <f t="shared" si="22"/>
        <v>EAST_MDB_3B_7\H_A_7</v>
      </c>
      <c r="AN66" s="2" t="str">
        <f t="shared" si="22"/>
        <v>EAST_MDB_3B_7\H_B_1</v>
      </c>
      <c r="AO66" s="2" t="str">
        <f t="shared" si="22"/>
        <v>EAST_MDB_3B_7\H_B_3</v>
      </c>
      <c r="AP66" s="2" t="str">
        <f t="shared" si="22"/>
        <v>EAST_MDB_3B_7\H_B_5</v>
      </c>
      <c r="AQ66" s="2" t="str">
        <f t="shared" si="22"/>
        <v>EAST_MDB_3B_7\H_B_7</v>
      </c>
      <c r="AR66" s="2" t="str">
        <f t="shared" si="22"/>
        <v>EAST_MDB_3B_7\H_C_1</v>
      </c>
      <c r="AS66" s="2" t="str">
        <f t="shared" si="22"/>
        <v>EAST_MDB_3B_7\H_C_3</v>
      </c>
      <c r="AT66" s="2" t="str">
        <f t="shared" si="22"/>
        <v>EAST_MDB_3B_7\H_C_5</v>
      </c>
      <c r="AU66" s="2" t="str">
        <f t="shared" si="22"/>
        <v>EAST_MDB_3B_7\H_C_7</v>
      </c>
      <c r="AV66" s="2" t="str">
        <f t="shared" si="21"/>
        <v>EAST_MDB_3B_7\PV1</v>
      </c>
      <c r="AW66" s="2" t="str">
        <f t="shared" si="21"/>
        <v>EAST_MDB_3B_7\PV2</v>
      </c>
      <c r="AX66" s="2" t="str">
        <f t="shared" si="21"/>
        <v>EAST_MDB_3B_7\PV3</v>
      </c>
      <c r="AY66" s="2" t="str">
        <f t="shared" si="21"/>
        <v>EAST_MDB_3B_7\PI1</v>
      </c>
      <c r="AZ66" s="2" t="str">
        <f t="shared" si="21"/>
        <v>EAST_MDB_3B_7\PI2</v>
      </c>
      <c r="BA66" s="2" t="str">
        <f t="shared" si="21"/>
        <v>EAST_MDB_3B_7\PI3</v>
      </c>
    </row>
    <row r="67" spans="1:53" x14ac:dyDescent="0.25">
      <c r="A67" s="3">
        <v>60</v>
      </c>
      <c r="B67" s="3" t="s">
        <v>335</v>
      </c>
      <c r="C67" s="3" t="s">
        <v>110</v>
      </c>
      <c r="D67" s="3" t="s">
        <v>327</v>
      </c>
      <c r="E67" s="4"/>
      <c r="F67" s="2" t="str">
        <f t="shared" si="19"/>
        <v>EAST_MDB_3B_8\ST</v>
      </c>
      <c r="G67" s="2" t="str">
        <f t="shared" si="19"/>
        <v>EAST_MDB_3B_8\TRIP</v>
      </c>
      <c r="H67" s="20"/>
      <c r="I67" s="20"/>
      <c r="J67" s="20"/>
      <c r="K67" s="20"/>
      <c r="L67" s="20"/>
      <c r="M67" s="20"/>
      <c r="N67" s="20"/>
      <c r="O67" s="20"/>
      <c r="P67" s="20"/>
      <c r="Q67" s="24"/>
      <c r="R67" s="2" t="str">
        <f t="shared" si="20"/>
        <v>EAST_MDB_3B_8\V12</v>
      </c>
      <c r="S67" s="2" t="str">
        <f t="shared" si="20"/>
        <v>EAST_MDB_3B_8\V23</v>
      </c>
      <c r="T67" s="2" t="str">
        <f t="shared" si="20"/>
        <v>EAST_MDB_3B_8\V31</v>
      </c>
      <c r="U67" s="2" t="str">
        <f t="shared" si="20"/>
        <v>EAST_MDB_3B_8\V1N</v>
      </c>
      <c r="V67" s="2" t="str">
        <f t="shared" si="20"/>
        <v>EAST_MDB_3B_8\V2N</v>
      </c>
      <c r="W67" s="2" t="str">
        <f t="shared" si="20"/>
        <v>EAST_MDB_3B_8\V3N</v>
      </c>
      <c r="X67" s="2" t="str">
        <f t="shared" si="20"/>
        <v>EAST_MDB_3B_8\VA</v>
      </c>
      <c r="Y67" s="2" t="str">
        <f t="shared" si="20"/>
        <v>EAST_MDB_3B_8\A1</v>
      </c>
      <c r="Z67" s="2" t="str">
        <f t="shared" si="20"/>
        <v>EAST_MDB_3B_8\A2</v>
      </c>
      <c r="AA67" s="2" t="str">
        <f t="shared" si="20"/>
        <v>EAST_MDB_3B_8\A3</v>
      </c>
      <c r="AB67" s="2" t="str">
        <f t="shared" si="20"/>
        <v>EAST_MDB_3B_8\AA</v>
      </c>
      <c r="AC67" s="2" t="str">
        <f t="shared" si="20"/>
        <v>EAST_MDB_3B_8\PF</v>
      </c>
      <c r="AD67" s="2" t="str">
        <f t="shared" si="20"/>
        <v>EAST_MDB_3B_8\HZ</v>
      </c>
      <c r="AE67" s="2" t="str">
        <f t="shared" si="20"/>
        <v>EAST_MDB_3B_8\KW</v>
      </c>
      <c r="AF67" s="2" t="str">
        <f t="shared" si="20"/>
        <v>EAST_MDB_3B_8\KHh</v>
      </c>
      <c r="AG67" s="2" t="str">
        <f t="shared" si="20"/>
        <v>EAST_MDB_3B_8\VA</v>
      </c>
      <c r="AH67" s="2" t="str">
        <f t="shared" si="20"/>
        <v>EAST_MDB_3B_8\VAH</v>
      </c>
      <c r="AI67" s="2" t="str">
        <f t="shared" si="20"/>
        <v>EAST_MDB_3B_8\PEAK</v>
      </c>
      <c r="AJ67" s="2" t="str">
        <f t="shared" si="22"/>
        <v>EAST_MDB_3B_8\H_A_1</v>
      </c>
      <c r="AK67" s="2" t="str">
        <f t="shared" si="22"/>
        <v>EAST_MDB_3B_8\H_A_3</v>
      </c>
      <c r="AL67" s="2" t="str">
        <f t="shared" si="22"/>
        <v>EAST_MDB_3B_8\H_A_5</v>
      </c>
      <c r="AM67" s="2" t="str">
        <f t="shared" si="22"/>
        <v>EAST_MDB_3B_8\H_A_7</v>
      </c>
      <c r="AN67" s="2" t="str">
        <f t="shared" si="22"/>
        <v>EAST_MDB_3B_8\H_B_1</v>
      </c>
      <c r="AO67" s="2" t="str">
        <f t="shared" si="22"/>
        <v>EAST_MDB_3B_8\H_B_3</v>
      </c>
      <c r="AP67" s="2" t="str">
        <f t="shared" si="22"/>
        <v>EAST_MDB_3B_8\H_B_5</v>
      </c>
      <c r="AQ67" s="2" t="str">
        <f t="shared" si="22"/>
        <v>EAST_MDB_3B_8\H_B_7</v>
      </c>
      <c r="AR67" s="2" t="str">
        <f t="shared" si="22"/>
        <v>EAST_MDB_3B_8\H_C_1</v>
      </c>
      <c r="AS67" s="2" t="str">
        <f t="shared" si="22"/>
        <v>EAST_MDB_3B_8\H_C_3</v>
      </c>
      <c r="AT67" s="2" t="str">
        <f t="shared" si="22"/>
        <v>EAST_MDB_3B_8\H_C_5</v>
      </c>
      <c r="AU67" s="2" t="str">
        <f t="shared" si="22"/>
        <v>EAST_MDB_3B_8\H_C_7</v>
      </c>
      <c r="AV67" s="2" t="str">
        <f t="shared" si="21"/>
        <v>EAST_MDB_3B_8\PV1</v>
      </c>
      <c r="AW67" s="2" t="str">
        <f t="shared" si="21"/>
        <v>EAST_MDB_3B_8\PV2</v>
      </c>
      <c r="AX67" s="2" t="str">
        <f t="shared" si="21"/>
        <v>EAST_MDB_3B_8\PV3</v>
      </c>
      <c r="AY67" s="2" t="str">
        <f t="shared" si="21"/>
        <v>EAST_MDB_3B_8\PI1</v>
      </c>
      <c r="AZ67" s="2" t="str">
        <f t="shared" si="21"/>
        <v>EAST_MDB_3B_8\PI2</v>
      </c>
      <c r="BA67" s="2" t="str">
        <f t="shared" si="21"/>
        <v>EAST_MDB_3B_8\PI3</v>
      </c>
    </row>
    <row r="68" spans="1:53" x14ac:dyDescent="0.25">
      <c r="A68" s="3">
        <v>61</v>
      </c>
      <c r="B68" s="3" t="s">
        <v>335</v>
      </c>
      <c r="C68" s="3" t="s">
        <v>111</v>
      </c>
      <c r="D68" s="3" t="s">
        <v>327</v>
      </c>
      <c r="E68" s="4"/>
      <c r="F68" s="2" t="str">
        <f t="shared" si="19"/>
        <v>EAST_MDB_3B_9\ST</v>
      </c>
      <c r="G68" s="2" t="str">
        <f t="shared" si="19"/>
        <v>EAST_MDB_3B_9\TRIP</v>
      </c>
      <c r="H68" s="20"/>
      <c r="I68" s="20"/>
      <c r="J68" s="20"/>
      <c r="K68" s="20"/>
      <c r="L68" s="20"/>
      <c r="M68" s="20"/>
      <c r="N68" s="20"/>
      <c r="O68" s="20"/>
      <c r="P68" s="20"/>
      <c r="Q68" s="24"/>
      <c r="R68" s="2" t="str">
        <f t="shared" si="20"/>
        <v>EAST_MDB_3B_9\V12</v>
      </c>
      <c r="S68" s="2" t="str">
        <f t="shared" si="20"/>
        <v>EAST_MDB_3B_9\V23</v>
      </c>
      <c r="T68" s="2" t="str">
        <f t="shared" si="20"/>
        <v>EAST_MDB_3B_9\V31</v>
      </c>
      <c r="U68" s="2" t="str">
        <f t="shared" si="20"/>
        <v>EAST_MDB_3B_9\V1N</v>
      </c>
      <c r="V68" s="2" t="str">
        <f t="shared" si="20"/>
        <v>EAST_MDB_3B_9\V2N</v>
      </c>
      <c r="W68" s="2" t="str">
        <f t="shared" si="20"/>
        <v>EAST_MDB_3B_9\V3N</v>
      </c>
      <c r="X68" s="2" t="str">
        <f t="shared" si="20"/>
        <v>EAST_MDB_3B_9\VA</v>
      </c>
      <c r="Y68" s="2" t="str">
        <f t="shared" si="20"/>
        <v>EAST_MDB_3B_9\A1</v>
      </c>
      <c r="Z68" s="2" t="str">
        <f t="shared" si="20"/>
        <v>EAST_MDB_3B_9\A2</v>
      </c>
      <c r="AA68" s="2" t="str">
        <f t="shared" si="20"/>
        <v>EAST_MDB_3B_9\A3</v>
      </c>
      <c r="AB68" s="2" t="str">
        <f t="shared" si="20"/>
        <v>EAST_MDB_3B_9\AA</v>
      </c>
      <c r="AC68" s="2" t="str">
        <f t="shared" si="20"/>
        <v>EAST_MDB_3B_9\PF</v>
      </c>
      <c r="AD68" s="2" t="str">
        <f t="shared" si="20"/>
        <v>EAST_MDB_3B_9\HZ</v>
      </c>
      <c r="AE68" s="2" t="str">
        <f t="shared" si="20"/>
        <v>EAST_MDB_3B_9\KW</v>
      </c>
      <c r="AF68" s="2" t="str">
        <f t="shared" si="20"/>
        <v>EAST_MDB_3B_9\KHh</v>
      </c>
      <c r="AG68" s="2" t="str">
        <f t="shared" si="20"/>
        <v>EAST_MDB_3B_9\VA</v>
      </c>
      <c r="AH68" s="2" t="str">
        <f t="shared" si="20"/>
        <v>EAST_MDB_3B_9\VAH</v>
      </c>
      <c r="AI68" s="2" t="str">
        <f t="shared" si="20"/>
        <v>EAST_MDB_3B_9\PEAK</v>
      </c>
      <c r="AJ68" s="2" t="str">
        <f t="shared" si="22"/>
        <v>EAST_MDB_3B_9\H_A_1</v>
      </c>
      <c r="AK68" s="2" t="str">
        <f t="shared" si="22"/>
        <v>EAST_MDB_3B_9\H_A_3</v>
      </c>
      <c r="AL68" s="2" t="str">
        <f t="shared" si="22"/>
        <v>EAST_MDB_3B_9\H_A_5</v>
      </c>
      <c r="AM68" s="2" t="str">
        <f t="shared" si="22"/>
        <v>EAST_MDB_3B_9\H_A_7</v>
      </c>
      <c r="AN68" s="2" t="str">
        <f t="shared" si="22"/>
        <v>EAST_MDB_3B_9\H_B_1</v>
      </c>
      <c r="AO68" s="2" t="str">
        <f t="shared" si="22"/>
        <v>EAST_MDB_3B_9\H_B_3</v>
      </c>
      <c r="AP68" s="2" t="str">
        <f t="shared" si="22"/>
        <v>EAST_MDB_3B_9\H_B_5</v>
      </c>
      <c r="AQ68" s="2" t="str">
        <f t="shared" si="22"/>
        <v>EAST_MDB_3B_9\H_B_7</v>
      </c>
      <c r="AR68" s="2" t="str">
        <f t="shared" si="22"/>
        <v>EAST_MDB_3B_9\H_C_1</v>
      </c>
      <c r="AS68" s="2" t="str">
        <f t="shared" si="22"/>
        <v>EAST_MDB_3B_9\H_C_3</v>
      </c>
      <c r="AT68" s="2" t="str">
        <f t="shared" si="22"/>
        <v>EAST_MDB_3B_9\H_C_5</v>
      </c>
      <c r="AU68" s="2" t="str">
        <f t="shared" si="22"/>
        <v>EAST_MDB_3B_9\H_C_7</v>
      </c>
      <c r="AV68" s="2" t="str">
        <f t="shared" si="21"/>
        <v>EAST_MDB_3B_9\PV1</v>
      </c>
      <c r="AW68" s="2" t="str">
        <f t="shared" si="21"/>
        <v>EAST_MDB_3B_9\PV2</v>
      </c>
      <c r="AX68" s="2" t="str">
        <f t="shared" si="21"/>
        <v>EAST_MDB_3B_9\PV3</v>
      </c>
      <c r="AY68" s="2" t="str">
        <f t="shared" si="21"/>
        <v>EAST_MDB_3B_9\PI1</v>
      </c>
      <c r="AZ68" s="2" t="str">
        <f t="shared" si="21"/>
        <v>EAST_MDB_3B_9\PI2</v>
      </c>
      <c r="BA68" s="2" t="str">
        <f t="shared" si="21"/>
        <v>EAST_MDB_3B_9\PI3</v>
      </c>
    </row>
    <row r="69" spans="1:53" x14ac:dyDescent="0.25">
      <c r="A69" s="3">
        <v>62</v>
      </c>
      <c r="B69" s="3" t="s">
        <v>335</v>
      </c>
      <c r="C69" s="3" t="s">
        <v>112</v>
      </c>
      <c r="D69" s="3" t="s">
        <v>327</v>
      </c>
      <c r="E69" s="4"/>
      <c r="F69" s="2" t="str">
        <f t="shared" si="19"/>
        <v>EAST_MDB_3B_10\ST</v>
      </c>
      <c r="G69" s="2" t="str">
        <f t="shared" si="19"/>
        <v>EAST_MDB_3B_10\TRIP</v>
      </c>
      <c r="H69" s="20"/>
      <c r="I69" s="20"/>
      <c r="J69" s="20"/>
      <c r="K69" s="20"/>
      <c r="L69" s="20"/>
      <c r="M69" s="20"/>
      <c r="N69" s="20"/>
      <c r="O69" s="20"/>
      <c r="P69" s="20"/>
      <c r="Q69" s="24"/>
      <c r="R69" s="2" t="str">
        <f t="shared" si="20"/>
        <v>EAST_MDB_3B_10\V12</v>
      </c>
      <c r="S69" s="2" t="str">
        <f t="shared" si="20"/>
        <v>EAST_MDB_3B_10\V23</v>
      </c>
      <c r="T69" s="2" t="str">
        <f t="shared" si="20"/>
        <v>EAST_MDB_3B_10\V31</v>
      </c>
      <c r="U69" s="2" t="str">
        <f t="shared" si="20"/>
        <v>EAST_MDB_3B_10\V1N</v>
      </c>
      <c r="V69" s="2" t="str">
        <f t="shared" si="20"/>
        <v>EAST_MDB_3B_10\V2N</v>
      </c>
      <c r="W69" s="2" t="str">
        <f t="shared" si="20"/>
        <v>EAST_MDB_3B_10\V3N</v>
      </c>
      <c r="X69" s="2" t="str">
        <f t="shared" si="20"/>
        <v>EAST_MDB_3B_10\VA</v>
      </c>
      <c r="Y69" s="2" t="str">
        <f t="shared" si="20"/>
        <v>EAST_MDB_3B_10\A1</v>
      </c>
      <c r="Z69" s="2" t="str">
        <f t="shared" si="20"/>
        <v>EAST_MDB_3B_10\A2</v>
      </c>
      <c r="AA69" s="2" t="str">
        <f t="shared" si="20"/>
        <v>EAST_MDB_3B_10\A3</v>
      </c>
      <c r="AB69" s="2" t="str">
        <f t="shared" si="20"/>
        <v>EAST_MDB_3B_10\AA</v>
      </c>
      <c r="AC69" s="2" t="str">
        <f t="shared" si="20"/>
        <v>EAST_MDB_3B_10\PF</v>
      </c>
      <c r="AD69" s="2" t="str">
        <f t="shared" si="20"/>
        <v>EAST_MDB_3B_10\HZ</v>
      </c>
      <c r="AE69" s="2" t="str">
        <f t="shared" si="20"/>
        <v>EAST_MDB_3B_10\KW</v>
      </c>
      <c r="AF69" s="2" t="str">
        <f t="shared" si="20"/>
        <v>EAST_MDB_3B_10\KHh</v>
      </c>
      <c r="AG69" s="2" t="str">
        <f t="shared" si="20"/>
        <v>EAST_MDB_3B_10\VA</v>
      </c>
      <c r="AH69" s="2" t="str">
        <f t="shared" si="20"/>
        <v>EAST_MDB_3B_10\VAH</v>
      </c>
      <c r="AI69" s="2" t="str">
        <f t="shared" si="20"/>
        <v>EAST_MDB_3B_10\PEAK</v>
      </c>
      <c r="AJ69" s="2" t="str">
        <f t="shared" si="22"/>
        <v>EAST_MDB_3B_10\H_A_1</v>
      </c>
      <c r="AK69" s="2" t="str">
        <f t="shared" si="22"/>
        <v>EAST_MDB_3B_10\H_A_3</v>
      </c>
      <c r="AL69" s="2" t="str">
        <f t="shared" si="22"/>
        <v>EAST_MDB_3B_10\H_A_5</v>
      </c>
      <c r="AM69" s="2" t="str">
        <f t="shared" si="22"/>
        <v>EAST_MDB_3B_10\H_A_7</v>
      </c>
      <c r="AN69" s="2" t="str">
        <f t="shared" si="22"/>
        <v>EAST_MDB_3B_10\H_B_1</v>
      </c>
      <c r="AO69" s="2" t="str">
        <f t="shared" si="22"/>
        <v>EAST_MDB_3B_10\H_B_3</v>
      </c>
      <c r="AP69" s="2" t="str">
        <f t="shared" si="22"/>
        <v>EAST_MDB_3B_10\H_B_5</v>
      </c>
      <c r="AQ69" s="2" t="str">
        <f t="shared" si="22"/>
        <v>EAST_MDB_3B_10\H_B_7</v>
      </c>
      <c r="AR69" s="2" t="str">
        <f t="shared" si="22"/>
        <v>EAST_MDB_3B_10\H_C_1</v>
      </c>
      <c r="AS69" s="2" t="str">
        <f t="shared" si="22"/>
        <v>EAST_MDB_3B_10\H_C_3</v>
      </c>
      <c r="AT69" s="2" t="str">
        <f t="shared" si="22"/>
        <v>EAST_MDB_3B_10\H_C_5</v>
      </c>
      <c r="AU69" s="2" t="str">
        <f t="shared" si="22"/>
        <v>EAST_MDB_3B_10\H_C_7</v>
      </c>
      <c r="AV69" s="2" t="str">
        <f t="shared" si="21"/>
        <v>EAST_MDB_3B_10\PV1</v>
      </c>
      <c r="AW69" s="2" t="str">
        <f t="shared" si="21"/>
        <v>EAST_MDB_3B_10\PV2</v>
      </c>
      <c r="AX69" s="2" t="str">
        <f t="shared" si="21"/>
        <v>EAST_MDB_3B_10\PV3</v>
      </c>
      <c r="AY69" s="2" t="str">
        <f t="shared" si="21"/>
        <v>EAST_MDB_3B_10\PI1</v>
      </c>
      <c r="AZ69" s="2" t="str">
        <f t="shared" si="21"/>
        <v>EAST_MDB_3B_10\PI2</v>
      </c>
      <c r="BA69" s="2" t="str">
        <f t="shared" si="21"/>
        <v>EAST_MDB_3B_10\PI3</v>
      </c>
    </row>
    <row r="70" spans="1:53" x14ac:dyDescent="0.25">
      <c r="A70" s="3">
        <v>63</v>
      </c>
      <c r="B70" s="3" t="s">
        <v>335</v>
      </c>
      <c r="C70" s="3" t="s">
        <v>231</v>
      </c>
      <c r="D70" s="3" t="s">
        <v>321</v>
      </c>
      <c r="E70" s="4"/>
      <c r="F70" s="2"/>
      <c r="G70" s="2"/>
      <c r="H70" s="2" t="str">
        <f>$C70&amp;H$7</f>
        <v>EAST_MDB_3C\ELD</v>
      </c>
      <c r="I70" s="20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</row>
    <row r="71" spans="1:53" x14ac:dyDescent="0.25">
      <c r="A71" s="3">
        <v>64</v>
      </c>
      <c r="B71" s="3" t="s">
        <v>335</v>
      </c>
      <c r="C71" s="10" t="s">
        <v>269</v>
      </c>
      <c r="D71" s="10" t="s">
        <v>321</v>
      </c>
      <c r="E71" s="4"/>
      <c r="F71" s="2" t="str">
        <f t="shared" ref="F71:G77" si="23">$C71&amp;F$7</f>
        <v>EAST_TIE_34\ST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</row>
    <row r="72" spans="1:53" x14ac:dyDescent="0.25">
      <c r="A72" s="3">
        <v>65</v>
      </c>
      <c r="B72" s="3" t="s">
        <v>335</v>
      </c>
      <c r="C72" s="3" t="s">
        <v>113</v>
      </c>
      <c r="D72" s="3" t="s">
        <v>321</v>
      </c>
      <c r="E72" s="4"/>
      <c r="F72" s="2" t="str">
        <f t="shared" si="23"/>
        <v>EAST_MDB_3C_1\ST</v>
      </c>
      <c r="G72" s="2" t="str">
        <f t="shared" si="23"/>
        <v>EAST_MDB_3C_1\TRIP</v>
      </c>
      <c r="H72" s="20"/>
      <c r="I72" s="20"/>
      <c r="J72" s="20"/>
      <c r="K72" s="20"/>
      <c r="L72" s="20"/>
      <c r="M72" s="20"/>
      <c r="N72" s="20"/>
      <c r="O72" s="20"/>
      <c r="P72" s="20"/>
      <c r="Q72" s="24"/>
      <c r="R72" s="25" t="str">
        <f t="shared" ref="R72:AU77" si="24">$C72&amp;R$7</f>
        <v>EAST_MDB_3C_1\V12</v>
      </c>
      <c r="S72" s="25" t="str">
        <f t="shared" si="24"/>
        <v>EAST_MDB_3C_1\V23</v>
      </c>
      <c r="T72" s="25" t="str">
        <f t="shared" si="24"/>
        <v>EAST_MDB_3C_1\V31</v>
      </c>
      <c r="U72" s="25" t="str">
        <f t="shared" si="24"/>
        <v>EAST_MDB_3C_1\V1N</v>
      </c>
      <c r="V72" s="25" t="str">
        <f t="shared" si="24"/>
        <v>EAST_MDB_3C_1\V2N</v>
      </c>
      <c r="W72" s="25" t="str">
        <f t="shared" si="24"/>
        <v>EAST_MDB_3C_1\V3N</v>
      </c>
      <c r="X72" s="25" t="str">
        <f t="shared" si="24"/>
        <v>EAST_MDB_3C_1\VA</v>
      </c>
      <c r="Y72" s="25" t="str">
        <f t="shared" si="24"/>
        <v>EAST_MDB_3C_1\A1</v>
      </c>
      <c r="Z72" s="25" t="str">
        <f t="shared" si="24"/>
        <v>EAST_MDB_3C_1\A2</v>
      </c>
      <c r="AA72" s="25" t="str">
        <f t="shared" si="24"/>
        <v>EAST_MDB_3C_1\A3</v>
      </c>
      <c r="AB72" s="25" t="str">
        <f t="shared" si="24"/>
        <v>EAST_MDB_3C_1\AA</v>
      </c>
      <c r="AC72" s="25" t="str">
        <f t="shared" si="24"/>
        <v>EAST_MDB_3C_1\PF</v>
      </c>
      <c r="AD72" s="25" t="str">
        <f t="shared" si="24"/>
        <v>EAST_MDB_3C_1\HZ</v>
      </c>
      <c r="AE72" s="25" t="str">
        <f t="shared" si="24"/>
        <v>EAST_MDB_3C_1\KW</v>
      </c>
      <c r="AF72" s="25" t="str">
        <f t="shared" si="24"/>
        <v>EAST_MDB_3C_1\KHh</v>
      </c>
      <c r="AG72" s="25" t="str">
        <f t="shared" si="24"/>
        <v>EAST_MDB_3C_1\VA</v>
      </c>
      <c r="AH72" s="25" t="str">
        <f t="shared" si="24"/>
        <v>EAST_MDB_3C_1\VAH</v>
      </c>
      <c r="AI72" s="25" t="str">
        <f t="shared" si="24"/>
        <v>EAST_MDB_3C_1\PEAK</v>
      </c>
      <c r="AJ72" s="2" t="str">
        <f t="shared" si="24"/>
        <v>EAST_MDB_3C_1\H_A_1</v>
      </c>
      <c r="AK72" s="2" t="str">
        <f t="shared" si="24"/>
        <v>EAST_MDB_3C_1\H_A_3</v>
      </c>
      <c r="AL72" s="2" t="str">
        <f t="shared" si="24"/>
        <v>EAST_MDB_3C_1\H_A_5</v>
      </c>
      <c r="AM72" s="2" t="str">
        <f t="shared" si="24"/>
        <v>EAST_MDB_3C_1\H_A_7</v>
      </c>
      <c r="AN72" s="2" t="str">
        <f t="shared" si="24"/>
        <v>EAST_MDB_3C_1\H_B_1</v>
      </c>
      <c r="AO72" s="2" t="str">
        <f t="shared" si="24"/>
        <v>EAST_MDB_3C_1\H_B_3</v>
      </c>
      <c r="AP72" s="2" t="str">
        <f t="shared" si="24"/>
        <v>EAST_MDB_3C_1\H_B_5</v>
      </c>
      <c r="AQ72" s="2" t="str">
        <f t="shared" si="24"/>
        <v>EAST_MDB_3C_1\H_B_7</v>
      </c>
      <c r="AR72" s="2" t="str">
        <f t="shared" si="24"/>
        <v>EAST_MDB_3C_1\H_C_1</v>
      </c>
      <c r="AS72" s="2" t="str">
        <f t="shared" si="24"/>
        <v>EAST_MDB_3C_1\H_C_3</v>
      </c>
      <c r="AT72" s="2" t="str">
        <f t="shared" si="24"/>
        <v>EAST_MDB_3C_1\H_C_5</v>
      </c>
      <c r="AU72" s="2" t="str">
        <f t="shared" si="24"/>
        <v>EAST_MDB_3C_1\H_C_7</v>
      </c>
      <c r="AV72" s="25" t="str">
        <f t="shared" ref="AV72:BA77" si="25">$C72&amp;AV$7</f>
        <v>EAST_MDB_3C_1\PV1</v>
      </c>
      <c r="AW72" s="25" t="str">
        <f t="shared" si="25"/>
        <v>EAST_MDB_3C_1\PV2</v>
      </c>
      <c r="AX72" s="25" t="str">
        <f t="shared" si="25"/>
        <v>EAST_MDB_3C_1\PV3</v>
      </c>
      <c r="AY72" s="25" t="str">
        <f t="shared" si="25"/>
        <v>EAST_MDB_3C_1\PI1</v>
      </c>
      <c r="AZ72" s="25" t="str">
        <f t="shared" si="25"/>
        <v>EAST_MDB_3C_1\PI2</v>
      </c>
      <c r="BA72" s="25" t="str">
        <f t="shared" si="25"/>
        <v>EAST_MDB_3C_1\PI3</v>
      </c>
    </row>
    <row r="73" spans="1:53" x14ac:dyDescent="0.25">
      <c r="A73" s="3">
        <v>66</v>
      </c>
      <c r="B73" s="3" t="s">
        <v>335</v>
      </c>
      <c r="C73" s="3" t="s">
        <v>114</v>
      </c>
      <c r="D73" s="3" t="s">
        <v>321</v>
      </c>
      <c r="E73" s="4"/>
      <c r="F73" s="2" t="str">
        <f t="shared" si="23"/>
        <v>EAST_MDB_3C_2\ST</v>
      </c>
      <c r="G73" s="2" t="str">
        <f t="shared" si="23"/>
        <v>EAST_MDB_3C_2\TRIP</v>
      </c>
      <c r="H73" s="20"/>
      <c r="I73" s="20"/>
      <c r="J73" s="20"/>
      <c r="K73" s="20"/>
      <c r="L73" s="20"/>
      <c r="M73" s="20"/>
      <c r="N73" s="20"/>
      <c r="O73" s="20"/>
      <c r="P73" s="20"/>
      <c r="Q73" s="24"/>
      <c r="R73" s="25" t="str">
        <f t="shared" si="24"/>
        <v>EAST_MDB_3C_2\V12</v>
      </c>
      <c r="S73" s="25" t="str">
        <f t="shared" si="24"/>
        <v>EAST_MDB_3C_2\V23</v>
      </c>
      <c r="T73" s="25" t="str">
        <f t="shared" si="24"/>
        <v>EAST_MDB_3C_2\V31</v>
      </c>
      <c r="U73" s="25" t="str">
        <f t="shared" si="24"/>
        <v>EAST_MDB_3C_2\V1N</v>
      </c>
      <c r="V73" s="25" t="str">
        <f t="shared" si="24"/>
        <v>EAST_MDB_3C_2\V2N</v>
      </c>
      <c r="W73" s="25" t="str">
        <f t="shared" si="24"/>
        <v>EAST_MDB_3C_2\V3N</v>
      </c>
      <c r="X73" s="25" t="str">
        <f t="shared" si="24"/>
        <v>EAST_MDB_3C_2\VA</v>
      </c>
      <c r="Y73" s="25" t="str">
        <f t="shared" si="24"/>
        <v>EAST_MDB_3C_2\A1</v>
      </c>
      <c r="Z73" s="25" t="str">
        <f t="shared" si="24"/>
        <v>EAST_MDB_3C_2\A2</v>
      </c>
      <c r="AA73" s="25" t="str">
        <f t="shared" si="24"/>
        <v>EAST_MDB_3C_2\A3</v>
      </c>
      <c r="AB73" s="25" t="str">
        <f t="shared" si="24"/>
        <v>EAST_MDB_3C_2\AA</v>
      </c>
      <c r="AC73" s="25" t="str">
        <f t="shared" si="24"/>
        <v>EAST_MDB_3C_2\PF</v>
      </c>
      <c r="AD73" s="25" t="str">
        <f t="shared" si="24"/>
        <v>EAST_MDB_3C_2\HZ</v>
      </c>
      <c r="AE73" s="25" t="str">
        <f t="shared" si="24"/>
        <v>EAST_MDB_3C_2\KW</v>
      </c>
      <c r="AF73" s="25" t="str">
        <f t="shared" si="24"/>
        <v>EAST_MDB_3C_2\KHh</v>
      </c>
      <c r="AG73" s="25" t="str">
        <f t="shared" si="24"/>
        <v>EAST_MDB_3C_2\VA</v>
      </c>
      <c r="AH73" s="25" t="str">
        <f t="shared" si="24"/>
        <v>EAST_MDB_3C_2\VAH</v>
      </c>
      <c r="AI73" s="25" t="str">
        <f t="shared" si="24"/>
        <v>EAST_MDB_3C_2\PEAK</v>
      </c>
      <c r="AJ73" s="2" t="str">
        <f t="shared" si="24"/>
        <v>EAST_MDB_3C_2\H_A_1</v>
      </c>
      <c r="AK73" s="2" t="str">
        <f t="shared" si="24"/>
        <v>EAST_MDB_3C_2\H_A_3</v>
      </c>
      <c r="AL73" s="2" t="str">
        <f t="shared" si="24"/>
        <v>EAST_MDB_3C_2\H_A_5</v>
      </c>
      <c r="AM73" s="2" t="str">
        <f t="shared" si="24"/>
        <v>EAST_MDB_3C_2\H_A_7</v>
      </c>
      <c r="AN73" s="2" t="str">
        <f t="shared" si="24"/>
        <v>EAST_MDB_3C_2\H_B_1</v>
      </c>
      <c r="AO73" s="2" t="str">
        <f t="shared" si="24"/>
        <v>EAST_MDB_3C_2\H_B_3</v>
      </c>
      <c r="AP73" s="2" t="str">
        <f t="shared" si="24"/>
        <v>EAST_MDB_3C_2\H_B_5</v>
      </c>
      <c r="AQ73" s="2" t="str">
        <f t="shared" si="24"/>
        <v>EAST_MDB_3C_2\H_B_7</v>
      </c>
      <c r="AR73" s="2" t="str">
        <f t="shared" si="24"/>
        <v>EAST_MDB_3C_2\H_C_1</v>
      </c>
      <c r="AS73" s="2" t="str">
        <f t="shared" si="24"/>
        <v>EAST_MDB_3C_2\H_C_3</v>
      </c>
      <c r="AT73" s="2" t="str">
        <f t="shared" si="24"/>
        <v>EAST_MDB_3C_2\H_C_5</v>
      </c>
      <c r="AU73" s="2" t="str">
        <f t="shared" si="24"/>
        <v>EAST_MDB_3C_2\H_C_7</v>
      </c>
      <c r="AV73" s="25" t="str">
        <f t="shared" si="25"/>
        <v>EAST_MDB_3C_2\PV1</v>
      </c>
      <c r="AW73" s="25" t="str">
        <f t="shared" si="25"/>
        <v>EAST_MDB_3C_2\PV2</v>
      </c>
      <c r="AX73" s="25" t="str">
        <f t="shared" si="25"/>
        <v>EAST_MDB_3C_2\PV3</v>
      </c>
      <c r="AY73" s="25" t="str">
        <f t="shared" si="25"/>
        <v>EAST_MDB_3C_2\PI1</v>
      </c>
      <c r="AZ73" s="25" t="str">
        <f t="shared" si="25"/>
        <v>EAST_MDB_3C_2\PI2</v>
      </c>
      <c r="BA73" s="25" t="str">
        <f t="shared" si="25"/>
        <v>EAST_MDB_3C_2\PI3</v>
      </c>
    </row>
    <row r="74" spans="1:53" x14ac:dyDescent="0.25">
      <c r="A74" s="3">
        <v>67</v>
      </c>
      <c r="B74" s="3" t="s">
        <v>335</v>
      </c>
      <c r="C74" s="3" t="s">
        <v>115</v>
      </c>
      <c r="D74" s="3" t="s">
        <v>321</v>
      </c>
      <c r="E74" s="4"/>
      <c r="F74" s="2" t="str">
        <f t="shared" si="23"/>
        <v>EAST_MDB_3C_3\ST</v>
      </c>
      <c r="G74" s="2" t="str">
        <f t="shared" si="23"/>
        <v>EAST_MDB_3C_3\TRIP</v>
      </c>
      <c r="H74" s="20"/>
      <c r="I74" s="20"/>
      <c r="J74" s="20"/>
      <c r="K74" s="20"/>
      <c r="L74" s="20"/>
      <c r="M74" s="20"/>
      <c r="N74" s="20"/>
      <c r="O74" s="20"/>
      <c r="P74" s="20"/>
      <c r="Q74" s="24"/>
      <c r="R74" s="25" t="str">
        <f t="shared" si="24"/>
        <v>EAST_MDB_3C_3\V12</v>
      </c>
      <c r="S74" s="25" t="str">
        <f t="shared" si="24"/>
        <v>EAST_MDB_3C_3\V23</v>
      </c>
      <c r="T74" s="25" t="str">
        <f t="shared" si="24"/>
        <v>EAST_MDB_3C_3\V31</v>
      </c>
      <c r="U74" s="25" t="str">
        <f t="shared" si="24"/>
        <v>EAST_MDB_3C_3\V1N</v>
      </c>
      <c r="V74" s="25" t="str">
        <f t="shared" si="24"/>
        <v>EAST_MDB_3C_3\V2N</v>
      </c>
      <c r="W74" s="25" t="str">
        <f t="shared" si="24"/>
        <v>EAST_MDB_3C_3\V3N</v>
      </c>
      <c r="X74" s="25" t="str">
        <f t="shared" si="24"/>
        <v>EAST_MDB_3C_3\VA</v>
      </c>
      <c r="Y74" s="25" t="str">
        <f t="shared" si="24"/>
        <v>EAST_MDB_3C_3\A1</v>
      </c>
      <c r="Z74" s="25" t="str">
        <f t="shared" si="24"/>
        <v>EAST_MDB_3C_3\A2</v>
      </c>
      <c r="AA74" s="25" t="str">
        <f t="shared" si="24"/>
        <v>EAST_MDB_3C_3\A3</v>
      </c>
      <c r="AB74" s="25" t="str">
        <f t="shared" si="24"/>
        <v>EAST_MDB_3C_3\AA</v>
      </c>
      <c r="AC74" s="25" t="str">
        <f t="shared" si="24"/>
        <v>EAST_MDB_3C_3\PF</v>
      </c>
      <c r="AD74" s="25" t="str">
        <f t="shared" si="24"/>
        <v>EAST_MDB_3C_3\HZ</v>
      </c>
      <c r="AE74" s="25" t="str">
        <f t="shared" si="24"/>
        <v>EAST_MDB_3C_3\KW</v>
      </c>
      <c r="AF74" s="25" t="str">
        <f t="shared" si="24"/>
        <v>EAST_MDB_3C_3\KHh</v>
      </c>
      <c r="AG74" s="25" t="str">
        <f t="shared" si="24"/>
        <v>EAST_MDB_3C_3\VA</v>
      </c>
      <c r="AH74" s="25" t="str">
        <f t="shared" si="24"/>
        <v>EAST_MDB_3C_3\VAH</v>
      </c>
      <c r="AI74" s="25" t="str">
        <f t="shared" si="24"/>
        <v>EAST_MDB_3C_3\PEAK</v>
      </c>
      <c r="AJ74" s="2" t="str">
        <f t="shared" si="24"/>
        <v>EAST_MDB_3C_3\H_A_1</v>
      </c>
      <c r="AK74" s="2" t="str">
        <f t="shared" si="24"/>
        <v>EAST_MDB_3C_3\H_A_3</v>
      </c>
      <c r="AL74" s="2" t="str">
        <f t="shared" si="24"/>
        <v>EAST_MDB_3C_3\H_A_5</v>
      </c>
      <c r="AM74" s="2" t="str">
        <f t="shared" si="24"/>
        <v>EAST_MDB_3C_3\H_A_7</v>
      </c>
      <c r="AN74" s="2" t="str">
        <f t="shared" si="24"/>
        <v>EAST_MDB_3C_3\H_B_1</v>
      </c>
      <c r="AO74" s="2" t="str">
        <f t="shared" si="24"/>
        <v>EAST_MDB_3C_3\H_B_3</v>
      </c>
      <c r="AP74" s="2" t="str">
        <f t="shared" si="24"/>
        <v>EAST_MDB_3C_3\H_B_5</v>
      </c>
      <c r="AQ74" s="2" t="str">
        <f t="shared" si="24"/>
        <v>EAST_MDB_3C_3\H_B_7</v>
      </c>
      <c r="AR74" s="2" t="str">
        <f t="shared" si="24"/>
        <v>EAST_MDB_3C_3\H_C_1</v>
      </c>
      <c r="AS74" s="2" t="str">
        <f t="shared" si="24"/>
        <v>EAST_MDB_3C_3\H_C_3</v>
      </c>
      <c r="AT74" s="2" t="str">
        <f t="shared" si="24"/>
        <v>EAST_MDB_3C_3\H_C_5</v>
      </c>
      <c r="AU74" s="2" t="str">
        <f t="shared" si="24"/>
        <v>EAST_MDB_3C_3\H_C_7</v>
      </c>
      <c r="AV74" s="25" t="str">
        <f t="shared" si="25"/>
        <v>EAST_MDB_3C_3\PV1</v>
      </c>
      <c r="AW74" s="25" t="str">
        <f t="shared" si="25"/>
        <v>EAST_MDB_3C_3\PV2</v>
      </c>
      <c r="AX74" s="25" t="str">
        <f t="shared" si="25"/>
        <v>EAST_MDB_3C_3\PV3</v>
      </c>
      <c r="AY74" s="25" t="str">
        <f t="shared" si="25"/>
        <v>EAST_MDB_3C_3\PI1</v>
      </c>
      <c r="AZ74" s="25" t="str">
        <f t="shared" si="25"/>
        <v>EAST_MDB_3C_3\PI2</v>
      </c>
      <c r="BA74" s="25" t="str">
        <f t="shared" si="25"/>
        <v>EAST_MDB_3C_3\PI3</v>
      </c>
    </row>
    <row r="75" spans="1:53" x14ac:dyDescent="0.25">
      <c r="A75" s="3">
        <v>68</v>
      </c>
      <c r="B75" s="3" t="s">
        <v>335</v>
      </c>
      <c r="C75" s="3" t="s">
        <v>116</v>
      </c>
      <c r="D75" s="3" t="s">
        <v>321</v>
      </c>
      <c r="E75" s="4"/>
      <c r="F75" s="2" t="str">
        <f t="shared" si="23"/>
        <v>EAST_MDB_3C_4\ST</v>
      </c>
      <c r="G75" s="2" t="str">
        <f t="shared" si="23"/>
        <v>EAST_MDB_3C_4\TRIP</v>
      </c>
      <c r="H75" s="20"/>
      <c r="I75" s="20"/>
      <c r="J75" s="20"/>
      <c r="K75" s="20"/>
      <c r="L75" s="20"/>
      <c r="M75" s="20"/>
      <c r="N75" s="20"/>
      <c r="O75" s="20"/>
      <c r="P75" s="20"/>
      <c r="Q75" s="24"/>
      <c r="R75" s="25" t="str">
        <f t="shared" si="24"/>
        <v>EAST_MDB_3C_4\V12</v>
      </c>
      <c r="S75" s="25" t="str">
        <f t="shared" si="24"/>
        <v>EAST_MDB_3C_4\V23</v>
      </c>
      <c r="T75" s="25" t="str">
        <f t="shared" si="24"/>
        <v>EAST_MDB_3C_4\V31</v>
      </c>
      <c r="U75" s="25" t="str">
        <f t="shared" si="24"/>
        <v>EAST_MDB_3C_4\V1N</v>
      </c>
      <c r="V75" s="25" t="str">
        <f t="shared" si="24"/>
        <v>EAST_MDB_3C_4\V2N</v>
      </c>
      <c r="W75" s="25" t="str">
        <f t="shared" si="24"/>
        <v>EAST_MDB_3C_4\V3N</v>
      </c>
      <c r="X75" s="25" t="str">
        <f t="shared" si="24"/>
        <v>EAST_MDB_3C_4\VA</v>
      </c>
      <c r="Y75" s="25" t="str">
        <f t="shared" si="24"/>
        <v>EAST_MDB_3C_4\A1</v>
      </c>
      <c r="Z75" s="25" t="str">
        <f t="shared" si="24"/>
        <v>EAST_MDB_3C_4\A2</v>
      </c>
      <c r="AA75" s="25" t="str">
        <f t="shared" si="24"/>
        <v>EAST_MDB_3C_4\A3</v>
      </c>
      <c r="AB75" s="25" t="str">
        <f t="shared" si="24"/>
        <v>EAST_MDB_3C_4\AA</v>
      </c>
      <c r="AC75" s="25" t="str">
        <f t="shared" si="24"/>
        <v>EAST_MDB_3C_4\PF</v>
      </c>
      <c r="AD75" s="25" t="str">
        <f t="shared" si="24"/>
        <v>EAST_MDB_3C_4\HZ</v>
      </c>
      <c r="AE75" s="25" t="str">
        <f t="shared" si="24"/>
        <v>EAST_MDB_3C_4\KW</v>
      </c>
      <c r="AF75" s="25" t="str">
        <f t="shared" si="24"/>
        <v>EAST_MDB_3C_4\KHh</v>
      </c>
      <c r="AG75" s="25" t="str">
        <f t="shared" si="24"/>
        <v>EAST_MDB_3C_4\VA</v>
      </c>
      <c r="AH75" s="25" t="str">
        <f t="shared" si="24"/>
        <v>EAST_MDB_3C_4\VAH</v>
      </c>
      <c r="AI75" s="25" t="str">
        <f t="shared" si="24"/>
        <v>EAST_MDB_3C_4\PEAK</v>
      </c>
      <c r="AJ75" s="2" t="str">
        <f t="shared" si="24"/>
        <v>EAST_MDB_3C_4\H_A_1</v>
      </c>
      <c r="AK75" s="2" t="str">
        <f t="shared" si="24"/>
        <v>EAST_MDB_3C_4\H_A_3</v>
      </c>
      <c r="AL75" s="2" t="str">
        <f t="shared" si="24"/>
        <v>EAST_MDB_3C_4\H_A_5</v>
      </c>
      <c r="AM75" s="2" t="str">
        <f t="shared" si="24"/>
        <v>EAST_MDB_3C_4\H_A_7</v>
      </c>
      <c r="AN75" s="2" t="str">
        <f t="shared" si="24"/>
        <v>EAST_MDB_3C_4\H_B_1</v>
      </c>
      <c r="AO75" s="2" t="str">
        <f t="shared" si="24"/>
        <v>EAST_MDB_3C_4\H_B_3</v>
      </c>
      <c r="AP75" s="2" t="str">
        <f t="shared" si="24"/>
        <v>EAST_MDB_3C_4\H_B_5</v>
      </c>
      <c r="AQ75" s="2" t="str">
        <f t="shared" si="24"/>
        <v>EAST_MDB_3C_4\H_B_7</v>
      </c>
      <c r="AR75" s="2" t="str">
        <f t="shared" si="24"/>
        <v>EAST_MDB_3C_4\H_C_1</v>
      </c>
      <c r="AS75" s="2" t="str">
        <f t="shared" si="24"/>
        <v>EAST_MDB_3C_4\H_C_3</v>
      </c>
      <c r="AT75" s="2" t="str">
        <f t="shared" si="24"/>
        <v>EAST_MDB_3C_4\H_C_5</v>
      </c>
      <c r="AU75" s="2" t="str">
        <f t="shared" si="24"/>
        <v>EAST_MDB_3C_4\H_C_7</v>
      </c>
      <c r="AV75" s="25" t="str">
        <f t="shared" si="25"/>
        <v>EAST_MDB_3C_4\PV1</v>
      </c>
      <c r="AW75" s="25" t="str">
        <f t="shared" si="25"/>
        <v>EAST_MDB_3C_4\PV2</v>
      </c>
      <c r="AX75" s="25" t="str">
        <f t="shared" si="25"/>
        <v>EAST_MDB_3C_4\PV3</v>
      </c>
      <c r="AY75" s="25" t="str">
        <f t="shared" si="25"/>
        <v>EAST_MDB_3C_4\PI1</v>
      </c>
      <c r="AZ75" s="25" t="str">
        <f t="shared" si="25"/>
        <v>EAST_MDB_3C_4\PI2</v>
      </c>
      <c r="BA75" s="25" t="str">
        <f t="shared" si="25"/>
        <v>EAST_MDB_3C_4\PI3</v>
      </c>
    </row>
    <row r="76" spans="1:53" x14ac:dyDescent="0.25">
      <c r="A76" s="3">
        <v>69</v>
      </c>
      <c r="B76" s="3" t="s">
        <v>335</v>
      </c>
      <c r="C76" s="3" t="s">
        <v>117</v>
      </c>
      <c r="D76" s="3" t="s">
        <v>321</v>
      </c>
      <c r="E76" s="4"/>
      <c r="F76" s="2" t="str">
        <f t="shared" si="23"/>
        <v>EAST_MDB_3C_5\ST</v>
      </c>
      <c r="G76" s="2" t="str">
        <f t="shared" si="23"/>
        <v>EAST_MDB_3C_5\TRIP</v>
      </c>
      <c r="H76" s="20"/>
      <c r="I76" s="20"/>
      <c r="J76" s="20"/>
      <c r="K76" s="20"/>
      <c r="L76" s="20"/>
      <c r="M76" s="20"/>
      <c r="N76" s="20"/>
      <c r="O76" s="20"/>
      <c r="P76" s="20"/>
      <c r="Q76" s="24"/>
      <c r="R76" s="25" t="str">
        <f t="shared" si="24"/>
        <v>EAST_MDB_3C_5\V12</v>
      </c>
      <c r="S76" s="25" t="str">
        <f t="shared" si="24"/>
        <v>EAST_MDB_3C_5\V23</v>
      </c>
      <c r="T76" s="25" t="str">
        <f t="shared" si="24"/>
        <v>EAST_MDB_3C_5\V31</v>
      </c>
      <c r="U76" s="25" t="str">
        <f t="shared" si="24"/>
        <v>EAST_MDB_3C_5\V1N</v>
      </c>
      <c r="V76" s="25" t="str">
        <f t="shared" si="24"/>
        <v>EAST_MDB_3C_5\V2N</v>
      </c>
      <c r="W76" s="25" t="str">
        <f t="shared" si="24"/>
        <v>EAST_MDB_3C_5\V3N</v>
      </c>
      <c r="X76" s="25" t="str">
        <f t="shared" si="24"/>
        <v>EAST_MDB_3C_5\VA</v>
      </c>
      <c r="Y76" s="25" t="str">
        <f t="shared" si="24"/>
        <v>EAST_MDB_3C_5\A1</v>
      </c>
      <c r="Z76" s="25" t="str">
        <f t="shared" si="24"/>
        <v>EAST_MDB_3C_5\A2</v>
      </c>
      <c r="AA76" s="25" t="str">
        <f t="shared" si="24"/>
        <v>EAST_MDB_3C_5\A3</v>
      </c>
      <c r="AB76" s="25" t="str">
        <f t="shared" si="24"/>
        <v>EAST_MDB_3C_5\AA</v>
      </c>
      <c r="AC76" s="25" t="str">
        <f t="shared" si="24"/>
        <v>EAST_MDB_3C_5\PF</v>
      </c>
      <c r="AD76" s="25" t="str">
        <f t="shared" si="24"/>
        <v>EAST_MDB_3C_5\HZ</v>
      </c>
      <c r="AE76" s="25" t="str">
        <f t="shared" si="24"/>
        <v>EAST_MDB_3C_5\KW</v>
      </c>
      <c r="AF76" s="25" t="str">
        <f t="shared" si="24"/>
        <v>EAST_MDB_3C_5\KHh</v>
      </c>
      <c r="AG76" s="25" t="str">
        <f t="shared" si="24"/>
        <v>EAST_MDB_3C_5\VA</v>
      </c>
      <c r="AH76" s="25" t="str">
        <f t="shared" si="24"/>
        <v>EAST_MDB_3C_5\VAH</v>
      </c>
      <c r="AI76" s="25" t="str">
        <f t="shared" si="24"/>
        <v>EAST_MDB_3C_5\PEAK</v>
      </c>
      <c r="AJ76" s="2" t="str">
        <f t="shared" si="24"/>
        <v>EAST_MDB_3C_5\H_A_1</v>
      </c>
      <c r="AK76" s="2" t="str">
        <f t="shared" si="24"/>
        <v>EAST_MDB_3C_5\H_A_3</v>
      </c>
      <c r="AL76" s="2" t="str">
        <f t="shared" si="24"/>
        <v>EAST_MDB_3C_5\H_A_5</v>
      </c>
      <c r="AM76" s="2" t="str">
        <f t="shared" si="24"/>
        <v>EAST_MDB_3C_5\H_A_7</v>
      </c>
      <c r="AN76" s="2" t="str">
        <f t="shared" si="24"/>
        <v>EAST_MDB_3C_5\H_B_1</v>
      </c>
      <c r="AO76" s="2" t="str">
        <f t="shared" si="24"/>
        <v>EAST_MDB_3C_5\H_B_3</v>
      </c>
      <c r="AP76" s="2" t="str">
        <f t="shared" si="24"/>
        <v>EAST_MDB_3C_5\H_B_5</v>
      </c>
      <c r="AQ76" s="2" t="str">
        <f t="shared" si="24"/>
        <v>EAST_MDB_3C_5\H_B_7</v>
      </c>
      <c r="AR76" s="2" t="str">
        <f t="shared" si="24"/>
        <v>EAST_MDB_3C_5\H_C_1</v>
      </c>
      <c r="AS76" s="2" t="str">
        <f t="shared" si="24"/>
        <v>EAST_MDB_3C_5\H_C_3</v>
      </c>
      <c r="AT76" s="2" t="str">
        <f t="shared" si="24"/>
        <v>EAST_MDB_3C_5\H_C_5</v>
      </c>
      <c r="AU76" s="2" t="str">
        <f t="shared" si="24"/>
        <v>EAST_MDB_3C_5\H_C_7</v>
      </c>
      <c r="AV76" s="25" t="str">
        <f t="shared" si="25"/>
        <v>EAST_MDB_3C_5\PV1</v>
      </c>
      <c r="AW76" s="25" t="str">
        <f t="shared" si="25"/>
        <v>EAST_MDB_3C_5\PV2</v>
      </c>
      <c r="AX76" s="25" t="str">
        <f t="shared" si="25"/>
        <v>EAST_MDB_3C_5\PV3</v>
      </c>
      <c r="AY76" s="25" t="str">
        <f t="shared" si="25"/>
        <v>EAST_MDB_3C_5\PI1</v>
      </c>
      <c r="AZ76" s="25" t="str">
        <f t="shared" si="25"/>
        <v>EAST_MDB_3C_5\PI2</v>
      </c>
      <c r="BA76" s="25" t="str">
        <f t="shared" si="25"/>
        <v>EAST_MDB_3C_5\PI3</v>
      </c>
    </row>
    <row r="77" spans="1:53" x14ac:dyDescent="0.25">
      <c r="A77" s="3">
        <v>70</v>
      </c>
      <c r="B77" s="3" t="s">
        <v>335</v>
      </c>
      <c r="C77" s="8" t="s">
        <v>57</v>
      </c>
      <c r="D77" s="8" t="s">
        <v>291</v>
      </c>
      <c r="E77" s="4"/>
      <c r="F77" s="2" t="str">
        <f t="shared" si="23"/>
        <v>EAST_ACB_4\ST</v>
      </c>
      <c r="G77" s="2" t="str">
        <f t="shared" si="23"/>
        <v>EAST_ACB_4\TRIP</v>
      </c>
      <c r="H77" s="20"/>
      <c r="I77" s="20"/>
      <c r="J77" s="20"/>
      <c r="K77" s="20"/>
      <c r="L77" s="20"/>
      <c r="M77" s="20"/>
      <c r="N77" s="20"/>
      <c r="O77" s="2" t="str">
        <f>$C77&amp;O$7</f>
        <v>EAST_ACB_4\50_51</v>
      </c>
      <c r="P77" s="2" t="str">
        <f>$C77&amp;P$7</f>
        <v>EAST_ACB_4\51G</v>
      </c>
      <c r="Q77" s="24"/>
      <c r="R77" s="25" t="str">
        <f t="shared" si="24"/>
        <v>EAST_ACB_4\V12</v>
      </c>
      <c r="S77" s="25" t="str">
        <f t="shared" si="24"/>
        <v>EAST_ACB_4\V23</v>
      </c>
      <c r="T77" s="25" t="str">
        <f t="shared" si="24"/>
        <v>EAST_ACB_4\V31</v>
      </c>
      <c r="U77" s="25" t="str">
        <f t="shared" si="24"/>
        <v>EAST_ACB_4\V1N</v>
      </c>
      <c r="V77" s="25" t="str">
        <f t="shared" si="24"/>
        <v>EAST_ACB_4\V2N</v>
      </c>
      <c r="W77" s="25" t="str">
        <f t="shared" si="24"/>
        <v>EAST_ACB_4\V3N</v>
      </c>
      <c r="X77" s="25" t="str">
        <f t="shared" si="24"/>
        <v>EAST_ACB_4\VA</v>
      </c>
      <c r="Y77" s="25" t="str">
        <f t="shared" si="24"/>
        <v>EAST_ACB_4\A1</v>
      </c>
      <c r="Z77" s="25" t="str">
        <f t="shared" si="24"/>
        <v>EAST_ACB_4\A2</v>
      </c>
      <c r="AA77" s="25" t="str">
        <f t="shared" si="24"/>
        <v>EAST_ACB_4\A3</v>
      </c>
      <c r="AB77" s="25" t="str">
        <f t="shared" si="24"/>
        <v>EAST_ACB_4\AA</v>
      </c>
      <c r="AC77" s="25" t="str">
        <f t="shared" si="24"/>
        <v>EAST_ACB_4\PF</v>
      </c>
      <c r="AD77" s="25" t="str">
        <f t="shared" si="24"/>
        <v>EAST_ACB_4\HZ</v>
      </c>
      <c r="AE77" s="25" t="str">
        <f t="shared" si="24"/>
        <v>EAST_ACB_4\KW</v>
      </c>
      <c r="AF77" s="25" t="str">
        <f t="shared" si="24"/>
        <v>EAST_ACB_4\KHh</v>
      </c>
      <c r="AG77" s="25" t="str">
        <f t="shared" si="24"/>
        <v>EAST_ACB_4\VA</v>
      </c>
      <c r="AH77" s="25" t="str">
        <f t="shared" si="24"/>
        <v>EAST_ACB_4\VAH</v>
      </c>
      <c r="AI77" s="25" t="str">
        <f t="shared" si="24"/>
        <v>EAST_ACB_4\PEAK</v>
      </c>
      <c r="AJ77" s="2" t="str">
        <f t="shared" si="24"/>
        <v>EAST_ACB_4\H_A_1</v>
      </c>
      <c r="AK77" s="2" t="str">
        <f t="shared" si="24"/>
        <v>EAST_ACB_4\H_A_3</v>
      </c>
      <c r="AL77" s="2" t="str">
        <f t="shared" si="24"/>
        <v>EAST_ACB_4\H_A_5</v>
      </c>
      <c r="AM77" s="2" t="str">
        <f t="shared" si="24"/>
        <v>EAST_ACB_4\H_A_7</v>
      </c>
      <c r="AN77" s="2" t="str">
        <f t="shared" si="24"/>
        <v>EAST_ACB_4\H_B_1</v>
      </c>
      <c r="AO77" s="2" t="str">
        <f t="shared" si="24"/>
        <v>EAST_ACB_4\H_B_3</v>
      </c>
      <c r="AP77" s="2" t="str">
        <f t="shared" si="24"/>
        <v>EAST_ACB_4\H_B_5</v>
      </c>
      <c r="AQ77" s="2" t="str">
        <f t="shared" si="24"/>
        <v>EAST_ACB_4\H_B_7</v>
      </c>
      <c r="AR77" s="2" t="str">
        <f t="shared" si="24"/>
        <v>EAST_ACB_4\H_C_1</v>
      </c>
      <c r="AS77" s="2" t="str">
        <f t="shared" si="24"/>
        <v>EAST_ACB_4\H_C_3</v>
      </c>
      <c r="AT77" s="2" t="str">
        <f t="shared" si="24"/>
        <v>EAST_ACB_4\H_C_5</v>
      </c>
      <c r="AU77" s="2" t="str">
        <f t="shared" si="24"/>
        <v>EAST_ACB_4\H_C_7</v>
      </c>
      <c r="AV77" s="25" t="str">
        <f t="shared" si="25"/>
        <v>EAST_ACB_4\PV1</v>
      </c>
      <c r="AW77" s="25" t="str">
        <f t="shared" si="25"/>
        <v>EAST_ACB_4\PV2</v>
      </c>
      <c r="AX77" s="25" t="str">
        <f t="shared" si="25"/>
        <v>EAST_ACB_4\PV3</v>
      </c>
      <c r="AY77" s="25" t="str">
        <f t="shared" si="25"/>
        <v>EAST_ACB_4\PI1</v>
      </c>
      <c r="AZ77" s="25" t="str">
        <f t="shared" si="25"/>
        <v>EAST_ACB_4\PI2</v>
      </c>
      <c r="BA77" s="25" t="str">
        <f t="shared" si="25"/>
        <v>EAST_ACB_4\PI3</v>
      </c>
    </row>
    <row r="78" spans="1:53" x14ac:dyDescent="0.25">
      <c r="A78" s="3">
        <v>71</v>
      </c>
      <c r="B78" s="3" t="s">
        <v>335</v>
      </c>
      <c r="C78" s="3" t="s">
        <v>232</v>
      </c>
      <c r="D78" s="3" t="s">
        <v>291</v>
      </c>
      <c r="E78" s="4"/>
      <c r="F78" s="2"/>
      <c r="G78" s="2"/>
      <c r="H78" s="2" t="str">
        <f>$C78&amp;H$7</f>
        <v>EAST_MDB_4A\ELD</v>
      </c>
      <c r="I78" s="2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</row>
    <row r="79" spans="1:53" x14ac:dyDescent="0.25">
      <c r="A79" s="3">
        <v>72</v>
      </c>
      <c r="B79" s="3" t="s">
        <v>335</v>
      </c>
      <c r="C79" s="3" t="s">
        <v>253</v>
      </c>
      <c r="D79" s="3" t="s">
        <v>305</v>
      </c>
      <c r="E79" s="4"/>
      <c r="F79" s="20"/>
      <c r="G79" s="2"/>
      <c r="H79" s="2"/>
      <c r="I79" s="2" t="str">
        <f>$C79&amp;I$7</f>
        <v>EAST_TR_4\TM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</row>
    <row r="80" spans="1:53" x14ac:dyDescent="0.25">
      <c r="A80" s="3">
        <v>73</v>
      </c>
      <c r="B80" s="3" t="s">
        <v>335</v>
      </c>
      <c r="C80" s="3" t="s">
        <v>261</v>
      </c>
      <c r="D80" s="3" t="s">
        <v>313</v>
      </c>
      <c r="E80" s="4"/>
      <c r="F80" s="2" t="str">
        <f t="shared" ref="F80:F81" si="26">$C80&amp;F$7</f>
        <v>EAST_CTTS_4\ST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</row>
    <row r="81" spans="1:53" x14ac:dyDescent="0.25">
      <c r="A81" s="3">
        <v>74</v>
      </c>
      <c r="B81" s="3" t="s">
        <v>335</v>
      </c>
      <c r="C81" s="8" t="s">
        <v>58</v>
      </c>
      <c r="D81" s="8" t="s">
        <v>292</v>
      </c>
      <c r="E81" s="4"/>
      <c r="F81" s="2" t="str">
        <f t="shared" si="26"/>
        <v>EAST_ACB_5\ST</v>
      </c>
      <c r="G81" s="2" t="str">
        <f>$C81&amp;G$7</f>
        <v>EAST_ACB_5\TRIP</v>
      </c>
      <c r="H81" s="20"/>
      <c r="I81" s="20"/>
      <c r="J81" s="20"/>
      <c r="K81" s="20"/>
      <c r="L81" s="20"/>
      <c r="M81" s="20"/>
      <c r="N81" s="20"/>
      <c r="O81" s="2" t="str">
        <f>$C81&amp;O$7</f>
        <v>EAST_ACB_5\50_51</v>
      </c>
      <c r="P81" s="2" t="str">
        <f>$C81&amp;P$7</f>
        <v>EAST_ACB_5\51G</v>
      </c>
      <c r="Q81" s="24"/>
      <c r="R81" s="2" t="str">
        <f t="shared" ref="R81:BA81" si="27">$C81&amp;R$7</f>
        <v>EAST_ACB_5\V12</v>
      </c>
      <c r="S81" s="2" t="str">
        <f t="shared" si="27"/>
        <v>EAST_ACB_5\V23</v>
      </c>
      <c r="T81" s="2" t="str">
        <f t="shared" si="27"/>
        <v>EAST_ACB_5\V31</v>
      </c>
      <c r="U81" s="2" t="str">
        <f t="shared" si="27"/>
        <v>EAST_ACB_5\V1N</v>
      </c>
      <c r="V81" s="2" t="str">
        <f t="shared" si="27"/>
        <v>EAST_ACB_5\V2N</v>
      </c>
      <c r="W81" s="2" t="str">
        <f t="shared" si="27"/>
        <v>EAST_ACB_5\V3N</v>
      </c>
      <c r="X81" s="2" t="str">
        <f t="shared" si="27"/>
        <v>EAST_ACB_5\VA</v>
      </c>
      <c r="Y81" s="2" t="str">
        <f t="shared" si="27"/>
        <v>EAST_ACB_5\A1</v>
      </c>
      <c r="Z81" s="2" t="str">
        <f t="shared" si="27"/>
        <v>EAST_ACB_5\A2</v>
      </c>
      <c r="AA81" s="2" t="str">
        <f t="shared" si="27"/>
        <v>EAST_ACB_5\A3</v>
      </c>
      <c r="AB81" s="2" t="str">
        <f t="shared" si="27"/>
        <v>EAST_ACB_5\AA</v>
      </c>
      <c r="AC81" s="2" t="str">
        <f t="shared" si="27"/>
        <v>EAST_ACB_5\PF</v>
      </c>
      <c r="AD81" s="2" t="str">
        <f t="shared" si="27"/>
        <v>EAST_ACB_5\HZ</v>
      </c>
      <c r="AE81" s="2" t="str">
        <f t="shared" si="27"/>
        <v>EAST_ACB_5\KW</v>
      </c>
      <c r="AF81" s="2" t="str">
        <f t="shared" si="27"/>
        <v>EAST_ACB_5\KHh</v>
      </c>
      <c r="AG81" s="2" t="str">
        <f t="shared" si="27"/>
        <v>EAST_ACB_5\VA</v>
      </c>
      <c r="AH81" s="2" t="str">
        <f t="shared" si="27"/>
        <v>EAST_ACB_5\VAH</v>
      </c>
      <c r="AI81" s="2" t="str">
        <f t="shared" si="27"/>
        <v>EAST_ACB_5\PEAK</v>
      </c>
      <c r="AJ81" s="2" t="str">
        <f t="shared" si="27"/>
        <v>EAST_ACB_5\H_A_1</v>
      </c>
      <c r="AK81" s="2" t="str">
        <f t="shared" si="27"/>
        <v>EAST_ACB_5\H_A_3</v>
      </c>
      <c r="AL81" s="2" t="str">
        <f t="shared" si="27"/>
        <v>EAST_ACB_5\H_A_5</v>
      </c>
      <c r="AM81" s="2" t="str">
        <f t="shared" si="27"/>
        <v>EAST_ACB_5\H_A_7</v>
      </c>
      <c r="AN81" s="2" t="str">
        <f t="shared" si="27"/>
        <v>EAST_ACB_5\H_B_1</v>
      </c>
      <c r="AO81" s="2" t="str">
        <f t="shared" si="27"/>
        <v>EAST_ACB_5\H_B_3</v>
      </c>
      <c r="AP81" s="2" t="str">
        <f t="shared" si="27"/>
        <v>EAST_ACB_5\H_B_5</v>
      </c>
      <c r="AQ81" s="2" t="str">
        <f t="shared" si="27"/>
        <v>EAST_ACB_5\H_B_7</v>
      </c>
      <c r="AR81" s="2" t="str">
        <f t="shared" si="27"/>
        <v>EAST_ACB_5\H_C_1</v>
      </c>
      <c r="AS81" s="2" t="str">
        <f t="shared" si="27"/>
        <v>EAST_ACB_5\H_C_3</v>
      </c>
      <c r="AT81" s="2" t="str">
        <f t="shared" si="27"/>
        <v>EAST_ACB_5\H_C_5</v>
      </c>
      <c r="AU81" s="2" t="str">
        <f t="shared" si="27"/>
        <v>EAST_ACB_5\H_C_7</v>
      </c>
      <c r="AV81" s="2" t="str">
        <f t="shared" si="27"/>
        <v>EAST_ACB_5\PV1</v>
      </c>
      <c r="AW81" s="2" t="str">
        <f t="shared" si="27"/>
        <v>EAST_ACB_5\PV2</v>
      </c>
      <c r="AX81" s="2" t="str">
        <f t="shared" si="27"/>
        <v>EAST_ACB_5\PV3</v>
      </c>
      <c r="AY81" s="2" t="str">
        <f t="shared" si="27"/>
        <v>EAST_ACB_5\PI1</v>
      </c>
      <c r="AZ81" s="2" t="str">
        <f t="shared" si="27"/>
        <v>EAST_ACB_5\PI2</v>
      </c>
      <c r="BA81" s="2" t="str">
        <f t="shared" si="27"/>
        <v>EAST_ACB_5\PI3</v>
      </c>
    </row>
    <row r="82" spans="1:53" x14ac:dyDescent="0.25">
      <c r="A82" s="3">
        <v>75</v>
      </c>
      <c r="B82" s="3" t="s">
        <v>335</v>
      </c>
      <c r="C82" s="3" t="s">
        <v>254</v>
      </c>
      <c r="D82" s="3" t="s">
        <v>306</v>
      </c>
      <c r="E82" s="4"/>
      <c r="F82" s="20"/>
      <c r="G82" s="2"/>
      <c r="H82" s="2"/>
      <c r="I82" s="2" t="str">
        <f>$C82&amp;I$7</f>
        <v>EAST_TR_5\TM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</row>
    <row r="83" spans="1:53" x14ac:dyDescent="0.25">
      <c r="A83" s="3">
        <v>76</v>
      </c>
      <c r="B83" s="3" t="s">
        <v>335</v>
      </c>
      <c r="C83" s="3" t="s">
        <v>262</v>
      </c>
      <c r="D83" s="3" t="s">
        <v>314</v>
      </c>
      <c r="E83" s="4"/>
      <c r="F83" s="2" t="str">
        <f t="shared" ref="F83:F84" si="28">$C83&amp;F$7</f>
        <v>EAST_CTTS_5\ST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</row>
    <row r="84" spans="1:53" x14ac:dyDescent="0.25">
      <c r="A84" s="3">
        <v>77</v>
      </c>
      <c r="B84" s="3" t="s">
        <v>335</v>
      </c>
      <c r="C84" s="8" t="s">
        <v>59</v>
      </c>
      <c r="D84" s="8" t="s">
        <v>293</v>
      </c>
      <c r="E84" s="4"/>
      <c r="F84" s="2" t="str">
        <f t="shared" si="28"/>
        <v>EAST_ACB_6\ST</v>
      </c>
      <c r="G84" s="2" t="str">
        <f>$C84&amp;G$7</f>
        <v>EAST_ACB_6\TRIP</v>
      </c>
      <c r="H84" s="20"/>
      <c r="I84" s="20"/>
      <c r="J84" s="20"/>
      <c r="K84" s="20"/>
      <c r="L84" s="20"/>
      <c r="M84" s="20"/>
      <c r="N84" s="20"/>
      <c r="O84" s="2" t="str">
        <f>$C84&amp;O$7</f>
        <v>EAST_ACB_6\50_51</v>
      </c>
      <c r="P84" s="2" t="str">
        <f>$C84&amp;P$7</f>
        <v>EAST_ACB_6\51G</v>
      </c>
      <c r="Q84" s="24"/>
      <c r="R84" s="2" t="str">
        <f t="shared" ref="R84:BA84" si="29">$C84&amp;R$7</f>
        <v>EAST_ACB_6\V12</v>
      </c>
      <c r="S84" s="2" t="str">
        <f t="shared" si="29"/>
        <v>EAST_ACB_6\V23</v>
      </c>
      <c r="T84" s="2" t="str">
        <f t="shared" si="29"/>
        <v>EAST_ACB_6\V31</v>
      </c>
      <c r="U84" s="2" t="str">
        <f t="shared" si="29"/>
        <v>EAST_ACB_6\V1N</v>
      </c>
      <c r="V84" s="2" t="str">
        <f t="shared" si="29"/>
        <v>EAST_ACB_6\V2N</v>
      </c>
      <c r="W84" s="2" t="str">
        <f t="shared" si="29"/>
        <v>EAST_ACB_6\V3N</v>
      </c>
      <c r="X84" s="2" t="str">
        <f t="shared" si="29"/>
        <v>EAST_ACB_6\VA</v>
      </c>
      <c r="Y84" s="2" t="str">
        <f t="shared" si="29"/>
        <v>EAST_ACB_6\A1</v>
      </c>
      <c r="Z84" s="2" t="str">
        <f t="shared" si="29"/>
        <v>EAST_ACB_6\A2</v>
      </c>
      <c r="AA84" s="2" t="str">
        <f t="shared" si="29"/>
        <v>EAST_ACB_6\A3</v>
      </c>
      <c r="AB84" s="2" t="str">
        <f t="shared" si="29"/>
        <v>EAST_ACB_6\AA</v>
      </c>
      <c r="AC84" s="2" t="str">
        <f t="shared" si="29"/>
        <v>EAST_ACB_6\PF</v>
      </c>
      <c r="AD84" s="2" t="str">
        <f t="shared" si="29"/>
        <v>EAST_ACB_6\HZ</v>
      </c>
      <c r="AE84" s="2" t="str">
        <f t="shared" si="29"/>
        <v>EAST_ACB_6\KW</v>
      </c>
      <c r="AF84" s="2" t="str">
        <f t="shared" si="29"/>
        <v>EAST_ACB_6\KHh</v>
      </c>
      <c r="AG84" s="2" t="str">
        <f t="shared" si="29"/>
        <v>EAST_ACB_6\VA</v>
      </c>
      <c r="AH84" s="2" t="str">
        <f t="shared" si="29"/>
        <v>EAST_ACB_6\VAH</v>
      </c>
      <c r="AI84" s="2" t="str">
        <f t="shared" si="29"/>
        <v>EAST_ACB_6\PEAK</v>
      </c>
      <c r="AJ84" s="2" t="str">
        <f t="shared" si="29"/>
        <v>EAST_ACB_6\H_A_1</v>
      </c>
      <c r="AK84" s="2" t="str">
        <f t="shared" si="29"/>
        <v>EAST_ACB_6\H_A_3</v>
      </c>
      <c r="AL84" s="2" t="str">
        <f t="shared" si="29"/>
        <v>EAST_ACB_6\H_A_5</v>
      </c>
      <c r="AM84" s="2" t="str">
        <f t="shared" si="29"/>
        <v>EAST_ACB_6\H_A_7</v>
      </c>
      <c r="AN84" s="2" t="str">
        <f t="shared" si="29"/>
        <v>EAST_ACB_6\H_B_1</v>
      </c>
      <c r="AO84" s="2" t="str">
        <f t="shared" si="29"/>
        <v>EAST_ACB_6\H_B_3</v>
      </c>
      <c r="AP84" s="2" t="str">
        <f t="shared" si="29"/>
        <v>EAST_ACB_6\H_B_5</v>
      </c>
      <c r="AQ84" s="2" t="str">
        <f t="shared" si="29"/>
        <v>EAST_ACB_6\H_B_7</v>
      </c>
      <c r="AR84" s="2" t="str">
        <f t="shared" si="29"/>
        <v>EAST_ACB_6\H_C_1</v>
      </c>
      <c r="AS84" s="2" t="str">
        <f t="shared" si="29"/>
        <v>EAST_ACB_6\H_C_3</v>
      </c>
      <c r="AT84" s="2" t="str">
        <f t="shared" si="29"/>
        <v>EAST_ACB_6\H_C_5</v>
      </c>
      <c r="AU84" s="2" t="str">
        <f t="shared" si="29"/>
        <v>EAST_ACB_6\H_C_7</v>
      </c>
      <c r="AV84" s="2" t="str">
        <f t="shared" si="29"/>
        <v>EAST_ACB_6\PV1</v>
      </c>
      <c r="AW84" s="2" t="str">
        <f t="shared" si="29"/>
        <v>EAST_ACB_6\PV2</v>
      </c>
      <c r="AX84" s="2" t="str">
        <f t="shared" si="29"/>
        <v>EAST_ACB_6\PV3</v>
      </c>
      <c r="AY84" s="2" t="str">
        <f t="shared" si="29"/>
        <v>EAST_ACB_6\PI1</v>
      </c>
      <c r="AZ84" s="2" t="str">
        <f t="shared" si="29"/>
        <v>EAST_ACB_6\PI2</v>
      </c>
      <c r="BA84" s="2" t="str">
        <f t="shared" si="29"/>
        <v>EAST_ACB_6\PI3</v>
      </c>
    </row>
    <row r="85" spans="1:53" x14ac:dyDescent="0.25">
      <c r="A85" s="3">
        <v>78</v>
      </c>
      <c r="B85" s="3" t="s">
        <v>335</v>
      </c>
      <c r="C85" s="3" t="s">
        <v>255</v>
      </c>
      <c r="D85" s="3" t="s">
        <v>307</v>
      </c>
      <c r="E85" s="4"/>
      <c r="F85" s="20"/>
      <c r="G85" s="2"/>
      <c r="H85" s="2"/>
      <c r="I85" s="2" t="str">
        <f>$C85&amp;I$7</f>
        <v>EAST_TR_6\TM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</row>
    <row r="86" spans="1:53" x14ac:dyDescent="0.25">
      <c r="A86" s="3">
        <v>79</v>
      </c>
      <c r="B86" s="3" t="s">
        <v>335</v>
      </c>
      <c r="C86" s="3" t="s">
        <v>263</v>
      </c>
      <c r="D86" s="3" t="s">
        <v>315</v>
      </c>
      <c r="E86" s="4"/>
      <c r="F86" s="2" t="str">
        <f>$C86&amp;F$7</f>
        <v>EAST_CTTS_6\ST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</row>
    <row r="87" spans="1:53" s="15" customFormat="1" x14ac:dyDescent="0.25">
      <c r="A87" s="11">
        <v>1</v>
      </c>
      <c r="B87" s="11" t="s">
        <v>336</v>
      </c>
      <c r="C87" s="8" t="s">
        <v>60</v>
      </c>
      <c r="D87" s="8" t="s">
        <v>294</v>
      </c>
      <c r="E87" s="16"/>
      <c r="F87" s="21" t="str">
        <f>$C87&amp;F$7</f>
        <v>EAST_ACB_7\ST</v>
      </c>
      <c r="G87" s="21" t="str">
        <f>$C87&amp;G$7</f>
        <v>EAST_ACB_7\TRIP</v>
      </c>
      <c r="H87" s="21"/>
      <c r="I87" s="21"/>
      <c r="J87" s="21"/>
      <c r="K87" s="21"/>
      <c r="L87" s="21"/>
      <c r="M87" s="21"/>
      <c r="N87" s="21"/>
      <c r="O87" s="21" t="str">
        <f>$C87&amp;O$7</f>
        <v>EAST_ACB_7\50_51</v>
      </c>
      <c r="P87" s="21" t="str">
        <f>$C87&amp;P$7</f>
        <v>EAST_ACB_7\51G</v>
      </c>
      <c r="Q87" s="22"/>
      <c r="R87" s="23" t="str">
        <f t="shared" ref="R87:BA87" si="30">$C87&amp;R$7</f>
        <v>EAST_ACB_7\V12</v>
      </c>
      <c r="S87" s="23" t="str">
        <f t="shared" si="30"/>
        <v>EAST_ACB_7\V23</v>
      </c>
      <c r="T87" s="23" t="str">
        <f t="shared" si="30"/>
        <v>EAST_ACB_7\V31</v>
      </c>
      <c r="U87" s="23" t="str">
        <f t="shared" si="30"/>
        <v>EAST_ACB_7\V1N</v>
      </c>
      <c r="V87" s="23" t="str">
        <f t="shared" si="30"/>
        <v>EAST_ACB_7\V2N</v>
      </c>
      <c r="W87" s="23" t="str">
        <f t="shared" si="30"/>
        <v>EAST_ACB_7\V3N</v>
      </c>
      <c r="X87" s="23" t="str">
        <f t="shared" si="30"/>
        <v>EAST_ACB_7\VA</v>
      </c>
      <c r="Y87" s="23" t="str">
        <f t="shared" si="30"/>
        <v>EAST_ACB_7\A1</v>
      </c>
      <c r="Z87" s="23" t="str">
        <f t="shared" si="30"/>
        <v>EAST_ACB_7\A2</v>
      </c>
      <c r="AA87" s="23" t="str">
        <f t="shared" si="30"/>
        <v>EAST_ACB_7\A3</v>
      </c>
      <c r="AB87" s="23" t="str">
        <f t="shared" si="30"/>
        <v>EAST_ACB_7\AA</v>
      </c>
      <c r="AC87" s="23" t="str">
        <f t="shared" si="30"/>
        <v>EAST_ACB_7\PF</v>
      </c>
      <c r="AD87" s="23" t="str">
        <f t="shared" si="30"/>
        <v>EAST_ACB_7\HZ</v>
      </c>
      <c r="AE87" s="23" t="str">
        <f t="shared" si="30"/>
        <v>EAST_ACB_7\KW</v>
      </c>
      <c r="AF87" s="23" t="str">
        <f t="shared" si="30"/>
        <v>EAST_ACB_7\KHh</v>
      </c>
      <c r="AG87" s="23" t="str">
        <f t="shared" si="30"/>
        <v>EAST_ACB_7\VA</v>
      </c>
      <c r="AH87" s="23" t="str">
        <f t="shared" si="30"/>
        <v>EAST_ACB_7\VAH</v>
      </c>
      <c r="AI87" s="23" t="str">
        <f t="shared" si="30"/>
        <v>EAST_ACB_7\PEAK</v>
      </c>
      <c r="AJ87" s="23" t="str">
        <f t="shared" si="30"/>
        <v>EAST_ACB_7\H_A_1</v>
      </c>
      <c r="AK87" s="23" t="str">
        <f t="shared" si="30"/>
        <v>EAST_ACB_7\H_A_3</v>
      </c>
      <c r="AL87" s="23" t="str">
        <f t="shared" si="30"/>
        <v>EAST_ACB_7\H_A_5</v>
      </c>
      <c r="AM87" s="23" t="str">
        <f t="shared" si="30"/>
        <v>EAST_ACB_7\H_A_7</v>
      </c>
      <c r="AN87" s="23" t="str">
        <f t="shared" si="30"/>
        <v>EAST_ACB_7\H_B_1</v>
      </c>
      <c r="AO87" s="23" t="str">
        <f t="shared" si="30"/>
        <v>EAST_ACB_7\H_B_3</v>
      </c>
      <c r="AP87" s="23" t="str">
        <f t="shared" si="30"/>
        <v>EAST_ACB_7\H_B_5</v>
      </c>
      <c r="AQ87" s="23" t="str">
        <f t="shared" si="30"/>
        <v>EAST_ACB_7\H_B_7</v>
      </c>
      <c r="AR87" s="23" t="str">
        <f t="shared" si="30"/>
        <v>EAST_ACB_7\H_C_1</v>
      </c>
      <c r="AS87" s="23" t="str">
        <f t="shared" si="30"/>
        <v>EAST_ACB_7\H_C_3</v>
      </c>
      <c r="AT87" s="23" t="str">
        <f t="shared" si="30"/>
        <v>EAST_ACB_7\H_C_5</v>
      </c>
      <c r="AU87" s="23" t="str">
        <f t="shared" si="30"/>
        <v>EAST_ACB_7\H_C_7</v>
      </c>
      <c r="AV87" s="23" t="str">
        <f t="shared" si="30"/>
        <v>EAST_ACB_7\PV1</v>
      </c>
      <c r="AW87" s="23" t="str">
        <f t="shared" si="30"/>
        <v>EAST_ACB_7\PV2</v>
      </c>
      <c r="AX87" s="23" t="str">
        <f t="shared" si="30"/>
        <v>EAST_ACB_7\PV3</v>
      </c>
      <c r="AY87" s="23" t="str">
        <f t="shared" si="30"/>
        <v>EAST_ACB_7\PI1</v>
      </c>
      <c r="AZ87" s="23" t="str">
        <f t="shared" si="30"/>
        <v>EAST_ACB_7\PI2</v>
      </c>
      <c r="BA87" s="23" t="str">
        <f t="shared" si="30"/>
        <v>EAST_ACB_7\PI3</v>
      </c>
    </row>
    <row r="88" spans="1:53" x14ac:dyDescent="0.25">
      <c r="A88" s="3">
        <v>2</v>
      </c>
      <c r="B88" s="3" t="s">
        <v>336</v>
      </c>
      <c r="C88" s="3" t="s">
        <v>256</v>
      </c>
      <c r="D88" s="3" t="s">
        <v>308</v>
      </c>
      <c r="E88" s="4"/>
      <c r="F88" s="20"/>
      <c r="G88" s="2"/>
      <c r="H88" s="2"/>
      <c r="I88" s="2" t="str">
        <f>$C88&amp;I$7</f>
        <v>EAST_TR_7\TM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</row>
    <row r="89" spans="1:53" x14ac:dyDescent="0.25">
      <c r="A89" s="3">
        <v>3</v>
      </c>
      <c r="B89" s="3" t="s">
        <v>336</v>
      </c>
      <c r="C89" s="3" t="s">
        <v>264</v>
      </c>
      <c r="D89" s="3" t="s">
        <v>316</v>
      </c>
      <c r="E89" s="4"/>
      <c r="F89" s="2" t="str">
        <f t="shared" ref="F89:G92" si="31">$C89&amp;F$7</f>
        <v>EAST_CTTS_7\ST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</row>
    <row r="90" spans="1:53" x14ac:dyDescent="0.25">
      <c r="A90" s="3">
        <v>4</v>
      </c>
      <c r="B90" s="3" t="s">
        <v>336</v>
      </c>
      <c r="C90" s="3" t="s">
        <v>63</v>
      </c>
      <c r="D90" s="3" t="s">
        <v>296</v>
      </c>
      <c r="E90" s="4"/>
      <c r="F90" s="2" t="str">
        <f t="shared" si="31"/>
        <v>EAST_G_A\ST</v>
      </c>
      <c r="G90" s="2" t="str">
        <f t="shared" si="31"/>
        <v>EAST_G_A\TRIP</v>
      </c>
      <c r="H90" s="20"/>
      <c r="I90" s="20"/>
      <c r="J90" s="2" t="str">
        <f t="shared" ref="J90:N90" si="32">$C90&amp;J$7</f>
        <v>EAST_G_A\OCR_A</v>
      </c>
      <c r="K90" s="2" t="str">
        <f t="shared" si="32"/>
        <v>EAST_G_A\OCR_B</v>
      </c>
      <c r="L90" s="2" t="str">
        <f t="shared" si="32"/>
        <v>EAST_G_A\OCR_C</v>
      </c>
      <c r="M90" s="2" t="str">
        <f t="shared" si="32"/>
        <v>EAST_G_A\OCGR</v>
      </c>
      <c r="N90" s="2" t="str">
        <f t="shared" si="32"/>
        <v>EAST_G_A\OVR</v>
      </c>
      <c r="O90" s="20"/>
      <c r="P90" s="20"/>
      <c r="Q90" s="24"/>
      <c r="R90" s="2" t="str">
        <f t="shared" ref="R90:AU92" si="33">$C90&amp;R$7</f>
        <v>EAST_G_A\V12</v>
      </c>
      <c r="S90" s="2" t="str">
        <f t="shared" si="33"/>
        <v>EAST_G_A\V23</v>
      </c>
      <c r="T90" s="2" t="str">
        <f t="shared" si="33"/>
        <v>EAST_G_A\V31</v>
      </c>
      <c r="U90" s="2" t="str">
        <f t="shared" si="33"/>
        <v>EAST_G_A\V1N</v>
      </c>
      <c r="V90" s="2" t="str">
        <f t="shared" si="33"/>
        <v>EAST_G_A\V2N</v>
      </c>
      <c r="W90" s="2" t="str">
        <f t="shared" si="33"/>
        <v>EAST_G_A\V3N</v>
      </c>
      <c r="X90" s="2" t="str">
        <f t="shared" si="33"/>
        <v>EAST_G_A\VA</v>
      </c>
      <c r="Y90" s="2" t="str">
        <f t="shared" si="33"/>
        <v>EAST_G_A\A1</v>
      </c>
      <c r="Z90" s="2" t="str">
        <f t="shared" si="33"/>
        <v>EAST_G_A\A2</v>
      </c>
      <c r="AA90" s="2" t="str">
        <f t="shared" si="33"/>
        <v>EAST_G_A\A3</v>
      </c>
      <c r="AB90" s="2" t="str">
        <f t="shared" si="33"/>
        <v>EAST_G_A\AA</v>
      </c>
      <c r="AC90" s="2" t="str">
        <f t="shared" si="33"/>
        <v>EAST_G_A\PF</v>
      </c>
      <c r="AD90" s="2" t="str">
        <f t="shared" si="33"/>
        <v>EAST_G_A\HZ</v>
      </c>
      <c r="AE90" s="2" t="str">
        <f t="shared" si="33"/>
        <v>EAST_G_A\KW</v>
      </c>
      <c r="AF90" s="2" t="str">
        <f t="shared" si="33"/>
        <v>EAST_G_A\KHh</v>
      </c>
      <c r="AG90" s="2" t="str">
        <f t="shared" si="33"/>
        <v>EAST_G_A\VA</v>
      </c>
      <c r="AH90" s="2" t="str">
        <f t="shared" si="33"/>
        <v>EAST_G_A\VAH</v>
      </c>
      <c r="AI90" s="2" t="str">
        <f t="shared" si="33"/>
        <v>EAST_G_A\PEAK</v>
      </c>
      <c r="AJ90" s="2" t="str">
        <f t="shared" si="33"/>
        <v>EAST_G_A\H_A_1</v>
      </c>
      <c r="AK90" s="2" t="str">
        <f t="shared" si="33"/>
        <v>EAST_G_A\H_A_3</v>
      </c>
      <c r="AL90" s="2" t="str">
        <f t="shared" si="33"/>
        <v>EAST_G_A\H_A_5</v>
      </c>
      <c r="AM90" s="2" t="str">
        <f t="shared" si="33"/>
        <v>EAST_G_A\H_A_7</v>
      </c>
      <c r="AN90" s="2" t="str">
        <f t="shared" si="33"/>
        <v>EAST_G_A\H_B_1</v>
      </c>
      <c r="AO90" s="2" t="str">
        <f t="shared" si="33"/>
        <v>EAST_G_A\H_B_3</v>
      </c>
      <c r="AP90" s="2" t="str">
        <f t="shared" si="33"/>
        <v>EAST_G_A\H_B_5</v>
      </c>
      <c r="AQ90" s="2" t="str">
        <f t="shared" si="33"/>
        <v>EAST_G_A\H_B_7</v>
      </c>
      <c r="AR90" s="2" t="str">
        <f t="shared" si="33"/>
        <v>EAST_G_A\H_C_1</v>
      </c>
      <c r="AS90" s="2" t="str">
        <f t="shared" si="33"/>
        <v>EAST_G_A\H_C_3</v>
      </c>
      <c r="AT90" s="2" t="str">
        <f t="shared" si="33"/>
        <v>EAST_G_A\H_C_5</v>
      </c>
      <c r="AU90" s="2" t="str">
        <f t="shared" si="33"/>
        <v>EAST_G_A\H_C_7</v>
      </c>
      <c r="AV90" s="2" t="str">
        <f t="shared" ref="AV90:BA92" si="34">$C90&amp;AV$7</f>
        <v>EAST_G_A\PV1</v>
      </c>
      <c r="AW90" s="2" t="str">
        <f t="shared" si="34"/>
        <v>EAST_G_A\PV2</v>
      </c>
      <c r="AX90" s="2" t="str">
        <f t="shared" si="34"/>
        <v>EAST_G_A\PV3</v>
      </c>
      <c r="AY90" s="2" t="str">
        <f t="shared" si="34"/>
        <v>EAST_G_A\PI1</v>
      </c>
      <c r="AZ90" s="2" t="str">
        <f t="shared" si="34"/>
        <v>EAST_G_A\PI2</v>
      </c>
      <c r="BA90" s="2" t="str">
        <f t="shared" si="34"/>
        <v>EAST_G_A\PI3</v>
      </c>
    </row>
    <row r="91" spans="1:53" x14ac:dyDescent="0.25">
      <c r="A91" s="3">
        <v>5</v>
      </c>
      <c r="B91" s="3" t="s">
        <v>336</v>
      </c>
      <c r="C91" s="8" t="s">
        <v>61</v>
      </c>
      <c r="D91" s="8" t="s">
        <v>295</v>
      </c>
      <c r="E91" s="4"/>
      <c r="F91" s="2" t="str">
        <f t="shared" si="31"/>
        <v>EAST_ACB_8\ST</v>
      </c>
      <c r="G91" s="2" t="str">
        <f t="shared" si="31"/>
        <v>EAST_ACB_8\TRIP</v>
      </c>
      <c r="H91" s="20"/>
      <c r="I91" s="20"/>
      <c r="J91" s="20"/>
      <c r="K91" s="20"/>
      <c r="L91" s="20"/>
      <c r="M91" s="20"/>
      <c r="N91" s="20"/>
      <c r="O91" s="2" t="str">
        <f t="shared" ref="O91:P92" si="35">$C91&amp;O$7</f>
        <v>EAST_ACB_8\50_51</v>
      </c>
      <c r="P91" s="2" t="str">
        <f t="shared" si="35"/>
        <v>EAST_ACB_8\51G</v>
      </c>
      <c r="Q91" s="24"/>
      <c r="R91" s="2" t="str">
        <f t="shared" si="33"/>
        <v>EAST_ACB_8\V12</v>
      </c>
      <c r="S91" s="2" t="str">
        <f t="shared" si="33"/>
        <v>EAST_ACB_8\V23</v>
      </c>
      <c r="T91" s="2" t="str">
        <f t="shared" si="33"/>
        <v>EAST_ACB_8\V31</v>
      </c>
      <c r="U91" s="2" t="str">
        <f t="shared" si="33"/>
        <v>EAST_ACB_8\V1N</v>
      </c>
      <c r="V91" s="2" t="str">
        <f t="shared" si="33"/>
        <v>EAST_ACB_8\V2N</v>
      </c>
      <c r="W91" s="2" t="str">
        <f t="shared" si="33"/>
        <v>EAST_ACB_8\V3N</v>
      </c>
      <c r="X91" s="2" t="str">
        <f t="shared" si="33"/>
        <v>EAST_ACB_8\VA</v>
      </c>
      <c r="Y91" s="2" t="str">
        <f t="shared" si="33"/>
        <v>EAST_ACB_8\A1</v>
      </c>
      <c r="Z91" s="2" t="str">
        <f t="shared" si="33"/>
        <v>EAST_ACB_8\A2</v>
      </c>
      <c r="AA91" s="2" t="str">
        <f t="shared" si="33"/>
        <v>EAST_ACB_8\A3</v>
      </c>
      <c r="AB91" s="2" t="str">
        <f t="shared" si="33"/>
        <v>EAST_ACB_8\AA</v>
      </c>
      <c r="AC91" s="2" t="str">
        <f t="shared" si="33"/>
        <v>EAST_ACB_8\PF</v>
      </c>
      <c r="AD91" s="2" t="str">
        <f t="shared" si="33"/>
        <v>EAST_ACB_8\HZ</v>
      </c>
      <c r="AE91" s="2" t="str">
        <f t="shared" si="33"/>
        <v>EAST_ACB_8\KW</v>
      </c>
      <c r="AF91" s="2" t="str">
        <f t="shared" si="33"/>
        <v>EAST_ACB_8\KHh</v>
      </c>
      <c r="AG91" s="2" t="str">
        <f t="shared" si="33"/>
        <v>EAST_ACB_8\VA</v>
      </c>
      <c r="AH91" s="2" t="str">
        <f t="shared" si="33"/>
        <v>EAST_ACB_8\VAH</v>
      </c>
      <c r="AI91" s="2" t="str">
        <f t="shared" si="33"/>
        <v>EAST_ACB_8\PEAK</v>
      </c>
      <c r="AJ91" s="2" t="str">
        <f t="shared" si="33"/>
        <v>EAST_ACB_8\H_A_1</v>
      </c>
      <c r="AK91" s="2" t="str">
        <f t="shared" si="33"/>
        <v>EAST_ACB_8\H_A_3</v>
      </c>
      <c r="AL91" s="2" t="str">
        <f t="shared" si="33"/>
        <v>EAST_ACB_8\H_A_5</v>
      </c>
      <c r="AM91" s="2" t="str">
        <f t="shared" si="33"/>
        <v>EAST_ACB_8\H_A_7</v>
      </c>
      <c r="AN91" s="2" t="str">
        <f t="shared" si="33"/>
        <v>EAST_ACB_8\H_B_1</v>
      </c>
      <c r="AO91" s="2" t="str">
        <f t="shared" si="33"/>
        <v>EAST_ACB_8\H_B_3</v>
      </c>
      <c r="AP91" s="2" t="str">
        <f t="shared" si="33"/>
        <v>EAST_ACB_8\H_B_5</v>
      </c>
      <c r="AQ91" s="2" t="str">
        <f t="shared" si="33"/>
        <v>EAST_ACB_8\H_B_7</v>
      </c>
      <c r="AR91" s="2" t="str">
        <f t="shared" si="33"/>
        <v>EAST_ACB_8\H_C_1</v>
      </c>
      <c r="AS91" s="2" t="str">
        <f t="shared" si="33"/>
        <v>EAST_ACB_8\H_C_3</v>
      </c>
      <c r="AT91" s="2" t="str">
        <f t="shared" si="33"/>
        <v>EAST_ACB_8\H_C_5</v>
      </c>
      <c r="AU91" s="2" t="str">
        <f t="shared" si="33"/>
        <v>EAST_ACB_8\H_C_7</v>
      </c>
      <c r="AV91" s="2" t="str">
        <f t="shared" si="34"/>
        <v>EAST_ACB_8\PV1</v>
      </c>
      <c r="AW91" s="2" t="str">
        <f t="shared" si="34"/>
        <v>EAST_ACB_8\PV2</v>
      </c>
      <c r="AX91" s="2" t="str">
        <f t="shared" si="34"/>
        <v>EAST_ACB_8\PV3</v>
      </c>
      <c r="AY91" s="2" t="str">
        <f t="shared" si="34"/>
        <v>EAST_ACB_8\PI1</v>
      </c>
      <c r="AZ91" s="2" t="str">
        <f t="shared" si="34"/>
        <v>EAST_ACB_8\PI2</v>
      </c>
      <c r="BA91" s="2" t="str">
        <f t="shared" si="34"/>
        <v>EAST_ACB_8\PI3</v>
      </c>
    </row>
    <row r="92" spans="1:53" x14ac:dyDescent="0.25">
      <c r="A92" s="3">
        <v>6</v>
      </c>
      <c r="B92" s="3" t="s">
        <v>336</v>
      </c>
      <c r="C92" s="8" t="s">
        <v>62</v>
      </c>
      <c r="D92" s="8" t="s">
        <v>295</v>
      </c>
      <c r="E92" s="4"/>
      <c r="F92" s="2" t="str">
        <f t="shared" si="31"/>
        <v>EAST_ACB_8_1\ST</v>
      </c>
      <c r="G92" s="2" t="str">
        <f t="shared" si="31"/>
        <v>EAST_ACB_8_1\TRIP</v>
      </c>
      <c r="H92" s="20"/>
      <c r="I92" s="20"/>
      <c r="J92" s="20"/>
      <c r="K92" s="20"/>
      <c r="L92" s="20"/>
      <c r="M92" s="20"/>
      <c r="N92" s="20"/>
      <c r="O92" s="2" t="str">
        <f t="shared" si="35"/>
        <v>EAST_ACB_8_1\50_51</v>
      </c>
      <c r="P92" s="2" t="str">
        <f t="shared" si="35"/>
        <v>EAST_ACB_8_1\51G</v>
      </c>
      <c r="Q92" s="24"/>
      <c r="R92" s="2" t="str">
        <f t="shared" si="33"/>
        <v>EAST_ACB_8_1\V12</v>
      </c>
      <c r="S92" s="2" t="str">
        <f t="shared" si="33"/>
        <v>EAST_ACB_8_1\V23</v>
      </c>
      <c r="T92" s="2" t="str">
        <f t="shared" si="33"/>
        <v>EAST_ACB_8_1\V31</v>
      </c>
      <c r="U92" s="2" t="str">
        <f t="shared" si="33"/>
        <v>EAST_ACB_8_1\V1N</v>
      </c>
      <c r="V92" s="2" t="str">
        <f t="shared" si="33"/>
        <v>EAST_ACB_8_1\V2N</v>
      </c>
      <c r="W92" s="2" t="str">
        <f t="shared" si="33"/>
        <v>EAST_ACB_8_1\V3N</v>
      </c>
      <c r="X92" s="2" t="str">
        <f t="shared" si="33"/>
        <v>EAST_ACB_8_1\VA</v>
      </c>
      <c r="Y92" s="2" t="str">
        <f t="shared" si="33"/>
        <v>EAST_ACB_8_1\A1</v>
      </c>
      <c r="Z92" s="2" t="str">
        <f t="shared" si="33"/>
        <v>EAST_ACB_8_1\A2</v>
      </c>
      <c r="AA92" s="2" t="str">
        <f t="shared" si="33"/>
        <v>EAST_ACB_8_1\A3</v>
      </c>
      <c r="AB92" s="2" t="str">
        <f t="shared" si="33"/>
        <v>EAST_ACB_8_1\AA</v>
      </c>
      <c r="AC92" s="2" t="str">
        <f t="shared" si="33"/>
        <v>EAST_ACB_8_1\PF</v>
      </c>
      <c r="AD92" s="2" t="str">
        <f t="shared" si="33"/>
        <v>EAST_ACB_8_1\HZ</v>
      </c>
      <c r="AE92" s="2" t="str">
        <f t="shared" si="33"/>
        <v>EAST_ACB_8_1\KW</v>
      </c>
      <c r="AF92" s="2" t="str">
        <f t="shared" si="33"/>
        <v>EAST_ACB_8_1\KHh</v>
      </c>
      <c r="AG92" s="2" t="str">
        <f t="shared" si="33"/>
        <v>EAST_ACB_8_1\VA</v>
      </c>
      <c r="AH92" s="2" t="str">
        <f t="shared" si="33"/>
        <v>EAST_ACB_8_1\VAH</v>
      </c>
      <c r="AI92" s="2" t="str">
        <f t="shared" si="33"/>
        <v>EAST_ACB_8_1\PEAK</v>
      </c>
      <c r="AJ92" s="2" t="str">
        <f t="shared" si="33"/>
        <v>EAST_ACB_8_1\H_A_1</v>
      </c>
      <c r="AK92" s="2" t="str">
        <f t="shared" si="33"/>
        <v>EAST_ACB_8_1\H_A_3</v>
      </c>
      <c r="AL92" s="2" t="str">
        <f t="shared" si="33"/>
        <v>EAST_ACB_8_1\H_A_5</v>
      </c>
      <c r="AM92" s="2" t="str">
        <f t="shared" si="33"/>
        <v>EAST_ACB_8_1\H_A_7</v>
      </c>
      <c r="AN92" s="2" t="str">
        <f t="shared" si="33"/>
        <v>EAST_ACB_8_1\H_B_1</v>
      </c>
      <c r="AO92" s="2" t="str">
        <f t="shared" si="33"/>
        <v>EAST_ACB_8_1\H_B_3</v>
      </c>
      <c r="AP92" s="2" t="str">
        <f t="shared" si="33"/>
        <v>EAST_ACB_8_1\H_B_5</v>
      </c>
      <c r="AQ92" s="2" t="str">
        <f t="shared" si="33"/>
        <v>EAST_ACB_8_1\H_B_7</v>
      </c>
      <c r="AR92" s="2" t="str">
        <f t="shared" si="33"/>
        <v>EAST_ACB_8_1\H_C_1</v>
      </c>
      <c r="AS92" s="2" t="str">
        <f t="shared" si="33"/>
        <v>EAST_ACB_8_1\H_C_3</v>
      </c>
      <c r="AT92" s="2" t="str">
        <f t="shared" si="33"/>
        <v>EAST_ACB_8_1\H_C_5</v>
      </c>
      <c r="AU92" s="2" t="str">
        <f t="shared" si="33"/>
        <v>EAST_ACB_8_1\H_C_7</v>
      </c>
      <c r="AV92" s="2" t="str">
        <f t="shared" si="34"/>
        <v>EAST_ACB_8_1\PV1</v>
      </c>
      <c r="AW92" s="2" t="str">
        <f t="shared" si="34"/>
        <v>EAST_ACB_8_1\PV2</v>
      </c>
      <c r="AX92" s="2" t="str">
        <f t="shared" si="34"/>
        <v>EAST_ACB_8_1\PV3</v>
      </c>
      <c r="AY92" s="2" t="str">
        <f t="shared" si="34"/>
        <v>EAST_ACB_8_1\PI1</v>
      </c>
      <c r="AZ92" s="2" t="str">
        <f t="shared" si="34"/>
        <v>EAST_ACB_8_1\PI2</v>
      </c>
      <c r="BA92" s="2" t="str">
        <f t="shared" si="34"/>
        <v>EAST_ACB_8_1\PI3</v>
      </c>
    </row>
    <row r="93" spans="1:53" x14ac:dyDescent="0.25">
      <c r="A93" s="3">
        <v>7</v>
      </c>
      <c r="B93" s="3" t="s">
        <v>336</v>
      </c>
      <c r="C93" s="3" t="s">
        <v>257</v>
      </c>
      <c r="D93" s="3" t="s">
        <v>309</v>
      </c>
      <c r="E93" s="4"/>
      <c r="F93" s="20"/>
      <c r="G93" s="2"/>
      <c r="H93" s="2"/>
      <c r="I93" s="2" t="str">
        <f>$C93&amp;I$7</f>
        <v>EAST_TR_8\TM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</row>
    <row r="94" spans="1:53" x14ac:dyDescent="0.25">
      <c r="A94" s="3">
        <v>8</v>
      </c>
      <c r="B94" s="3" t="s">
        <v>336</v>
      </c>
      <c r="C94" s="3" t="s">
        <v>265</v>
      </c>
      <c r="D94" s="3" t="s">
        <v>317</v>
      </c>
      <c r="E94" s="4"/>
      <c r="F94" s="2" t="str">
        <f t="shared" ref="F94:G107" si="36">$C94&amp;F$7</f>
        <v>EAST_CTTS_8\ST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</row>
    <row r="95" spans="1:53" x14ac:dyDescent="0.25">
      <c r="A95" s="3">
        <v>9</v>
      </c>
      <c r="B95" s="3" t="s">
        <v>336</v>
      </c>
      <c r="C95" s="3" t="s">
        <v>266</v>
      </c>
      <c r="D95" s="3" t="s">
        <v>318</v>
      </c>
      <c r="E95" s="4"/>
      <c r="F95" s="2" t="str">
        <f t="shared" si="36"/>
        <v>EAST_D_TIE1\ST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</row>
    <row r="96" spans="1:53" x14ac:dyDescent="0.25">
      <c r="A96" s="3">
        <v>10</v>
      </c>
      <c r="B96" s="3" t="s">
        <v>336</v>
      </c>
      <c r="C96" s="3" t="s">
        <v>64</v>
      </c>
      <c r="D96" s="3" t="s">
        <v>297</v>
      </c>
      <c r="E96" s="4"/>
      <c r="F96" s="2" t="str">
        <f t="shared" si="36"/>
        <v>EAST_G_B\ST</v>
      </c>
      <c r="G96" s="2" t="str">
        <f>$C96&amp;G$7</f>
        <v>EAST_G_B\TRIP</v>
      </c>
      <c r="H96" s="20"/>
      <c r="I96" s="20"/>
      <c r="J96" s="2" t="str">
        <f t="shared" ref="J96:N96" si="37">$C96&amp;J$7</f>
        <v>EAST_G_B\OCR_A</v>
      </c>
      <c r="K96" s="2" t="str">
        <f t="shared" si="37"/>
        <v>EAST_G_B\OCR_B</v>
      </c>
      <c r="L96" s="2" t="str">
        <f t="shared" si="37"/>
        <v>EAST_G_B\OCR_C</v>
      </c>
      <c r="M96" s="2" t="str">
        <f t="shared" si="37"/>
        <v>EAST_G_B\OCGR</v>
      </c>
      <c r="N96" s="2" t="str">
        <f t="shared" si="37"/>
        <v>EAST_G_B\OVR</v>
      </c>
      <c r="O96" s="20"/>
      <c r="P96" s="20"/>
      <c r="Q96" s="24"/>
      <c r="R96" s="2" t="str">
        <f t="shared" ref="R96:BA96" si="38">$C96&amp;R$7</f>
        <v>EAST_G_B\V12</v>
      </c>
      <c r="S96" s="2" t="str">
        <f t="shared" si="38"/>
        <v>EAST_G_B\V23</v>
      </c>
      <c r="T96" s="2" t="str">
        <f t="shared" si="38"/>
        <v>EAST_G_B\V31</v>
      </c>
      <c r="U96" s="2" t="str">
        <f t="shared" si="38"/>
        <v>EAST_G_B\V1N</v>
      </c>
      <c r="V96" s="2" t="str">
        <f t="shared" si="38"/>
        <v>EAST_G_B\V2N</v>
      </c>
      <c r="W96" s="2" t="str">
        <f t="shared" si="38"/>
        <v>EAST_G_B\V3N</v>
      </c>
      <c r="X96" s="2" t="str">
        <f t="shared" si="38"/>
        <v>EAST_G_B\VA</v>
      </c>
      <c r="Y96" s="2" t="str">
        <f t="shared" si="38"/>
        <v>EAST_G_B\A1</v>
      </c>
      <c r="Z96" s="2" t="str">
        <f t="shared" si="38"/>
        <v>EAST_G_B\A2</v>
      </c>
      <c r="AA96" s="2" t="str">
        <f t="shared" si="38"/>
        <v>EAST_G_B\A3</v>
      </c>
      <c r="AB96" s="2" t="str">
        <f t="shared" si="38"/>
        <v>EAST_G_B\AA</v>
      </c>
      <c r="AC96" s="2" t="str">
        <f t="shared" si="38"/>
        <v>EAST_G_B\PF</v>
      </c>
      <c r="AD96" s="2" t="str">
        <f t="shared" si="38"/>
        <v>EAST_G_B\HZ</v>
      </c>
      <c r="AE96" s="2" t="str">
        <f t="shared" si="38"/>
        <v>EAST_G_B\KW</v>
      </c>
      <c r="AF96" s="2" t="str">
        <f t="shared" si="38"/>
        <v>EAST_G_B\KHh</v>
      </c>
      <c r="AG96" s="2" t="str">
        <f t="shared" si="38"/>
        <v>EAST_G_B\VA</v>
      </c>
      <c r="AH96" s="2" t="str">
        <f t="shared" si="38"/>
        <v>EAST_G_B\VAH</v>
      </c>
      <c r="AI96" s="2" t="str">
        <f t="shared" si="38"/>
        <v>EAST_G_B\PEAK</v>
      </c>
      <c r="AJ96" s="2" t="str">
        <f t="shared" si="38"/>
        <v>EAST_G_B\H_A_1</v>
      </c>
      <c r="AK96" s="2" t="str">
        <f t="shared" si="38"/>
        <v>EAST_G_B\H_A_3</v>
      </c>
      <c r="AL96" s="2" t="str">
        <f t="shared" si="38"/>
        <v>EAST_G_B\H_A_5</v>
      </c>
      <c r="AM96" s="2" t="str">
        <f t="shared" si="38"/>
        <v>EAST_G_B\H_A_7</v>
      </c>
      <c r="AN96" s="2" t="str">
        <f t="shared" si="38"/>
        <v>EAST_G_B\H_B_1</v>
      </c>
      <c r="AO96" s="2" t="str">
        <f t="shared" si="38"/>
        <v>EAST_G_B\H_B_3</v>
      </c>
      <c r="AP96" s="2" t="str">
        <f t="shared" si="38"/>
        <v>EAST_G_B\H_B_5</v>
      </c>
      <c r="AQ96" s="2" t="str">
        <f t="shared" si="38"/>
        <v>EAST_G_B\H_B_7</v>
      </c>
      <c r="AR96" s="2" t="str">
        <f t="shared" si="38"/>
        <v>EAST_G_B\H_C_1</v>
      </c>
      <c r="AS96" s="2" t="str">
        <f t="shared" si="38"/>
        <v>EAST_G_B\H_C_3</v>
      </c>
      <c r="AT96" s="2" t="str">
        <f t="shared" si="38"/>
        <v>EAST_G_B\H_C_5</v>
      </c>
      <c r="AU96" s="2" t="str">
        <f t="shared" si="38"/>
        <v>EAST_G_B\H_C_7</v>
      </c>
      <c r="AV96" s="2" t="str">
        <f t="shared" si="38"/>
        <v>EAST_G_B\PV1</v>
      </c>
      <c r="AW96" s="2" t="str">
        <f t="shared" si="38"/>
        <v>EAST_G_B\PV2</v>
      </c>
      <c r="AX96" s="2" t="str">
        <f t="shared" si="38"/>
        <v>EAST_G_B\PV3</v>
      </c>
      <c r="AY96" s="2" t="str">
        <f t="shared" si="38"/>
        <v>EAST_G_B\PI1</v>
      </c>
      <c r="AZ96" s="2" t="str">
        <f t="shared" si="38"/>
        <v>EAST_G_B\PI2</v>
      </c>
      <c r="BA96" s="2" t="str">
        <f t="shared" si="38"/>
        <v>EAST_G_B\PI3</v>
      </c>
    </row>
    <row r="97" spans="1:53" x14ac:dyDescent="0.25">
      <c r="A97" s="3">
        <v>11</v>
      </c>
      <c r="B97" s="3" t="s">
        <v>336</v>
      </c>
      <c r="C97" s="3" t="s">
        <v>267</v>
      </c>
      <c r="D97" s="3" t="s">
        <v>319</v>
      </c>
      <c r="E97" s="4"/>
      <c r="F97" s="2" t="str">
        <f t="shared" si="36"/>
        <v>EAST_D_TIE2\ST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</row>
    <row r="98" spans="1:53" x14ac:dyDescent="0.25">
      <c r="A98" s="3">
        <v>12</v>
      </c>
      <c r="B98" s="3" t="s">
        <v>336</v>
      </c>
      <c r="C98" s="3" t="s">
        <v>65</v>
      </c>
      <c r="D98" s="3" t="s">
        <v>298</v>
      </c>
      <c r="E98" s="4"/>
      <c r="F98" s="2" t="str">
        <f t="shared" si="36"/>
        <v>EAST_G_C\ST</v>
      </c>
      <c r="G98" s="2" t="str">
        <f t="shared" si="36"/>
        <v>EAST_G_C\TRIP</v>
      </c>
      <c r="H98" s="20"/>
      <c r="I98" s="20"/>
      <c r="J98" s="2" t="str">
        <f t="shared" ref="J98:N99" si="39">$C98&amp;J$7</f>
        <v>EAST_G_C\OCR_A</v>
      </c>
      <c r="K98" s="2" t="str">
        <f t="shared" si="39"/>
        <v>EAST_G_C\OCR_B</v>
      </c>
      <c r="L98" s="2" t="str">
        <f t="shared" si="39"/>
        <v>EAST_G_C\OCR_C</v>
      </c>
      <c r="M98" s="2" t="str">
        <f t="shared" si="39"/>
        <v>EAST_G_C\OCGR</v>
      </c>
      <c r="N98" s="2" t="str">
        <f t="shared" si="39"/>
        <v>EAST_G_C\OVR</v>
      </c>
      <c r="O98" s="20"/>
      <c r="P98" s="20"/>
      <c r="Q98" s="24"/>
      <c r="R98" s="2" t="str">
        <f t="shared" ref="R98:AU99" si="40">$C98&amp;R$7</f>
        <v>EAST_G_C\V12</v>
      </c>
      <c r="S98" s="2" t="str">
        <f t="shared" si="40"/>
        <v>EAST_G_C\V23</v>
      </c>
      <c r="T98" s="2" t="str">
        <f t="shared" si="40"/>
        <v>EAST_G_C\V31</v>
      </c>
      <c r="U98" s="2" t="str">
        <f t="shared" si="40"/>
        <v>EAST_G_C\V1N</v>
      </c>
      <c r="V98" s="2" t="str">
        <f t="shared" si="40"/>
        <v>EAST_G_C\V2N</v>
      </c>
      <c r="W98" s="2" t="str">
        <f t="shared" si="40"/>
        <v>EAST_G_C\V3N</v>
      </c>
      <c r="X98" s="2" t="str">
        <f t="shared" si="40"/>
        <v>EAST_G_C\VA</v>
      </c>
      <c r="Y98" s="2" t="str">
        <f t="shared" si="40"/>
        <v>EAST_G_C\A1</v>
      </c>
      <c r="Z98" s="2" t="str">
        <f t="shared" si="40"/>
        <v>EAST_G_C\A2</v>
      </c>
      <c r="AA98" s="2" t="str">
        <f t="shared" si="40"/>
        <v>EAST_G_C\A3</v>
      </c>
      <c r="AB98" s="2" t="str">
        <f t="shared" si="40"/>
        <v>EAST_G_C\AA</v>
      </c>
      <c r="AC98" s="2" t="str">
        <f t="shared" si="40"/>
        <v>EAST_G_C\PF</v>
      </c>
      <c r="AD98" s="2" t="str">
        <f t="shared" si="40"/>
        <v>EAST_G_C\HZ</v>
      </c>
      <c r="AE98" s="2" t="str">
        <f t="shared" si="40"/>
        <v>EAST_G_C\KW</v>
      </c>
      <c r="AF98" s="2" t="str">
        <f t="shared" si="40"/>
        <v>EAST_G_C\KHh</v>
      </c>
      <c r="AG98" s="2" t="str">
        <f t="shared" si="40"/>
        <v>EAST_G_C\VA</v>
      </c>
      <c r="AH98" s="2" t="str">
        <f t="shared" si="40"/>
        <v>EAST_G_C\VAH</v>
      </c>
      <c r="AI98" s="2" t="str">
        <f t="shared" si="40"/>
        <v>EAST_G_C\PEAK</v>
      </c>
      <c r="AJ98" s="2" t="str">
        <f t="shared" si="40"/>
        <v>EAST_G_C\H_A_1</v>
      </c>
      <c r="AK98" s="2" t="str">
        <f t="shared" si="40"/>
        <v>EAST_G_C\H_A_3</v>
      </c>
      <c r="AL98" s="2" t="str">
        <f t="shared" si="40"/>
        <v>EAST_G_C\H_A_5</v>
      </c>
      <c r="AM98" s="2" t="str">
        <f t="shared" si="40"/>
        <v>EAST_G_C\H_A_7</v>
      </c>
      <c r="AN98" s="2" t="str">
        <f t="shared" si="40"/>
        <v>EAST_G_C\H_B_1</v>
      </c>
      <c r="AO98" s="2" t="str">
        <f t="shared" si="40"/>
        <v>EAST_G_C\H_B_3</v>
      </c>
      <c r="AP98" s="2" t="str">
        <f t="shared" si="40"/>
        <v>EAST_G_C\H_B_5</v>
      </c>
      <c r="AQ98" s="2" t="str">
        <f t="shared" si="40"/>
        <v>EAST_G_C\H_B_7</v>
      </c>
      <c r="AR98" s="2" t="str">
        <f t="shared" si="40"/>
        <v>EAST_G_C\H_C_1</v>
      </c>
      <c r="AS98" s="2" t="str">
        <f t="shared" si="40"/>
        <v>EAST_G_C\H_C_3</v>
      </c>
      <c r="AT98" s="2" t="str">
        <f t="shared" si="40"/>
        <v>EAST_G_C\H_C_5</v>
      </c>
      <c r="AU98" s="2" t="str">
        <f t="shared" si="40"/>
        <v>EAST_G_C\H_C_7</v>
      </c>
      <c r="AV98" s="2" t="str">
        <f t="shared" ref="AV98:BA99" si="41">$C98&amp;AV$7</f>
        <v>EAST_G_C\PV1</v>
      </c>
      <c r="AW98" s="2" t="str">
        <f t="shared" si="41"/>
        <v>EAST_G_C\PV2</v>
      </c>
      <c r="AX98" s="2" t="str">
        <f t="shared" si="41"/>
        <v>EAST_G_C\PV3</v>
      </c>
      <c r="AY98" s="2" t="str">
        <f t="shared" si="41"/>
        <v>EAST_G_C\PI1</v>
      </c>
      <c r="AZ98" s="2" t="str">
        <f t="shared" si="41"/>
        <v>EAST_G_C\PI2</v>
      </c>
      <c r="BA98" s="2" t="str">
        <f t="shared" si="41"/>
        <v>EAST_G_C\PI3</v>
      </c>
    </row>
    <row r="99" spans="1:53" x14ac:dyDescent="0.25">
      <c r="A99" s="3">
        <v>13</v>
      </c>
      <c r="B99" s="3" t="s">
        <v>336</v>
      </c>
      <c r="C99" s="3" t="s">
        <v>66</v>
      </c>
      <c r="D99" s="3" t="s">
        <v>299</v>
      </c>
      <c r="E99" s="4"/>
      <c r="F99" s="2" t="str">
        <f t="shared" si="36"/>
        <v>EAST_AVR2_MCCB\ST</v>
      </c>
      <c r="G99" s="2" t="str">
        <f t="shared" si="36"/>
        <v>EAST_AVR2_MCCB\TRIP</v>
      </c>
      <c r="H99" s="20"/>
      <c r="I99" s="20"/>
      <c r="J99" s="2" t="str">
        <f t="shared" si="39"/>
        <v>EAST_AVR2_MCCB\OCR_A</v>
      </c>
      <c r="K99" s="2" t="str">
        <f t="shared" si="39"/>
        <v>EAST_AVR2_MCCB\OCR_B</v>
      </c>
      <c r="L99" s="2" t="str">
        <f t="shared" si="39"/>
        <v>EAST_AVR2_MCCB\OCR_C</v>
      </c>
      <c r="M99" s="2" t="str">
        <f t="shared" si="39"/>
        <v>EAST_AVR2_MCCB\OCGR</v>
      </c>
      <c r="N99" s="2" t="str">
        <f t="shared" si="39"/>
        <v>EAST_AVR2_MCCB\OVR</v>
      </c>
      <c r="O99" s="20"/>
      <c r="P99" s="20"/>
      <c r="Q99" s="24"/>
      <c r="R99" s="2" t="str">
        <f t="shared" si="40"/>
        <v>EAST_AVR2_MCCB\V12</v>
      </c>
      <c r="S99" s="2" t="str">
        <f t="shared" si="40"/>
        <v>EAST_AVR2_MCCB\V23</v>
      </c>
      <c r="T99" s="2" t="str">
        <f t="shared" si="40"/>
        <v>EAST_AVR2_MCCB\V31</v>
      </c>
      <c r="U99" s="2" t="str">
        <f t="shared" si="40"/>
        <v>EAST_AVR2_MCCB\V1N</v>
      </c>
      <c r="V99" s="2" t="str">
        <f t="shared" si="40"/>
        <v>EAST_AVR2_MCCB\V2N</v>
      </c>
      <c r="W99" s="2" t="str">
        <f t="shared" si="40"/>
        <v>EAST_AVR2_MCCB\V3N</v>
      </c>
      <c r="X99" s="2" t="str">
        <f t="shared" si="40"/>
        <v>EAST_AVR2_MCCB\VA</v>
      </c>
      <c r="Y99" s="2" t="str">
        <f t="shared" si="40"/>
        <v>EAST_AVR2_MCCB\A1</v>
      </c>
      <c r="Z99" s="2" t="str">
        <f t="shared" si="40"/>
        <v>EAST_AVR2_MCCB\A2</v>
      </c>
      <c r="AA99" s="2" t="str">
        <f t="shared" si="40"/>
        <v>EAST_AVR2_MCCB\A3</v>
      </c>
      <c r="AB99" s="2" t="str">
        <f t="shared" si="40"/>
        <v>EAST_AVR2_MCCB\AA</v>
      </c>
      <c r="AC99" s="2" t="str">
        <f t="shared" si="40"/>
        <v>EAST_AVR2_MCCB\PF</v>
      </c>
      <c r="AD99" s="2" t="str">
        <f t="shared" si="40"/>
        <v>EAST_AVR2_MCCB\HZ</v>
      </c>
      <c r="AE99" s="2" t="str">
        <f t="shared" si="40"/>
        <v>EAST_AVR2_MCCB\KW</v>
      </c>
      <c r="AF99" s="2" t="str">
        <f t="shared" si="40"/>
        <v>EAST_AVR2_MCCB\KHh</v>
      </c>
      <c r="AG99" s="2" t="str">
        <f t="shared" si="40"/>
        <v>EAST_AVR2_MCCB\VA</v>
      </c>
      <c r="AH99" s="2" t="str">
        <f t="shared" si="40"/>
        <v>EAST_AVR2_MCCB\VAH</v>
      </c>
      <c r="AI99" s="2" t="str">
        <f t="shared" si="40"/>
        <v>EAST_AVR2_MCCB\PEAK</v>
      </c>
      <c r="AJ99" s="2" t="str">
        <f t="shared" si="40"/>
        <v>EAST_AVR2_MCCB\H_A_1</v>
      </c>
      <c r="AK99" s="2" t="str">
        <f t="shared" si="40"/>
        <v>EAST_AVR2_MCCB\H_A_3</v>
      </c>
      <c r="AL99" s="2" t="str">
        <f t="shared" si="40"/>
        <v>EAST_AVR2_MCCB\H_A_5</v>
      </c>
      <c r="AM99" s="2" t="str">
        <f t="shared" si="40"/>
        <v>EAST_AVR2_MCCB\H_A_7</v>
      </c>
      <c r="AN99" s="2" t="str">
        <f t="shared" si="40"/>
        <v>EAST_AVR2_MCCB\H_B_1</v>
      </c>
      <c r="AO99" s="2" t="str">
        <f t="shared" si="40"/>
        <v>EAST_AVR2_MCCB\H_B_3</v>
      </c>
      <c r="AP99" s="2" t="str">
        <f t="shared" si="40"/>
        <v>EAST_AVR2_MCCB\H_B_5</v>
      </c>
      <c r="AQ99" s="2" t="str">
        <f t="shared" si="40"/>
        <v>EAST_AVR2_MCCB\H_B_7</v>
      </c>
      <c r="AR99" s="2" t="str">
        <f t="shared" si="40"/>
        <v>EAST_AVR2_MCCB\H_C_1</v>
      </c>
      <c r="AS99" s="2" t="str">
        <f t="shared" si="40"/>
        <v>EAST_AVR2_MCCB\H_C_3</v>
      </c>
      <c r="AT99" s="2" t="str">
        <f t="shared" si="40"/>
        <v>EAST_AVR2_MCCB\H_C_5</v>
      </c>
      <c r="AU99" s="2" t="str">
        <f t="shared" si="40"/>
        <v>EAST_AVR2_MCCB\H_C_7</v>
      </c>
      <c r="AV99" s="2" t="str">
        <f t="shared" si="41"/>
        <v>EAST_AVR2_MCCB\PV1</v>
      </c>
      <c r="AW99" s="2" t="str">
        <f t="shared" si="41"/>
        <v>EAST_AVR2_MCCB\PV2</v>
      </c>
      <c r="AX99" s="2" t="str">
        <f t="shared" si="41"/>
        <v>EAST_AVR2_MCCB\PV3</v>
      </c>
      <c r="AY99" s="2" t="str">
        <f t="shared" si="41"/>
        <v>EAST_AVR2_MCCB\PI1</v>
      </c>
      <c r="AZ99" s="2" t="str">
        <f t="shared" si="41"/>
        <v>EAST_AVR2_MCCB\PI2</v>
      </c>
      <c r="BA99" s="2" t="str">
        <f t="shared" si="41"/>
        <v>EAST_AVR2_MCCB\PI3</v>
      </c>
    </row>
    <row r="100" spans="1:53" x14ac:dyDescent="0.25">
      <c r="A100" s="3">
        <v>14</v>
      </c>
      <c r="B100" s="3" t="s">
        <v>336</v>
      </c>
      <c r="C100" s="3" t="s">
        <v>249</v>
      </c>
      <c r="D100" s="3" t="s">
        <v>299</v>
      </c>
      <c r="E100" s="4"/>
      <c r="F100" s="2" t="str">
        <f t="shared" si="36"/>
        <v>EAST_ATS\ST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</row>
    <row r="101" spans="1:53" x14ac:dyDescent="0.25">
      <c r="A101" s="3">
        <v>15</v>
      </c>
      <c r="B101" s="3" t="s">
        <v>336</v>
      </c>
      <c r="C101" s="3" t="s">
        <v>67</v>
      </c>
      <c r="D101" s="3" t="s">
        <v>300</v>
      </c>
      <c r="E101" s="4"/>
      <c r="F101" s="2" t="str">
        <f t="shared" si="36"/>
        <v>EAST_MBP1_ACB1\ST</v>
      </c>
      <c r="G101" s="2" t="str">
        <f t="shared" si="36"/>
        <v>EAST_MBP1_ACB1\TRIP</v>
      </c>
      <c r="H101" s="20"/>
      <c r="I101" s="20"/>
      <c r="J101" s="20"/>
      <c r="K101" s="20"/>
      <c r="L101" s="20"/>
      <c r="M101" s="20"/>
      <c r="N101" s="20"/>
      <c r="O101" s="20"/>
      <c r="P101" s="20"/>
      <c r="Q101" s="24"/>
      <c r="R101" s="2" t="str">
        <f t="shared" ref="R101:BA101" si="42">$C101&amp;R$7</f>
        <v>EAST_MBP1_ACB1\V12</v>
      </c>
      <c r="S101" s="2" t="str">
        <f t="shared" si="42"/>
        <v>EAST_MBP1_ACB1\V23</v>
      </c>
      <c r="T101" s="2" t="str">
        <f t="shared" si="42"/>
        <v>EAST_MBP1_ACB1\V31</v>
      </c>
      <c r="U101" s="2" t="str">
        <f t="shared" si="42"/>
        <v>EAST_MBP1_ACB1\V1N</v>
      </c>
      <c r="V101" s="2" t="str">
        <f t="shared" si="42"/>
        <v>EAST_MBP1_ACB1\V2N</v>
      </c>
      <c r="W101" s="2" t="str">
        <f t="shared" si="42"/>
        <v>EAST_MBP1_ACB1\V3N</v>
      </c>
      <c r="X101" s="2" t="str">
        <f t="shared" si="42"/>
        <v>EAST_MBP1_ACB1\VA</v>
      </c>
      <c r="Y101" s="2" t="str">
        <f t="shared" si="42"/>
        <v>EAST_MBP1_ACB1\A1</v>
      </c>
      <c r="Z101" s="2" t="str">
        <f t="shared" si="42"/>
        <v>EAST_MBP1_ACB1\A2</v>
      </c>
      <c r="AA101" s="2" t="str">
        <f t="shared" si="42"/>
        <v>EAST_MBP1_ACB1\A3</v>
      </c>
      <c r="AB101" s="2" t="str">
        <f t="shared" si="42"/>
        <v>EAST_MBP1_ACB1\AA</v>
      </c>
      <c r="AC101" s="2" t="str">
        <f t="shared" si="42"/>
        <v>EAST_MBP1_ACB1\PF</v>
      </c>
      <c r="AD101" s="2" t="str">
        <f t="shared" si="42"/>
        <v>EAST_MBP1_ACB1\HZ</v>
      </c>
      <c r="AE101" s="2" t="str">
        <f t="shared" si="42"/>
        <v>EAST_MBP1_ACB1\KW</v>
      </c>
      <c r="AF101" s="2" t="str">
        <f t="shared" si="42"/>
        <v>EAST_MBP1_ACB1\KHh</v>
      </c>
      <c r="AG101" s="2" t="str">
        <f t="shared" si="42"/>
        <v>EAST_MBP1_ACB1\VA</v>
      </c>
      <c r="AH101" s="2" t="str">
        <f t="shared" si="42"/>
        <v>EAST_MBP1_ACB1\VAH</v>
      </c>
      <c r="AI101" s="2" t="str">
        <f t="shared" si="42"/>
        <v>EAST_MBP1_ACB1\PEAK</v>
      </c>
      <c r="AJ101" s="2" t="str">
        <f t="shared" si="42"/>
        <v>EAST_MBP1_ACB1\H_A_1</v>
      </c>
      <c r="AK101" s="2" t="str">
        <f t="shared" si="42"/>
        <v>EAST_MBP1_ACB1\H_A_3</v>
      </c>
      <c r="AL101" s="2" t="str">
        <f t="shared" si="42"/>
        <v>EAST_MBP1_ACB1\H_A_5</v>
      </c>
      <c r="AM101" s="2" t="str">
        <f t="shared" si="42"/>
        <v>EAST_MBP1_ACB1\H_A_7</v>
      </c>
      <c r="AN101" s="2" t="str">
        <f t="shared" si="42"/>
        <v>EAST_MBP1_ACB1\H_B_1</v>
      </c>
      <c r="AO101" s="2" t="str">
        <f t="shared" si="42"/>
        <v>EAST_MBP1_ACB1\H_B_3</v>
      </c>
      <c r="AP101" s="2" t="str">
        <f t="shared" si="42"/>
        <v>EAST_MBP1_ACB1\H_B_5</v>
      </c>
      <c r="AQ101" s="2" t="str">
        <f t="shared" si="42"/>
        <v>EAST_MBP1_ACB1\H_B_7</v>
      </c>
      <c r="AR101" s="2" t="str">
        <f t="shared" si="42"/>
        <v>EAST_MBP1_ACB1\H_C_1</v>
      </c>
      <c r="AS101" s="2" t="str">
        <f t="shared" si="42"/>
        <v>EAST_MBP1_ACB1\H_C_3</v>
      </c>
      <c r="AT101" s="2" t="str">
        <f t="shared" si="42"/>
        <v>EAST_MBP1_ACB1\H_C_5</v>
      </c>
      <c r="AU101" s="2" t="str">
        <f t="shared" si="42"/>
        <v>EAST_MBP1_ACB1\H_C_7</v>
      </c>
      <c r="AV101" s="2" t="str">
        <f t="shared" si="42"/>
        <v>EAST_MBP1_ACB1\PV1</v>
      </c>
      <c r="AW101" s="2" t="str">
        <f t="shared" si="42"/>
        <v>EAST_MBP1_ACB1\PV2</v>
      </c>
      <c r="AX101" s="2" t="str">
        <f t="shared" si="42"/>
        <v>EAST_MBP1_ACB1\PV3</v>
      </c>
      <c r="AY101" s="2" t="str">
        <f t="shared" si="42"/>
        <v>EAST_MBP1_ACB1\PI1</v>
      </c>
      <c r="AZ101" s="2" t="str">
        <f t="shared" si="42"/>
        <v>EAST_MBP1_ACB1\PI2</v>
      </c>
      <c r="BA101" s="2" t="str">
        <f t="shared" si="42"/>
        <v>EAST_MBP1_ACB1\PI3</v>
      </c>
    </row>
    <row r="102" spans="1:53" x14ac:dyDescent="0.25">
      <c r="A102" s="3">
        <v>16</v>
      </c>
      <c r="B102" s="3" t="s">
        <v>336</v>
      </c>
      <c r="C102" s="3" t="s">
        <v>247</v>
      </c>
      <c r="D102" s="3" t="s">
        <v>300</v>
      </c>
      <c r="E102" s="4"/>
      <c r="F102" s="2" t="str">
        <f t="shared" si="36"/>
        <v>EAST_MBP1_ACB2\ST</v>
      </c>
      <c r="G102" s="2" t="str">
        <f t="shared" si="36"/>
        <v>EAST_MBP1_ACB2\TRIP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4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</row>
    <row r="103" spans="1:53" x14ac:dyDescent="0.25">
      <c r="A103" s="3">
        <v>17</v>
      </c>
      <c r="B103" s="3" t="s">
        <v>336</v>
      </c>
      <c r="C103" s="3" t="s">
        <v>68</v>
      </c>
      <c r="D103" s="3" t="s">
        <v>301</v>
      </c>
      <c r="E103" s="4"/>
      <c r="F103" s="2" t="str">
        <f t="shared" si="36"/>
        <v>EAST_MBP2_ACB1\ST</v>
      </c>
      <c r="G103" s="2" t="str">
        <f t="shared" si="36"/>
        <v>EAST_MBP2_ACB1\TRIP</v>
      </c>
      <c r="H103" s="20"/>
      <c r="I103" s="20"/>
      <c r="J103" s="20"/>
      <c r="K103" s="20"/>
      <c r="L103" s="20"/>
      <c r="M103" s="20"/>
      <c r="N103" s="20"/>
      <c r="O103" s="20"/>
      <c r="P103" s="20"/>
      <c r="Q103" s="24"/>
      <c r="R103" s="2" t="str">
        <f t="shared" ref="R103:BA103" si="43">$C103&amp;R$7</f>
        <v>EAST_MBP2_ACB1\V12</v>
      </c>
      <c r="S103" s="2" t="str">
        <f t="shared" si="43"/>
        <v>EAST_MBP2_ACB1\V23</v>
      </c>
      <c r="T103" s="2" t="str">
        <f t="shared" si="43"/>
        <v>EAST_MBP2_ACB1\V31</v>
      </c>
      <c r="U103" s="2" t="str">
        <f t="shared" si="43"/>
        <v>EAST_MBP2_ACB1\V1N</v>
      </c>
      <c r="V103" s="2" t="str">
        <f t="shared" si="43"/>
        <v>EAST_MBP2_ACB1\V2N</v>
      </c>
      <c r="W103" s="2" t="str">
        <f t="shared" si="43"/>
        <v>EAST_MBP2_ACB1\V3N</v>
      </c>
      <c r="X103" s="2" t="str">
        <f t="shared" si="43"/>
        <v>EAST_MBP2_ACB1\VA</v>
      </c>
      <c r="Y103" s="2" t="str">
        <f t="shared" si="43"/>
        <v>EAST_MBP2_ACB1\A1</v>
      </c>
      <c r="Z103" s="2" t="str">
        <f t="shared" si="43"/>
        <v>EAST_MBP2_ACB1\A2</v>
      </c>
      <c r="AA103" s="2" t="str">
        <f t="shared" si="43"/>
        <v>EAST_MBP2_ACB1\A3</v>
      </c>
      <c r="AB103" s="2" t="str">
        <f t="shared" si="43"/>
        <v>EAST_MBP2_ACB1\AA</v>
      </c>
      <c r="AC103" s="2" t="str">
        <f t="shared" si="43"/>
        <v>EAST_MBP2_ACB1\PF</v>
      </c>
      <c r="AD103" s="2" t="str">
        <f t="shared" si="43"/>
        <v>EAST_MBP2_ACB1\HZ</v>
      </c>
      <c r="AE103" s="2" t="str">
        <f t="shared" si="43"/>
        <v>EAST_MBP2_ACB1\KW</v>
      </c>
      <c r="AF103" s="2" t="str">
        <f t="shared" si="43"/>
        <v>EAST_MBP2_ACB1\KHh</v>
      </c>
      <c r="AG103" s="2" t="str">
        <f t="shared" si="43"/>
        <v>EAST_MBP2_ACB1\VA</v>
      </c>
      <c r="AH103" s="2" t="str">
        <f t="shared" si="43"/>
        <v>EAST_MBP2_ACB1\VAH</v>
      </c>
      <c r="AI103" s="2" t="str">
        <f t="shared" si="43"/>
        <v>EAST_MBP2_ACB1\PEAK</v>
      </c>
      <c r="AJ103" s="2" t="str">
        <f t="shared" si="43"/>
        <v>EAST_MBP2_ACB1\H_A_1</v>
      </c>
      <c r="AK103" s="2" t="str">
        <f t="shared" si="43"/>
        <v>EAST_MBP2_ACB1\H_A_3</v>
      </c>
      <c r="AL103" s="2" t="str">
        <f t="shared" si="43"/>
        <v>EAST_MBP2_ACB1\H_A_5</v>
      </c>
      <c r="AM103" s="2" t="str">
        <f t="shared" si="43"/>
        <v>EAST_MBP2_ACB1\H_A_7</v>
      </c>
      <c r="AN103" s="2" t="str">
        <f t="shared" si="43"/>
        <v>EAST_MBP2_ACB1\H_B_1</v>
      </c>
      <c r="AO103" s="2" t="str">
        <f t="shared" si="43"/>
        <v>EAST_MBP2_ACB1\H_B_3</v>
      </c>
      <c r="AP103" s="2" t="str">
        <f t="shared" si="43"/>
        <v>EAST_MBP2_ACB1\H_B_5</v>
      </c>
      <c r="AQ103" s="2" t="str">
        <f t="shared" si="43"/>
        <v>EAST_MBP2_ACB1\H_B_7</v>
      </c>
      <c r="AR103" s="2" t="str">
        <f t="shared" si="43"/>
        <v>EAST_MBP2_ACB1\H_C_1</v>
      </c>
      <c r="AS103" s="2" t="str">
        <f t="shared" si="43"/>
        <v>EAST_MBP2_ACB1\H_C_3</v>
      </c>
      <c r="AT103" s="2" t="str">
        <f t="shared" si="43"/>
        <v>EAST_MBP2_ACB1\H_C_5</v>
      </c>
      <c r="AU103" s="2" t="str">
        <f t="shared" si="43"/>
        <v>EAST_MBP2_ACB1\H_C_7</v>
      </c>
      <c r="AV103" s="2" t="str">
        <f t="shared" si="43"/>
        <v>EAST_MBP2_ACB1\PV1</v>
      </c>
      <c r="AW103" s="2" t="str">
        <f t="shared" si="43"/>
        <v>EAST_MBP2_ACB1\PV2</v>
      </c>
      <c r="AX103" s="2" t="str">
        <f t="shared" si="43"/>
        <v>EAST_MBP2_ACB1\PV3</v>
      </c>
      <c r="AY103" s="2" t="str">
        <f t="shared" si="43"/>
        <v>EAST_MBP2_ACB1\PI1</v>
      </c>
      <c r="AZ103" s="2" t="str">
        <f t="shared" si="43"/>
        <v>EAST_MBP2_ACB1\PI2</v>
      </c>
      <c r="BA103" s="2" t="str">
        <f t="shared" si="43"/>
        <v>EAST_MBP2_ACB1\PI3</v>
      </c>
    </row>
    <row r="104" spans="1:53" x14ac:dyDescent="0.25">
      <c r="A104" s="3">
        <v>18</v>
      </c>
      <c r="B104" s="3" t="s">
        <v>336</v>
      </c>
      <c r="C104" s="3" t="s">
        <v>248</v>
      </c>
      <c r="D104" s="3" t="s">
        <v>301</v>
      </c>
      <c r="E104" s="4"/>
      <c r="F104" s="2" t="str">
        <f t="shared" si="36"/>
        <v>EAST_MBP2_ACB2\ST</v>
      </c>
      <c r="G104" s="2" t="str">
        <f t="shared" si="36"/>
        <v>EAST_MBP2_ACB2\TRIP</v>
      </c>
      <c r="H104" s="20"/>
      <c r="I104" s="20"/>
      <c r="J104" s="20"/>
      <c r="K104" s="20"/>
      <c r="L104" s="20"/>
      <c r="M104" s="20"/>
      <c r="N104" s="20"/>
      <c r="O104" s="20"/>
      <c r="P104" s="20"/>
      <c r="Q104" s="24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</row>
    <row r="105" spans="1:53" x14ac:dyDescent="0.25">
      <c r="A105" s="3">
        <v>19</v>
      </c>
      <c r="B105" s="3" t="s">
        <v>336</v>
      </c>
      <c r="C105" s="3" t="s">
        <v>118</v>
      </c>
      <c r="D105" s="3" t="s">
        <v>291</v>
      </c>
      <c r="E105" s="4"/>
      <c r="F105" s="2" t="str">
        <f t="shared" si="36"/>
        <v>EAST_MDB_4A_1\ST</v>
      </c>
      <c r="G105" s="2" t="str">
        <f t="shared" si="36"/>
        <v>EAST_MDB_4A_1\TRIP</v>
      </c>
      <c r="H105" s="20"/>
      <c r="I105" s="20"/>
      <c r="J105" s="20"/>
      <c r="K105" s="20"/>
      <c r="L105" s="20"/>
      <c r="M105" s="20"/>
      <c r="N105" s="20"/>
      <c r="O105" s="20"/>
      <c r="P105" s="20"/>
      <c r="Q105" s="24"/>
      <c r="R105" s="2" t="str">
        <f t="shared" ref="R105:AU107" si="44">$C105&amp;R$7</f>
        <v>EAST_MDB_4A_1\V12</v>
      </c>
      <c r="S105" s="2" t="str">
        <f t="shared" si="44"/>
        <v>EAST_MDB_4A_1\V23</v>
      </c>
      <c r="T105" s="2" t="str">
        <f t="shared" si="44"/>
        <v>EAST_MDB_4A_1\V31</v>
      </c>
      <c r="U105" s="2" t="str">
        <f t="shared" si="44"/>
        <v>EAST_MDB_4A_1\V1N</v>
      </c>
      <c r="V105" s="2" t="str">
        <f t="shared" si="44"/>
        <v>EAST_MDB_4A_1\V2N</v>
      </c>
      <c r="W105" s="2" t="str">
        <f t="shared" si="44"/>
        <v>EAST_MDB_4A_1\V3N</v>
      </c>
      <c r="X105" s="2" t="str">
        <f t="shared" si="44"/>
        <v>EAST_MDB_4A_1\VA</v>
      </c>
      <c r="Y105" s="2" t="str">
        <f t="shared" si="44"/>
        <v>EAST_MDB_4A_1\A1</v>
      </c>
      <c r="Z105" s="2" t="str">
        <f t="shared" si="44"/>
        <v>EAST_MDB_4A_1\A2</v>
      </c>
      <c r="AA105" s="2" t="str">
        <f t="shared" si="44"/>
        <v>EAST_MDB_4A_1\A3</v>
      </c>
      <c r="AB105" s="2" t="str">
        <f t="shared" si="44"/>
        <v>EAST_MDB_4A_1\AA</v>
      </c>
      <c r="AC105" s="2" t="str">
        <f t="shared" si="44"/>
        <v>EAST_MDB_4A_1\PF</v>
      </c>
      <c r="AD105" s="2" t="str">
        <f t="shared" si="44"/>
        <v>EAST_MDB_4A_1\HZ</v>
      </c>
      <c r="AE105" s="2" t="str">
        <f t="shared" si="44"/>
        <v>EAST_MDB_4A_1\KW</v>
      </c>
      <c r="AF105" s="2" t="str">
        <f t="shared" si="44"/>
        <v>EAST_MDB_4A_1\KHh</v>
      </c>
      <c r="AG105" s="2" t="str">
        <f t="shared" si="44"/>
        <v>EAST_MDB_4A_1\VA</v>
      </c>
      <c r="AH105" s="2" t="str">
        <f t="shared" si="44"/>
        <v>EAST_MDB_4A_1\VAH</v>
      </c>
      <c r="AI105" s="2" t="str">
        <f t="shared" si="44"/>
        <v>EAST_MDB_4A_1\PEAK</v>
      </c>
      <c r="AJ105" s="2" t="str">
        <f t="shared" si="44"/>
        <v>EAST_MDB_4A_1\H_A_1</v>
      </c>
      <c r="AK105" s="2" t="str">
        <f t="shared" si="44"/>
        <v>EAST_MDB_4A_1\H_A_3</v>
      </c>
      <c r="AL105" s="2" t="str">
        <f t="shared" si="44"/>
        <v>EAST_MDB_4A_1\H_A_5</v>
      </c>
      <c r="AM105" s="2" t="str">
        <f t="shared" si="44"/>
        <v>EAST_MDB_4A_1\H_A_7</v>
      </c>
      <c r="AN105" s="2" t="str">
        <f t="shared" si="44"/>
        <v>EAST_MDB_4A_1\H_B_1</v>
      </c>
      <c r="AO105" s="2" t="str">
        <f t="shared" si="44"/>
        <v>EAST_MDB_4A_1\H_B_3</v>
      </c>
      <c r="AP105" s="2" t="str">
        <f t="shared" si="44"/>
        <v>EAST_MDB_4A_1\H_B_5</v>
      </c>
      <c r="AQ105" s="2" t="str">
        <f t="shared" si="44"/>
        <v>EAST_MDB_4A_1\H_B_7</v>
      </c>
      <c r="AR105" s="2" t="str">
        <f t="shared" si="44"/>
        <v>EAST_MDB_4A_1\H_C_1</v>
      </c>
      <c r="AS105" s="2" t="str">
        <f t="shared" si="44"/>
        <v>EAST_MDB_4A_1\H_C_3</v>
      </c>
      <c r="AT105" s="2" t="str">
        <f t="shared" si="44"/>
        <v>EAST_MDB_4A_1\H_C_5</v>
      </c>
      <c r="AU105" s="2" t="str">
        <f t="shared" si="44"/>
        <v>EAST_MDB_4A_1\H_C_7</v>
      </c>
      <c r="AV105" s="2" t="str">
        <f t="shared" ref="AV105:BA107" si="45">$C105&amp;AV$7</f>
        <v>EAST_MDB_4A_1\PV1</v>
      </c>
      <c r="AW105" s="2" t="str">
        <f t="shared" si="45"/>
        <v>EAST_MDB_4A_1\PV2</v>
      </c>
      <c r="AX105" s="2" t="str">
        <f t="shared" si="45"/>
        <v>EAST_MDB_4A_1\PV3</v>
      </c>
      <c r="AY105" s="2" t="str">
        <f t="shared" si="45"/>
        <v>EAST_MDB_4A_1\PI1</v>
      </c>
      <c r="AZ105" s="2" t="str">
        <f t="shared" si="45"/>
        <v>EAST_MDB_4A_1\PI2</v>
      </c>
      <c r="BA105" s="2" t="str">
        <f t="shared" si="45"/>
        <v>EAST_MDB_4A_1\PI3</v>
      </c>
    </row>
    <row r="106" spans="1:53" x14ac:dyDescent="0.25">
      <c r="A106" s="3">
        <v>20</v>
      </c>
      <c r="B106" s="3" t="s">
        <v>336</v>
      </c>
      <c r="C106" s="3" t="s">
        <v>119</v>
      </c>
      <c r="D106" s="3" t="s">
        <v>291</v>
      </c>
      <c r="E106" s="4"/>
      <c r="F106" s="2" t="str">
        <f t="shared" si="36"/>
        <v>EAST_MDB_4A_2\ST</v>
      </c>
      <c r="G106" s="2" t="str">
        <f t="shared" si="36"/>
        <v>EAST_MDB_4A_2\TRIP</v>
      </c>
      <c r="H106" s="20"/>
      <c r="I106" s="20"/>
      <c r="J106" s="20"/>
      <c r="K106" s="20"/>
      <c r="L106" s="20"/>
      <c r="M106" s="20"/>
      <c r="N106" s="20"/>
      <c r="O106" s="20"/>
      <c r="P106" s="20"/>
      <c r="Q106" s="24"/>
      <c r="R106" s="2" t="str">
        <f t="shared" si="44"/>
        <v>EAST_MDB_4A_2\V12</v>
      </c>
      <c r="S106" s="2" t="str">
        <f t="shared" si="44"/>
        <v>EAST_MDB_4A_2\V23</v>
      </c>
      <c r="T106" s="2" t="str">
        <f t="shared" si="44"/>
        <v>EAST_MDB_4A_2\V31</v>
      </c>
      <c r="U106" s="2" t="str">
        <f t="shared" si="44"/>
        <v>EAST_MDB_4A_2\V1N</v>
      </c>
      <c r="V106" s="2" t="str">
        <f t="shared" si="44"/>
        <v>EAST_MDB_4A_2\V2N</v>
      </c>
      <c r="W106" s="2" t="str">
        <f t="shared" si="44"/>
        <v>EAST_MDB_4A_2\V3N</v>
      </c>
      <c r="X106" s="2" t="str">
        <f t="shared" si="44"/>
        <v>EAST_MDB_4A_2\VA</v>
      </c>
      <c r="Y106" s="2" t="str">
        <f t="shared" si="44"/>
        <v>EAST_MDB_4A_2\A1</v>
      </c>
      <c r="Z106" s="2" t="str">
        <f t="shared" si="44"/>
        <v>EAST_MDB_4A_2\A2</v>
      </c>
      <c r="AA106" s="2" t="str">
        <f t="shared" si="44"/>
        <v>EAST_MDB_4A_2\A3</v>
      </c>
      <c r="AB106" s="2" t="str">
        <f t="shared" si="44"/>
        <v>EAST_MDB_4A_2\AA</v>
      </c>
      <c r="AC106" s="2" t="str">
        <f t="shared" si="44"/>
        <v>EAST_MDB_4A_2\PF</v>
      </c>
      <c r="AD106" s="2" t="str">
        <f t="shared" si="44"/>
        <v>EAST_MDB_4A_2\HZ</v>
      </c>
      <c r="AE106" s="2" t="str">
        <f t="shared" si="44"/>
        <v>EAST_MDB_4A_2\KW</v>
      </c>
      <c r="AF106" s="2" t="str">
        <f t="shared" si="44"/>
        <v>EAST_MDB_4A_2\KHh</v>
      </c>
      <c r="AG106" s="2" t="str">
        <f t="shared" si="44"/>
        <v>EAST_MDB_4A_2\VA</v>
      </c>
      <c r="AH106" s="2" t="str">
        <f t="shared" si="44"/>
        <v>EAST_MDB_4A_2\VAH</v>
      </c>
      <c r="AI106" s="2" t="str">
        <f t="shared" si="44"/>
        <v>EAST_MDB_4A_2\PEAK</v>
      </c>
      <c r="AJ106" s="2" t="str">
        <f t="shared" si="44"/>
        <v>EAST_MDB_4A_2\H_A_1</v>
      </c>
      <c r="AK106" s="2" t="str">
        <f t="shared" si="44"/>
        <v>EAST_MDB_4A_2\H_A_3</v>
      </c>
      <c r="AL106" s="2" t="str">
        <f t="shared" si="44"/>
        <v>EAST_MDB_4A_2\H_A_5</v>
      </c>
      <c r="AM106" s="2" t="str">
        <f t="shared" si="44"/>
        <v>EAST_MDB_4A_2\H_A_7</v>
      </c>
      <c r="AN106" s="2" t="str">
        <f t="shared" si="44"/>
        <v>EAST_MDB_4A_2\H_B_1</v>
      </c>
      <c r="AO106" s="2" t="str">
        <f t="shared" si="44"/>
        <v>EAST_MDB_4A_2\H_B_3</v>
      </c>
      <c r="AP106" s="2" t="str">
        <f t="shared" si="44"/>
        <v>EAST_MDB_4A_2\H_B_5</v>
      </c>
      <c r="AQ106" s="2" t="str">
        <f t="shared" si="44"/>
        <v>EAST_MDB_4A_2\H_B_7</v>
      </c>
      <c r="AR106" s="2" t="str">
        <f t="shared" si="44"/>
        <v>EAST_MDB_4A_2\H_C_1</v>
      </c>
      <c r="AS106" s="2" t="str">
        <f t="shared" si="44"/>
        <v>EAST_MDB_4A_2\H_C_3</v>
      </c>
      <c r="AT106" s="2" t="str">
        <f t="shared" si="44"/>
        <v>EAST_MDB_4A_2\H_C_5</v>
      </c>
      <c r="AU106" s="2" t="str">
        <f t="shared" si="44"/>
        <v>EAST_MDB_4A_2\H_C_7</v>
      </c>
      <c r="AV106" s="2" t="str">
        <f t="shared" si="45"/>
        <v>EAST_MDB_4A_2\PV1</v>
      </c>
      <c r="AW106" s="2" t="str">
        <f t="shared" si="45"/>
        <v>EAST_MDB_4A_2\PV2</v>
      </c>
      <c r="AX106" s="2" t="str">
        <f t="shared" si="45"/>
        <v>EAST_MDB_4A_2\PV3</v>
      </c>
      <c r="AY106" s="2" t="str">
        <f t="shared" si="45"/>
        <v>EAST_MDB_4A_2\PI1</v>
      </c>
      <c r="AZ106" s="2" t="str">
        <f t="shared" si="45"/>
        <v>EAST_MDB_4A_2\PI2</v>
      </c>
      <c r="BA106" s="2" t="str">
        <f t="shared" si="45"/>
        <v>EAST_MDB_4A_2\PI3</v>
      </c>
    </row>
    <row r="107" spans="1:53" x14ac:dyDescent="0.25">
      <c r="A107" s="3">
        <v>21</v>
      </c>
      <c r="B107" s="3" t="s">
        <v>336</v>
      </c>
      <c r="C107" s="3" t="s">
        <v>120</v>
      </c>
      <c r="D107" s="3" t="s">
        <v>291</v>
      </c>
      <c r="E107" s="4"/>
      <c r="F107" s="2" t="str">
        <f t="shared" si="36"/>
        <v>EAST_MDB_4A_3\ST</v>
      </c>
      <c r="G107" s="2" t="str">
        <f t="shared" si="36"/>
        <v>EAST_MDB_4A_3\TRIP</v>
      </c>
      <c r="H107" s="20"/>
      <c r="I107" s="20"/>
      <c r="J107" s="20"/>
      <c r="K107" s="20"/>
      <c r="L107" s="20"/>
      <c r="M107" s="20"/>
      <c r="N107" s="20"/>
      <c r="O107" s="20"/>
      <c r="P107" s="20"/>
      <c r="Q107" s="24"/>
      <c r="R107" s="2" t="str">
        <f t="shared" si="44"/>
        <v>EAST_MDB_4A_3\V12</v>
      </c>
      <c r="S107" s="2" t="str">
        <f t="shared" si="44"/>
        <v>EAST_MDB_4A_3\V23</v>
      </c>
      <c r="T107" s="2" t="str">
        <f t="shared" si="44"/>
        <v>EAST_MDB_4A_3\V31</v>
      </c>
      <c r="U107" s="2" t="str">
        <f t="shared" si="44"/>
        <v>EAST_MDB_4A_3\V1N</v>
      </c>
      <c r="V107" s="2" t="str">
        <f t="shared" si="44"/>
        <v>EAST_MDB_4A_3\V2N</v>
      </c>
      <c r="W107" s="2" t="str">
        <f t="shared" si="44"/>
        <v>EAST_MDB_4A_3\V3N</v>
      </c>
      <c r="X107" s="2" t="str">
        <f t="shared" si="44"/>
        <v>EAST_MDB_4A_3\VA</v>
      </c>
      <c r="Y107" s="2" t="str">
        <f t="shared" si="44"/>
        <v>EAST_MDB_4A_3\A1</v>
      </c>
      <c r="Z107" s="2" t="str">
        <f t="shared" si="44"/>
        <v>EAST_MDB_4A_3\A2</v>
      </c>
      <c r="AA107" s="2" t="str">
        <f t="shared" si="44"/>
        <v>EAST_MDB_4A_3\A3</v>
      </c>
      <c r="AB107" s="2" t="str">
        <f t="shared" si="44"/>
        <v>EAST_MDB_4A_3\AA</v>
      </c>
      <c r="AC107" s="2" t="str">
        <f t="shared" si="44"/>
        <v>EAST_MDB_4A_3\PF</v>
      </c>
      <c r="AD107" s="2" t="str">
        <f t="shared" si="44"/>
        <v>EAST_MDB_4A_3\HZ</v>
      </c>
      <c r="AE107" s="2" t="str">
        <f t="shared" si="44"/>
        <v>EAST_MDB_4A_3\KW</v>
      </c>
      <c r="AF107" s="2" t="str">
        <f t="shared" si="44"/>
        <v>EAST_MDB_4A_3\KHh</v>
      </c>
      <c r="AG107" s="2" t="str">
        <f t="shared" si="44"/>
        <v>EAST_MDB_4A_3\VA</v>
      </c>
      <c r="AH107" s="2" t="str">
        <f t="shared" si="44"/>
        <v>EAST_MDB_4A_3\VAH</v>
      </c>
      <c r="AI107" s="2" t="str">
        <f t="shared" si="44"/>
        <v>EAST_MDB_4A_3\PEAK</v>
      </c>
      <c r="AJ107" s="2" t="str">
        <f t="shared" si="44"/>
        <v>EAST_MDB_4A_3\H_A_1</v>
      </c>
      <c r="AK107" s="2" t="str">
        <f t="shared" si="44"/>
        <v>EAST_MDB_4A_3\H_A_3</v>
      </c>
      <c r="AL107" s="2" t="str">
        <f t="shared" si="44"/>
        <v>EAST_MDB_4A_3\H_A_5</v>
      </c>
      <c r="AM107" s="2" t="str">
        <f t="shared" si="44"/>
        <v>EAST_MDB_4A_3\H_A_7</v>
      </c>
      <c r="AN107" s="2" t="str">
        <f t="shared" si="44"/>
        <v>EAST_MDB_4A_3\H_B_1</v>
      </c>
      <c r="AO107" s="2" t="str">
        <f t="shared" si="44"/>
        <v>EAST_MDB_4A_3\H_B_3</v>
      </c>
      <c r="AP107" s="2" t="str">
        <f t="shared" si="44"/>
        <v>EAST_MDB_4A_3\H_B_5</v>
      </c>
      <c r="AQ107" s="2" t="str">
        <f t="shared" si="44"/>
        <v>EAST_MDB_4A_3\H_B_7</v>
      </c>
      <c r="AR107" s="2" t="str">
        <f t="shared" si="44"/>
        <v>EAST_MDB_4A_3\H_C_1</v>
      </c>
      <c r="AS107" s="2" t="str">
        <f t="shared" si="44"/>
        <v>EAST_MDB_4A_3\H_C_3</v>
      </c>
      <c r="AT107" s="2" t="str">
        <f t="shared" si="44"/>
        <v>EAST_MDB_4A_3\H_C_5</v>
      </c>
      <c r="AU107" s="2" t="str">
        <f t="shared" si="44"/>
        <v>EAST_MDB_4A_3\H_C_7</v>
      </c>
      <c r="AV107" s="2" t="str">
        <f t="shared" si="45"/>
        <v>EAST_MDB_4A_3\PV1</v>
      </c>
      <c r="AW107" s="2" t="str">
        <f t="shared" si="45"/>
        <v>EAST_MDB_4A_3\PV2</v>
      </c>
      <c r="AX107" s="2" t="str">
        <f t="shared" si="45"/>
        <v>EAST_MDB_4A_3\PV3</v>
      </c>
      <c r="AY107" s="2" t="str">
        <f t="shared" si="45"/>
        <v>EAST_MDB_4A_3\PI1</v>
      </c>
      <c r="AZ107" s="2" t="str">
        <f t="shared" si="45"/>
        <v>EAST_MDB_4A_3\PI2</v>
      </c>
      <c r="BA107" s="2" t="str">
        <f t="shared" si="45"/>
        <v>EAST_MDB_4A_3\PI3</v>
      </c>
    </row>
    <row r="108" spans="1:53" x14ac:dyDescent="0.25">
      <c r="A108" s="3">
        <v>22</v>
      </c>
      <c r="B108" s="3" t="s">
        <v>336</v>
      </c>
      <c r="C108" s="3" t="s">
        <v>233</v>
      </c>
      <c r="D108" s="3" t="s">
        <v>328</v>
      </c>
      <c r="E108" s="4"/>
      <c r="F108" s="2"/>
      <c r="G108" s="2"/>
      <c r="H108" s="2" t="str">
        <f>$C108&amp;H$7</f>
        <v>EAST_MDB_4B\ELD</v>
      </c>
      <c r="I108" s="20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</row>
    <row r="109" spans="1:53" x14ac:dyDescent="0.25">
      <c r="A109" s="3">
        <v>23</v>
      </c>
      <c r="B109" s="3" t="s">
        <v>336</v>
      </c>
      <c r="C109" s="3" t="s">
        <v>121</v>
      </c>
      <c r="D109" s="3" t="s">
        <v>328</v>
      </c>
      <c r="E109" s="4"/>
      <c r="F109" s="2" t="str">
        <f t="shared" ref="F109:G116" si="46">$C109&amp;F$7</f>
        <v>EAST_MDB_4B_1\ST</v>
      </c>
      <c r="G109" s="2" t="str">
        <f t="shared" si="46"/>
        <v>EAST_MDB_4B_1\TRIP</v>
      </c>
      <c r="H109" s="20"/>
      <c r="I109" s="20"/>
      <c r="J109" s="20"/>
      <c r="K109" s="20"/>
      <c r="L109" s="20"/>
      <c r="M109" s="20"/>
      <c r="N109" s="20"/>
      <c r="O109" s="20"/>
      <c r="P109" s="20"/>
      <c r="Q109" s="24"/>
      <c r="R109" s="2" t="str">
        <f t="shared" ref="R109:AU116" si="47">$C109&amp;R$7</f>
        <v>EAST_MDB_4B_1\V12</v>
      </c>
      <c r="S109" s="2" t="str">
        <f t="shared" si="47"/>
        <v>EAST_MDB_4B_1\V23</v>
      </c>
      <c r="T109" s="2" t="str">
        <f t="shared" si="47"/>
        <v>EAST_MDB_4B_1\V31</v>
      </c>
      <c r="U109" s="2" t="str">
        <f t="shared" si="47"/>
        <v>EAST_MDB_4B_1\V1N</v>
      </c>
      <c r="V109" s="2" t="str">
        <f t="shared" si="47"/>
        <v>EAST_MDB_4B_1\V2N</v>
      </c>
      <c r="W109" s="2" t="str">
        <f t="shared" si="47"/>
        <v>EAST_MDB_4B_1\V3N</v>
      </c>
      <c r="X109" s="2" t="str">
        <f t="shared" si="47"/>
        <v>EAST_MDB_4B_1\VA</v>
      </c>
      <c r="Y109" s="2" t="str">
        <f t="shared" si="47"/>
        <v>EAST_MDB_4B_1\A1</v>
      </c>
      <c r="Z109" s="2" t="str">
        <f t="shared" si="47"/>
        <v>EAST_MDB_4B_1\A2</v>
      </c>
      <c r="AA109" s="2" t="str">
        <f t="shared" si="47"/>
        <v>EAST_MDB_4B_1\A3</v>
      </c>
      <c r="AB109" s="2" t="str">
        <f t="shared" si="47"/>
        <v>EAST_MDB_4B_1\AA</v>
      </c>
      <c r="AC109" s="2" t="str">
        <f t="shared" si="47"/>
        <v>EAST_MDB_4B_1\PF</v>
      </c>
      <c r="AD109" s="2" t="str">
        <f t="shared" si="47"/>
        <v>EAST_MDB_4B_1\HZ</v>
      </c>
      <c r="AE109" s="2" t="str">
        <f t="shared" si="47"/>
        <v>EAST_MDB_4B_1\KW</v>
      </c>
      <c r="AF109" s="2" t="str">
        <f t="shared" si="47"/>
        <v>EAST_MDB_4B_1\KHh</v>
      </c>
      <c r="AG109" s="2" t="str">
        <f t="shared" si="47"/>
        <v>EAST_MDB_4B_1\VA</v>
      </c>
      <c r="AH109" s="2" t="str">
        <f t="shared" si="47"/>
        <v>EAST_MDB_4B_1\VAH</v>
      </c>
      <c r="AI109" s="2" t="str">
        <f t="shared" si="47"/>
        <v>EAST_MDB_4B_1\PEAK</v>
      </c>
      <c r="AJ109" s="2" t="str">
        <f t="shared" si="47"/>
        <v>EAST_MDB_4B_1\H_A_1</v>
      </c>
      <c r="AK109" s="2" t="str">
        <f t="shared" si="47"/>
        <v>EAST_MDB_4B_1\H_A_3</v>
      </c>
      <c r="AL109" s="2" t="str">
        <f t="shared" si="47"/>
        <v>EAST_MDB_4B_1\H_A_5</v>
      </c>
      <c r="AM109" s="2" t="str">
        <f t="shared" si="47"/>
        <v>EAST_MDB_4B_1\H_A_7</v>
      </c>
      <c r="AN109" s="2" t="str">
        <f t="shared" si="47"/>
        <v>EAST_MDB_4B_1\H_B_1</v>
      </c>
      <c r="AO109" s="2" t="str">
        <f t="shared" si="47"/>
        <v>EAST_MDB_4B_1\H_B_3</v>
      </c>
      <c r="AP109" s="2" t="str">
        <f t="shared" si="47"/>
        <v>EAST_MDB_4B_1\H_B_5</v>
      </c>
      <c r="AQ109" s="2" t="str">
        <f t="shared" si="47"/>
        <v>EAST_MDB_4B_1\H_B_7</v>
      </c>
      <c r="AR109" s="2" t="str">
        <f t="shared" si="47"/>
        <v>EAST_MDB_4B_1\H_C_1</v>
      </c>
      <c r="AS109" s="2" t="str">
        <f t="shared" si="47"/>
        <v>EAST_MDB_4B_1\H_C_3</v>
      </c>
      <c r="AT109" s="2" t="str">
        <f t="shared" si="47"/>
        <v>EAST_MDB_4B_1\H_C_5</v>
      </c>
      <c r="AU109" s="2" t="str">
        <f t="shared" si="47"/>
        <v>EAST_MDB_4B_1\H_C_7</v>
      </c>
      <c r="AV109" s="2" t="str">
        <f t="shared" ref="AV109:BA116" si="48">$C109&amp;AV$7</f>
        <v>EAST_MDB_4B_1\PV1</v>
      </c>
      <c r="AW109" s="2" t="str">
        <f t="shared" si="48"/>
        <v>EAST_MDB_4B_1\PV2</v>
      </c>
      <c r="AX109" s="2" t="str">
        <f t="shared" si="48"/>
        <v>EAST_MDB_4B_1\PV3</v>
      </c>
      <c r="AY109" s="2" t="str">
        <f t="shared" si="48"/>
        <v>EAST_MDB_4B_1\PI1</v>
      </c>
      <c r="AZ109" s="2" t="str">
        <f t="shared" si="48"/>
        <v>EAST_MDB_4B_1\PI2</v>
      </c>
      <c r="BA109" s="2" t="str">
        <f t="shared" si="48"/>
        <v>EAST_MDB_4B_1\PI3</v>
      </c>
    </row>
    <row r="110" spans="1:53" x14ac:dyDescent="0.25">
      <c r="A110" s="3">
        <v>24</v>
      </c>
      <c r="B110" s="3" t="s">
        <v>336</v>
      </c>
      <c r="C110" s="3" t="s">
        <v>122</v>
      </c>
      <c r="D110" s="3" t="s">
        <v>328</v>
      </c>
      <c r="E110" s="4"/>
      <c r="F110" s="2" t="str">
        <f t="shared" si="46"/>
        <v>EAST_MDB_4B_2\ST</v>
      </c>
      <c r="G110" s="2" t="str">
        <f t="shared" si="46"/>
        <v>EAST_MDB_4B_2\TRIP</v>
      </c>
      <c r="H110" s="20"/>
      <c r="I110" s="20"/>
      <c r="J110" s="20"/>
      <c r="K110" s="20"/>
      <c r="L110" s="20"/>
      <c r="M110" s="20"/>
      <c r="N110" s="20"/>
      <c r="O110" s="20"/>
      <c r="P110" s="20"/>
      <c r="Q110" s="24"/>
      <c r="R110" s="2" t="str">
        <f t="shared" si="47"/>
        <v>EAST_MDB_4B_2\V12</v>
      </c>
      <c r="S110" s="2" t="str">
        <f t="shared" si="47"/>
        <v>EAST_MDB_4B_2\V23</v>
      </c>
      <c r="T110" s="2" t="str">
        <f t="shared" si="47"/>
        <v>EAST_MDB_4B_2\V31</v>
      </c>
      <c r="U110" s="2" t="str">
        <f t="shared" si="47"/>
        <v>EAST_MDB_4B_2\V1N</v>
      </c>
      <c r="V110" s="2" t="str">
        <f t="shared" si="47"/>
        <v>EAST_MDB_4B_2\V2N</v>
      </c>
      <c r="W110" s="2" t="str">
        <f t="shared" si="47"/>
        <v>EAST_MDB_4B_2\V3N</v>
      </c>
      <c r="X110" s="2" t="str">
        <f t="shared" si="47"/>
        <v>EAST_MDB_4B_2\VA</v>
      </c>
      <c r="Y110" s="2" t="str">
        <f t="shared" si="47"/>
        <v>EAST_MDB_4B_2\A1</v>
      </c>
      <c r="Z110" s="2" t="str">
        <f t="shared" si="47"/>
        <v>EAST_MDB_4B_2\A2</v>
      </c>
      <c r="AA110" s="2" t="str">
        <f t="shared" si="47"/>
        <v>EAST_MDB_4B_2\A3</v>
      </c>
      <c r="AB110" s="2" t="str">
        <f t="shared" si="47"/>
        <v>EAST_MDB_4B_2\AA</v>
      </c>
      <c r="AC110" s="2" t="str">
        <f t="shared" si="47"/>
        <v>EAST_MDB_4B_2\PF</v>
      </c>
      <c r="AD110" s="2" t="str">
        <f t="shared" si="47"/>
        <v>EAST_MDB_4B_2\HZ</v>
      </c>
      <c r="AE110" s="2" t="str">
        <f t="shared" si="47"/>
        <v>EAST_MDB_4B_2\KW</v>
      </c>
      <c r="AF110" s="2" t="str">
        <f t="shared" si="47"/>
        <v>EAST_MDB_4B_2\KHh</v>
      </c>
      <c r="AG110" s="2" t="str">
        <f t="shared" si="47"/>
        <v>EAST_MDB_4B_2\VA</v>
      </c>
      <c r="AH110" s="2" t="str">
        <f t="shared" si="47"/>
        <v>EAST_MDB_4B_2\VAH</v>
      </c>
      <c r="AI110" s="2" t="str">
        <f t="shared" si="47"/>
        <v>EAST_MDB_4B_2\PEAK</v>
      </c>
      <c r="AJ110" s="2" t="str">
        <f t="shared" si="47"/>
        <v>EAST_MDB_4B_2\H_A_1</v>
      </c>
      <c r="AK110" s="2" t="str">
        <f t="shared" si="47"/>
        <v>EAST_MDB_4B_2\H_A_3</v>
      </c>
      <c r="AL110" s="2" t="str">
        <f t="shared" si="47"/>
        <v>EAST_MDB_4B_2\H_A_5</v>
      </c>
      <c r="AM110" s="2" t="str">
        <f t="shared" si="47"/>
        <v>EAST_MDB_4B_2\H_A_7</v>
      </c>
      <c r="AN110" s="2" t="str">
        <f t="shared" si="47"/>
        <v>EAST_MDB_4B_2\H_B_1</v>
      </c>
      <c r="AO110" s="2" t="str">
        <f t="shared" si="47"/>
        <v>EAST_MDB_4B_2\H_B_3</v>
      </c>
      <c r="AP110" s="2" t="str">
        <f t="shared" si="47"/>
        <v>EAST_MDB_4B_2\H_B_5</v>
      </c>
      <c r="AQ110" s="2" t="str">
        <f t="shared" si="47"/>
        <v>EAST_MDB_4B_2\H_B_7</v>
      </c>
      <c r="AR110" s="2" t="str">
        <f t="shared" si="47"/>
        <v>EAST_MDB_4B_2\H_C_1</v>
      </c>
      <c r="AS110" s="2" t="str">
        <f t="shared" si="47"/>
        <v>EAST_MDB_4B_2\H_C_3</v>
      </c>
      <c r="AT110" s="2" t="str">
        <f t="shared" si="47"/>
        <v>EAST_MDB_4B_2\H_C_5</v>
      </c>
      <c r="AU110" s="2" t="str">
        <f t="shared" si="47"/>
        <v>EAST_MDB_4B_2\H_C_7</v>
      </c>
      <c r="AV110" s="2" t="str">
        <f t="shared" si="48"/>
        <v>EAST_MDB_4B_2\PV1</v>
      </c>
      <c r="AW110" s="2" t="str">
        <f t="shared" si="48"/>
        <v>EAST_MDB_4B_2\PV2</v>
      </c>
      <c r="AX110" s="2" t="str">
        <f t="shared" si="48"/>
        <v>EAST_MDB_4B_2\PV3</v>
      </c>
      <c r="AY110" s="2" t="str">
        <f t="shared" si="48"/>
        <v>EAST_MDB_4B_2\PI1</v>
      </c>
      <c r="AZ110" s="2" t="str">
        <f t="shared" si="48"/>
        <v>EAST_MDB_4B_2\PI2</v>
      </c>
      <c r="BA110" s="2" t="str">
        <f t="shared" si="48"/>
        <v>EAST_MDB_4B_2\PI3</v>
      </c>
    </row>
    <row r="111" spans="1:53" x14ac:dyDescent="0.25">
      <c r="A111" s="3">
        <v>25</v>
      </c>
      <c r="B111" s="3" t="s">
        <v>336</v>
      </c>
      <c r="C111" s="3" t="s">
        <v>123</v>
      </c>
      <c r="D111" s="3" t="s">
        <v>328</v>
      </c>
      <c r="E111" s="4"/>
      <c r="F111" s="2" t="str">
        <f t="shared" si="46"/>
        <v>EAST_MDB_4B_3\ST</v>
      </c>
      <c r="G111" s="2" t="str">
        <f t="shared" si="46"/>
        <v>EAST_MDB_4B_3\TRIP</v>
      </c>
      <c r="H111" s="20"/>
      <c r="I111" s="20"/>
      <c r="J111" s="20"/>
      <c r="K111" s="20"/>
      <c r="L111" s="20"/>
      <c r="M111" s="20"/>
      <c r="N111" s="20"/>
      <c r="O111" s="20"/>
      <c r="P111" s="20"/>
      <c r="Q111" s="24"/>
      <c r="R111" s="2" t="str">
        <f t="shared" si="47"/>
        <v>EAST_MDB_4B_3\V12</v>
      </c>
      <c r="S111" s="2" t="str">
        <f t="shared" si="47"/>
        <v>EAST_MDB_4B_3\V23</v>
      </c>
      <c r="T111" s="2" t="str">
        <f t="shared" si="47"/>
        <v>EAST_MDB_4B_3\V31</v>
      </c>
      <c r="U111" s="2" t="str">
        <f t="shared" si="47"/>
        <v>EAST_MDB_4B_3\V1N</v>
      </c>
      <c r="V111" s="2" t="str">
        <f t="shared" si="47"/>
        <v>EAST_MDB_4B_3\V2N</v>
      </c>
      <c r="W111" s="2" t="str">
        <f t="shared" si="47"/>
        <v>EAST_MDB_4B_3\V3N</v>
      </c>
      <c r="X111" s="2" t="str">
        <f t="shared" si="47"/>
        <v>EAST_MDB_4B_3\VA</v>
      </c>
      <c r="Y111" s="2" t="str">
        <f t="shared" si="47"/>
        <v>EAST_MDB_4B_3\A1</v>
      </c>
      <c r="Z111" s="2" t="str">
        <f t="shared" si="47"/>
        <v>EAST_MDB_4B_3\A2</v>
      </c>
      <c r="AA111" s="2" t="str">
        <f t="shared" si="47"/>
        <v>EAST_MDB_4B_3\A3</v>
      </c>
      <c r="AB111" s="2" t="str">
        <f t="shared" si="47"/>
        <v>EAST_MDB_4B_3\AA</v>
      </c>
      <c r="AC111" s="2" t="str">
        <f t="shared" si="47"/>
        <v>EAST_MDB_4B_3\PF</v>
      </c>
      <c r="AD111" s="2" t="str">
        <f t="shared" si="47"/>
        <v>EAST_MDB_4B_3\HZ</v>
      </c>
      <c r="AE111" s="2" t="str">
        <f t="shared" si="47"/>
        <v>EAST_MDB_4B_3\KW</v>
      </c>
      <c r="AF111" s="2" t="str">
        <f t="shared" si="47"/>
        <v>EAST_MDB_4B_3\KHh</v>
      </c>
      <c r="AG111" s="2" t="str">
        <f t="shared" si="47"/>
        <v>EAST_MDB_4B_3\VA</v>
      </c>
      <c r="AH111" s="2" t="str">
        <f t="shared" si="47"/>
        <v>EAST_MDB_4B_3\VAH</v>
      </c>
      <c r="AI111" s="2" t="str">
        <f t="shared" si="47"/>
        <v>EAST_MDB_4B_3\PEAK</v>
      </c>
      <c r="AJ111" s="2" t="str">
        <f t="shared" si="47"/>
        <v>EAST_MDB_4B_3\H_A_1</v>
      </c>
      <c r="AK111" s="2" t="str">
        <f t="shared" si="47"/>
        <v>EAST_MDB_4B_3\H_A_3</v>
      </c>
      <c r="AL111" s="2" t="str">
        <f t="shared" si="47"/>
        <v>EAST_MDB_4B_3\H_A_5</v>
      </c>
      <c r="AM111" s="2" t="str">
        <f t="shared" si="47"/>
        <v>EAST_MDB_4B_3\H_A_7</v>
      </c>
      <c r="AN111" s="2" t="str">
        <f t="shared" si="47"/>
        <v>EAST_MDB_4B_3\H_B_1</v>
      </c>
      <c r="AO111" s="2" t="str">
        <f t="shared" si="47"/>
        <v>EAST_MDB_4B_3\H_B_3</v>
      </c>
      <c r="AP111" s="2" t="str">
        <f t="shared" si="47"/>
        <v>EAST_MDB_4B_3\H_B_5</v>
      </c>
      <c r="AQ111" s="2" t="str">
        <f t="shared" si="47"/>
        <v>EAST_MDB_4B_3\H_B_7</v>
      </c>
      <c r="AR111" s="2" t="str">
        <f t="shared" si="47"/>
        <v>EAST_MDB_4B_3\H_C_1</v>
      </c>
      <c r="AS111" s="2" t="str">
        <f t="shared" si="47"/>
        <v>EAST_MDB_4B_3\H_C_3</v>
      </c>
      <c r="AT111" s="2" t="str">
        <f t="shared" si="47"/>
        <v>EAST_MDB_4B_3\H_C_5</v>
      </c>
      <c r="AU111" s="2" t="str">
        <f t="shared" si="47"/>
        <v>EAST_MDB_4B_3\H_C_7</v>
      </c>
      <c r="AV111" s="2" t="str">
        <f t="shared" si="48"/>
        <v>EAST_MDB_4B_3\PV1</v>
      </c>
      <c r="AW111" s="2" t="str">
        <f t="shared" si="48"/>
        <v>EAST_MDB_4B_3\PV2</v>
      </c>
      <c r="AX111" s="2" t="str">
        <f t="shared" si="48"/>
        <v>EAST_MDB_4B_3\PV3</v>
      </c>
      <c r="AY111" s="2" t="str">
        <f t="shared" si="48"/>
        <v>EAST_MDB_4B_3\PI1</v>
      </c>
      <c r="AZ111" s="2" t="str">
        <f t="shared" si="48"/>
        <v>EAST_MDB_4B_3\PI2</v>
      </c>
      <c r="BA111" s="2" t="str">
        <f t="shared" si="48"/>
        <v>EAST_MDB_4B_3\PI3</v>
      </c>
    </row>
    <row r="112" spans="1:53" x14ac:dyDescent="0.25">
      <c r="A112" s="3">
        <v>26</v>
      </c>
      <c r="B112" s="3" t="s">
        <v>336</v>
      </c>
      <c r="C112" s="3" t="s">
        <v>124</v>
      </c>
      <c r="D112" s="3" t="s">
        <v>328</v>
      </c>
      <c r="E112" s="4"/>
      <c r="F112" s="2" t="str">
        <f t="shared" si="46"/>
        <v>EAST_MDB_4B_4\ST</v>
      </c>
      <c r="G112" s="2" t="str">
        <f t="shared" si="46"/>
        <v>EAST_MDB_4B_4\TRIP</v>
      </c>
      <c r="H112" s="20"/>
      <c r="I112" s="20"/>
      <c r="J112" s="20"/>
      <c r="K112" s="20"/>
      <c r="L112" s="20"/>
      <c r="M112" s="20"/>
      <c r="N112" s="20"/>
      <c r="O112" s="20"/>
      <c r="P112" s="20"/>
      <c r="Q112" s="24"/>
      <c r="R112" s="2" t="str">
        <f t="shared" si="47"/>
        <v>EAST_MDB_4B_4\V12</v>
      </c>
      <c r="S112" s="2" t="str">
        <f t="shared" si="47"/>
        <v>EAST_MDB_4B_4\V23</v>
      </c>
      <c r="T112" s="2" t="str">
        <f t="shared" si="47"/>
        <v>EAST_MDB_4B_4\V31</v>
      </c>
      <c r="U112" s="2" t="str">
        <f t="shared" si="47"/>
        <v>EAST_MDB_4B_4\V1N</v>
      </c>
      <c r="V112" s="2" t="str">
        <f t="shared" si="47"/>
        <v>EAST_MDB_4B_4\V2N</v>
      </c>
      <c r="W112" s="2" t="str">
        <f t="shared" si="47"/>
        <v>EAST_MDB_4B_4\V3N</v>
      </c>
      <c r="X112" s="2" t="str">
        <f t="shared" si="47"/>
        <v>EAST_MDB_4B_4\VA</v>
      </c>
      <c r="Y112" s="2" t="str">
        <f t="shared" si="47"/>
        <v>EAST_MDB_4B_4\A1</v>
      </c>
      <c r="Z112" s="2" t="str">
        <f t="shared" si="47"/>
        <v>EAST_MDB_4B_4\A2</v>
      </c>
      <c r="AA112" s="2" t="str">
        <f t="shared" si="47"/>
        <v>EAST_MDB_4B_4\A3</v>
      </c>
      <c r="AB112" s="2" t="str">
        <f t="shared" si="47"/>
        <v>EAST_MDB_4B_4\AA</v>
      </c>
      <c r="AC112" s="2" t="str">
        <f t="shared" si="47"/>
        <v>EAST_MDB_4B_4\PF</v>
      </c>
      <c r="AD112" s="2" t="str">
        <f t="shared" si="47"/>
        <v>EAST_MDB_4B_4\HZ</v>
      </c>
      <c r="AE112" s="2" t="str">
        <f t="shared" si="47"/>
        <v>EAST_MDB_4B_4\KW</v>
      </c>
      <c r="AF112" s="2" t="str">
        <f t="shared" si="47"/>
        <v>EAST_MDB_4B_4\KHh</v>
      </c>
      <c r="AG112" s="2" t="str">
        <f t="shared" si="47"/>
        <v>EAST_MDB_4B_4\VA</v>
      </c>
      <c r="AH112" s="2" t="str">
        <f t="shared" si="47"/>
        <v>EAST_MDB_4B_4\VAH</v>
      </c>
      <c r="AI112" s="2" t="str">
        <f t="shared" si="47"/>
        <v>EAST_MDB_4B_4\PEAK</v>
      </c>
      <c r="AJ112" s="2" t="str">
        <f t="shared" si="47"/>
        <v>EAST_MDB_4B_4\H_A_1</v>
      </c>
      <c r="AK112" s="2" t="str">
        <f t="shared" si="47"/>
        <v>EAST_MDB_4B_4\H_A_3</v>
      </c>
      <c r="AL112" s="2" t="str">
        <f t="shared" si="47"/>
        <v>EAST_MDB_4B_4\H_A_5</v>
      </c>
      <c r="AM112" s="2" t="str">
        <f t="shared" si="47"/>
        <v>EAST_MDB_4B_4\H_A_7</v>
      </c>
      <c r="AN112" s="2" t="str">
        <f t="shared" si="47"/>
        <v>EAST_MDB_4B_4\H_B_1</v>
      </c>
      <c r="AO112" s="2" t="str">
        <f t="shared" si="47"/>
        <v>EAST_MDB_4B_4\H_B_3</v>
      </c>
      <c r="AP112" s="2" t="str">
        <f t="shared" si="47"/>
        <v>EAST_MDB_4B_4\H_B_5</v>
      </c>
      <c r="AQ112" s="2" t="str">
        <f t="shared" si="47"/>
        <v>EAST_MDB_4B_4\H_B_7</v>
      </c>
      <c r="AR112" s="2" t="str">
        <f t="shared" si="47"/>
        <v>EAST_MDB_4B_4\H_C_1</v>
      </c>
      <c r="AS112" s="2" t="str">
        <f t="shared" si="47"/>
        <v>EAST_MDB_4B_4\H_C_3</v>
      </c>
      <c r="AT112" s="2" t="str">
        <f t="shared" si="47"/>
        <v>EAST_MDB_4B_4\H_C_5</v>
      </c>
      <c r="AU112" s="2" t="str">
        <f t="shared" si="47"/>
        <v>EAST_MDB_4B_4\H_C_7</v>
      </c>
      <c r="AV112" s="2" t="str">
        <f t="shared" si="48"/>
        <v>EAST_MDB_4B_4\PV1</v>
      </c>
      <c r="AW112" s="2" t="str">
        <f t="shared" si="48"/>
        <v>EAST_MDB_4B_4\PV2</v>
      </c>
      <c r="AX112" s="2" t="str">
        <f t="shared" si="48"/>
        <v>EAST_MDB_4B_4\PV3</v>
      </c>
      <c r="AY112" s="2" t="str">
        <f t="shared" si="48"/>
        <v>EAST_MDB_4B_4\PI1</v>
      </c>
      <c r="AZ112" s="2" t="str">
        <f t="shared" si="48"/>
        <v>EAST_MDB_4B_4\PI2</v>
      </c>
      <c r="BA112" s="2" t="str">
        <f t="shared" si="48"/>
        <v>EAST_MDB_4B_4\PI3</v>
      </c>
    </row>
    <row r="113" spans="1:53" x14ac:dyDescent="0.25">
      <c r="A113" s="3">
        <v>27</v>
      </c>
      <c r="B113" s="3" t="s">
        <v>336</v>
      </c>
      <c r="C113" s="3" t="s">
        <v>125</v>
      </c>
      <c r="D113" s="3" t="s">
        <v>328</v>
      </c>
      <c r="E113" s="4"/>
      <c r="F113" s="2" t="str">
        <f t="shared" si="46"/>
        <v>EAST_MDB_4B_5\ST</v>
      </c>
      <c r="G113" s="2" t="str">
        <f t="shared" si="46"/>
        <v>EAST_MDB_4B_5\TRIP</v>
      </c>
      <c r="H113" s="20"/>
      <c r="I113" s="20"/>
      <c r="J113" s="20"/>
      <c r="K113" s="20"/>
      <c r="L113" s="20"/>
      <c r="M113" s="20"/>
      <c r="N113" s="20"/>
      <c r="O113" s="20"/>
      <c r="P113" s="20"/>
      <c r="Q113" s="24"/>
      <c r="R113" s="2" t="str">
        <f t="shared" si="47"/>
        <v>EAST_MDB_4B_5\V12</v>
      </c>
      <c r="S113" s="2" t="str">
        <f t="shared" si="47"/>
        <v>EAST_MDB_4B_5\V23</v>
      </c>
      <c r="T113" s="2" t="str">
        <f t="shared" si="47"/>
        <v>EAST_MDB_4B_5\V31</v>
      </c>
      <c r="U113" s="2" t="str">
        <f t="shared" si="47"/>
        <v>EAST_MDB_4B_5\V1N</v>
      </c>
      <c r="V113" s="2" t="str">
        <f t="shared" si="47"/>
        <v>EAST_MDB_4B_5\V2N</v>
      </c>
      <c r="W113" s="2" t="str">
        <f t="shared" si="47"/>
        <v>EAST_MDB_4B_5\V3N</v>
      </c>
      <c r="X113" s="2" t="str">
        <f t="shared" si="47"/>
        <v>EAST_MDB_4B_5\VA</v>
      </c>
      <c r="Y113" s="2" t="str">
        <f t="shared" si="47"/>
        <v>EAST_MDB_4B_5\A1</v>
      </c>
      <c r="Z113" s="2" t="str">
        <f t="shared" si="47"/>
        <v>EAST_MDB_4B_5\A2</v>
      </c>
      <c r="AA113" s="2" t="str">
        <f t="shared" si="47"/>
        <v>EAST_MDB_4B_5\A3</v>
      </c>
      <c r="AB113" s="2" t="str">
        <f t="shared" si="47"/>
        <v>EAST_MDB_4B_5\AA</v>
      </c>
      <c r="AC113" s="2" t="str">
        <f t="shared" si="47"/>
        <v>EAST_MDB_4B_5\PF</v>
      </c>
      <c r="AD113" s="2" t="str">
        <f t="shared" si="47"/>
        <v>EAST_MDB_4B_5\HZ</v>
      </c>
      <c r="AE113" s="2" t="str">
        <f t="shared" si="47"/>
        <v>EAST_MDB_4B_5\KW</v>
      </c>
      <c r="AF113" s="2" t="str">
        <f t="shared" si="47"/>
        <v>EAST_MDB_4B_5\KHh</v>
      </c>
      <c r="AG113" s="2" t="str">
        <f t="shared" si="47"/>
        <v>EAST_MDB_4B_5\VA</v>
      </c>
      <c r="AH113" s="2" t="str">
        <f t="shared" si="47"/>
        <v>EAST_MDB_4B_5\VAH</v>
      </c>
      <c r="AI113" s="2" t="str">
        <f t="shared" si="47"/>
        <v>EAST_MDB_4B_5\PEAK</v>
      </c>
      <c r="AJ113" s="2" t="str">
        <f t="shared" si="47"/>
        <v>EAST_MDB_4B_5\H_A_1</v>
      </c>
      <c r="AK113" s="2" t="str">
        <f t="shared" si="47"/>
        <v>EAST_MDB_4B_5\H_A_3</v>
      </c>
      <c r="AL113" s="2" t="str">
        <f t="shared" si="47"/>
        <v>EAST_MDB_4B_5\H_A_5</v>
      </c>
      <c r="AM113" s="2" t="str">
        <f t="shared" si="47"/>
        <v>EAST_MDB_4B_5\H_A_7</v>
      </c>
      <c r="AN113" s="2" t="str">
        <f t="shared" si="47"/>
        <v>EAST_MDB_4B_5\H_B_1</v>
      </c>
      <c r="AO113" s="2" t="str">
        <f t="shared" si="47"/>
        <v>EAST_MDB_4B_5\H_B_3</v>
      </c>
      <c r="AP113" s="2" t="str">
        <f t="shared" si="47"/>
        <v>EAST_MDB_4B_5\H_B_5</v>
      </c>
      <c r="AQ113" s="2" t="str">
        <f t="shared" si="47"/>
        <v>EAST_MDB_4B_5\H_B_7</v>
      </c>
      <c r="AR113" s="2" t="str">
        <f t="shared" si="47"/>
        <v>EAST_MDB_4B_5\H_C_1</v>
      </c>
      <c r="AS113" s="2" t="str">
        <f t="shared" si="47"/>
        <v>EAST_MDB_4B_5\H_C_3</v>
      </c>
      <c r="AT113" s="2" t="str">
        <f t="shared" si="47"/>
        <v>EAST_MDB_4B_5\H_C_5</v>
      </c>
      <c r="AU113" s="2" t="str">
        <f t="shared" si="47"/>
        <v>EAST_MDB_4B_5\H_C_7</v>
      </c>
      <c r="AV113" s="2" t="str">
        <f t="shared" si="48"/>
        <v>EAST_MDB_4B_5\PV1</v>
      </c>
      <c r="AW113" s="2" t="str">
        <f t="shared" si="48"/>
        <v>EAST_MDB_4B_5\PV2</v>
      </c>
      <c r="AX113" s="2" t="str">
        <f t="shared" si="48"/>
        <v>EAST_MDB_4B_5\PV3</v>
      </c>
      <c r="AY113" s="2" t="str">
        <f t="shared" si="48"/>
        <v>EAST_MDB_4B_5\PI1</v>
      </c>
      <c r="AZ113" s="2" t="str">
        <f t="shared" si="48"/>
        <v>EAST_MDB_4B_5\PI2</v>
      </c>
      <c r="BA113" s="2" t="str">
        <f t="shared" si="48"/>
        <v>EAST_MDB_4B_5\PI3</v>
      </c>
    </row>
    <row r="114" spans="1:53" x14ac:dyDescent="0.25">
      <c r="A114" s="3">
        <v>28</v>
      </c>
      <c r="B114" s="3" t="s">
        <v>336</v>
      </c>
      <c r="C114" s="3" t="s">
        <v>126</v>
      </c>
      <c r="D114" s="3" t="s">
        <v>328</v>
      </c>
      <c r="E114" s="4"/>
      <c r="F114" s="2" t="str">
        <f t="shared" si="46"/>
        <v>EAST_MDB_4B_6\ST</v>
      </c>
      <c r="G114" s="2" t="str">
        <f t="shared" si="46"/>
        <v>EAST_MDB_4B_6\TRIP</v>
      </c>
      <c r="H114" s="20"/>
      <c r="I114" s="20"/>
      <c r="J114" s="20"/>
      <c r="K114" s="20"/>
      <c r="L114" s="20"/>
      <c r="M114" s="20"/>
      <c r="N114" s="20"/>
      <c r="O114" s="20"/>
      <c r="P114" s="20"/>
      <c r="Q114" s="24"/>
      <c r="R114" s="2" t="str">
        <f t="shared" si="47"/>
        <v>EAST_MDB_4B_6\V12</v>
      </c>
      <c r="S114" s="2" t="str">
        <f t="shared" si="47"/>
        <v>EAST_MDB_4B_6\V23</v>
      </c>
      <c r="T114" s="2" t="str">
        <f t="shared" si="47"/>
        <v>EAST_MDB_4B_6\V31</v>
      </c>
      <c r="U114" s="2" t="str">
        <f t="shared" si="47"/>
        <v>EAST_MDB_4B_6\V1N</v>
      </c>
      <c r="V114" s="2" t="str">
        <f t="shared" si="47"/>
        <v>EAST_MDB_4B_6\V2N</v>
      </c>
      <c r="W114" s="2" t="str">
        <f t="shared" si="47"/>
        <v>EAST_MDB_4B_6\V3N</v>
      </c>
      <c r="X114" s="2" t="str">
        <f t="shared" si="47"/>
        <v>EAST_MDB_4B_6\VA</v>
      </c>
      <c r="Y114" s="2" t="str">
        <f t="shared" si="47"/>
        <v>EAST_MDB_4B_6\A1</v>
      </c>
      <c r="Z114" s="2" t="str">
        <f t="shared" si="47"/>
        <v>EAST_MDB_4B_6\A2</v>
      </c>
      <c r="AA114" s="2" t="str">
        <f t="shared" si="47"/>
        <v>EAST_MDB_4B_6\A3</v>
      </c>
      <c r="AB114" s="2" t="str">
        <f t="shared" si="47"/>
        <v>EAST_MDB_4B_6\AA</v>
      </c>
      <c r="AC114" s="2" t="str">
        <f t="shared" si="47"/>
        <v>EAST_MDB_4B_6\PF</v>
      </c>
      <c r="AD114" s="2" t="str">
        <f t="shared" si="47"/>
        <v>EAST_MDB_4B_6\HZ</v>
      </c>
      <c r="AE114" s="2" t="str">
        <f t="shared" si="47"/>
        <v>EAST_MDB_4B_6\KW</v>
      </c>
      <c r="AF114" s="2" t="str">
        <f t="shared" si="47"/>
        <v>EAST_MDB_4B_6\KHh</v>
      </c>
      <c r="AG114" s="2" t="str">
        <f t="shared" si="47"/>
        <v>EAST_MDB_4B_6\VA</v>
      </c>
      <c r="AH114" s="2" t="str">
        <f t="shared" si="47"/>
        <v>EAST_MDB_4B_6\VAH</v>
      </c>
      <c r="AI114" s="2" t="str">
        <f t="shared" si="47"/>
        <v>EAST_MDB_4B_6\PEAK</v>
      </c>
      <c r="AJ114" s="2" t="str">
        <f t="shared" si="47"/>
        <v>EAST_MDB_4B_6\H_A_1</v>
      </c>
      <c r="AK114" s="2" t="str">
        <f t="shared" si="47"/>
        <v>EAST_MDB_4B_6\H_A_3</v>
      </c>
      <c r="AL114" s="2" t="str">
        <f t="shared" si="47"/>
        <v>EAST_MDB_4B_6\H_A_5</v>
      </c>
      <c r="AM114" s="2" t="str">
        <f t="shared" si="47"/>
        <v>EAST_MDB_4B_6\H_A_7</v>
      </c>
      <c r="AN114" s="2" t="str">
        <f t="shared" si="47"/>
        <v>EAST_MDB_4B_6\H_B_1</v>
      </c>
      <c r="AO114" s="2" t="str">
        <f t="shared" si="47"/>
        <v>EAST_MDB_4B_6\H_B_3</v>
      </c>
      <c r="AP114" s="2" t="str">
        <f t="shared" si="47"/>
        <v>EAST_MDB_4B_6\H_B_5</v>
      </c>
      <c r="AQ114" s="2" t="str">
        <f t="shared" si="47"/>
        <v>EAST_MDB_4B_6\H_B_7</v>
      </c>
      <c r="AR114" s="2" t="str">
        <f t="shared" si="47"/>
        <v>EAST_MDB_4B_6\H_C_1</v>
      </c>
      <c r="AS114" s="2" t="str">
        <f t="shared" si="47"/>
        <v>EAST_MDB_4B_6\H_C_3</v>
      </c>
      <c r="AT114" s="2" t="str">
        <f t="shared" si="47"/>
        <v>EAST_MDB_4B_6\H_C_5</v>
      </c>
      <c r="AU114" s="2" t="str">
        <f t="shared" si="47"/>
        <v>EAST_MDB_4B_6\H_C_7</v>
      </c>
      <c r="AV114" s="2" t="str">
        <f t="shared" si="48"/>
        <v>EAST_MDB_4B_6\PV1</v>
      </c>
      <c r="AW114" s="2" t="str">
        <f t="shared" si="48"/>
        <v>EAST_MDB_4B_6\PV2</v>
      </c>
      <c r="AX114" s="2" t="str">
        <f t="shared" si="48"/>
        <v>EAST_MDB_4B_6\PV3</v>
      </c>
      <c r="AY114" s="2" t="str">
        <f t="shared" si="48"/>
        <v>EAST_MDB_4B_6\PI1</v>
      </c>
      <c r="AZ114" s="2" t="str">
        <f t="shared" si="48"/>
        <v>EAST_MDB_4B_6\PI2</v>
      </c>
      <c r="BA114" s="2" t="str">
        <f t="shared" si="48"/>
        <v>EAST_MDB_4B_6\PI3</v>
      </c>
    </row>
    <row r="115" spans="1:53" x14ac:dyDescent="0.25">
      <c r="A115" s="3">
        <v>29</v>
      </c>
      <c r="B115" s="3" t="s">
        <v>336</v>
      </c>
      <c r="C115" s="3" t="s">
        <v>127</v>
      </c>
      <c r="D115" s="3" t="s">
        <v>328</v>
      </c>
      <c r="E115" s="4"/>
      <c r="F115" s="2" t="str">
        <f t="shared" si="46"/>
        <v>EAST_MDB_4B_7\ST</v>
      </c>
      <c r="G115" s="2" t="str">
        <f t="shared" si="46"/>
        <v>EAST_MDB_4B_7\TRIP</v>
      </c>
      <c r="H115" s="20"/>
      <c r="I115" s="20"/>
      <c r="J115" s="20"/>
      <c r="K115" s="20"/>
      <c r="L115" s="20"/>
      <c r="M115" s="20"/>
      <c r="N115" s="20"/>
      <c r="O115" s="20"/>
      <c r="P115" s="20"/>
      <c r="Q115" s="24"/>
      <c r="R115" s="2" t="str">
        <f t="shared" si="47"/>
        <v>EAST_MDB_4B_7\V12</v>
      </c>
      <c r="S115" s="2" t="str">
        <f t="shared" si="47"/>
        <v>EAST_MDB_4B_7\V23</v>
      </c>
      <c r="T115" s="2" t="str">
        <f t="shared" si="47"/>
        <v>EAST_MDB_4B_7\V31</v>
      </c>
      <c r="U115" s="2" t="str">
        <f t="shared" si="47"/>
        <v>EAST_MDB_4B_7\V1N</v>
      </c>
      <c r="V115" s="2" t="str">
        <f t="shared" si="47"/>
        <v>EAST_MDB_4B_7\V2N</v>
      </c>
      <c r="W115" s="2" t="str">
        <f t="shared" si="47"/>
        <v>EAST_MDB_4B_7\V3N</v>
      </c>
      <c r="X115" s="2" t="str">
        <f t="shared" si="47"/>
        <v>EAST_MDB_4B_7\VA</v>
      </c>
      <c r="Y115" s="2" t="str">
        <f t="shared" si="47"/>
        <v>EAST_MDB_4B_7\A1</v>
      </c>
      <c r="Z115" s="2" t="str">
        <f t="shared" si="47"/>
        <v>EAST_MDB_4B_7\A2</v>
      </c>
      <c r="AA115" s="2" t="str">
        <f t="shared" si="47"/>
        <v>EAST_MDB_4B_7\A3</v>
      </c>
      <c r="AB115" s="2" t="str">
        <f t="shared" si="47"/>
        <v>EAST_MDB_4B_7\AA</v>
      </c>
      <c r="AC115" s="2" t="str">
        <f t="shared" si="47"/>
        <v>EAST_MDB_4B_7\PF</v>
      </c>
      <c r="AD115" s="2" t="str">
        <f t="shared" si="47"/>
        <v>EAST_MDB_4B_7\HZ</v>
      </c>
      <c r="AE115" s="2" t="str">
        <f t="shared" si="47"/>
        <v>EAST_MDB_4B_7\KW</v>
      </c>
      <c r="AF115" s="2" t="str">
        <f t="shared" si="47"/>
        <v>EAST_MDB_4B_7\KHh</v>
      </c>
      <c r="AG115" s="2" t="str">
        <f t="shared" si="47"/>
        <v>EAST_MDB_4B_7\VA</v>
      </c>
      <c r="AH115" s="2" t="str">
        <f t="shared" si="47"/>
        <v>EAST_MDB_4B_7\VAH</v>
      </c>
      <c r="AI115" s="2" t="str">
        <f t="shared" si="47"/>
        <v>EAST_MDB_4B_7\PEAK</v>
      </c>
      <c r="AJ115" s="2" t="str">
        <f t="shared" si="47"/>
        <v>EAST_MDB_4B_7\H_A_1</v>
      </c>
      <c r="AK115" s="2" t="str">
        <f t="shared" si="47"/>
        <v>EAST_MDB_4B_7\H_A_3</v>
      </c>
      <c r="AL115" s="2" t="str">
        <f t="shared" si="47"/>
        <v>EAST_MDB_4B_7\H_A_5</v>
      </c>
      <c r="AM115" s="2" t="str">
        <f t="shared" si="47"/>
        <v>EAST_MDB_4B_7\H_A_7</v>
      </c>
      <c r="AN115" s="2" t="str">
        <f t="shared" si="47"/>
        <v>EAST_MDB_4B_7\H_B_1</v>
      </c>
      <c r="AO115" s="2" t="str">
        <f t="shared" si="47"/>
        <v>EAST_MDB_4B_7\H_B_3</v>
      </c>
      <c r="AP115" s="2" t="str">
        <f t="shared" si="47"/>
        <v>EAST_MDB_4B_7\H_B_5</v>
      </c>
      <c r="AQ115" s="2" t="str">
        <f t="shared" si="47"/>
        <v>EAST_MDB_4B_7\H_B_7</v>
      </c>
      <c r="AR115" s="2" t="str">
        <f t="shared" si="47"/>
        <v>EAST_MDB_4B_7\H_C_1</v>
      </c>
      <c r="AS115" s="2" t="str">
        <f t="shared" si="47"/>
        <v>EAST_MDB_4B_7\H_C_3</v>
      </c>
      <c r="AT115" s="2" t="str">
        <f t="shared" si="47"/>
        <v>EAST_MDB_4B_7\H_C_5</v>
      </c>
      <c r="AU115" s="2" t="str">
        <f t="shared" si="47"/>
        <v>EAST_MDB_4B_7\H_C_7</v>
      </c>
      <c r="AV115" s="2" t="str">
        <f t="shared" si="48"/>
        <v>EAST_MDB_4B_7\PV1</v>
      </c>
      <c r="AW115" s="2" t="str">
        <f t="shared" si="48"/>
        <v>EAST_MDB_4B_7\PV2</v>
      </c>
      <c r="AX115" s="2" t="str">
        <f t="shared" si="48"/>
        <v>EAST_MDB_4B_7\PV3</v>
      </c>
      <c r="AY115" s="2" t="str">
        <f t="shared" si="48"/>
        <v>EAST_MDB_4B_7\PI1</v>
      </c>
      <c r="AZ115" s="2" t="str">
        <f t="shared" si="48"/>
        <v>EAST_MDB_4B_7\PI2</v>
      </c>
      <c r="BA115" s="2" t="str">
        <f t="shared" si="48"/>
        <v>EAST_MDB_4B_7\PI3</v>
      </c>
    </row>
    <row r="116" spans="1:53" x14ac:dyDescent="0.25">
      <c r="A116" s="3">
        <v>30</v>
      </c>
      <c r="B116" s="3" t="s">
        <v>336</v>
      </c>
      <c r="C116" s="3" t="s">
        <v>128</v>
      </c>
      <c r="D116" s="3" t="s">
        <v>328</v>
      </c>
      <c r="E116" s="4"/>
      <c r="F116" s="2" t="str">
        <f t="shared" si="46"/>
        <v>EAST_MDB_4B_8\ST</v>
      </c>
      <c r="G116" s="2" t="str">
        <f t="shared" si="46"/>
        <v>EAST_MDB_4B_8\TRIP</v>
      </c>
      <c r="H116" s="20"/>
      <c r="I116" s="20"/>
      <c r="J116" s="20"/>
      <c r="K116" s="20"/>
      <c r="L116" s="20"/>
      <c r="M116" s="20"/>
      <c r="N116" s="20"/>
      <c r="O116" s="20"/>
      <c r="P116" s="20"/>
      <c r="Q116" s="24"/>
      <c r="R116" s="2" t="str">
        <f t="shared" si="47"/>
        <v>EAST_MDB_4B_8\V12</v>
      </c>
      <c r="S116" s="2" t="str">
        <f t="shared" si="47"/>
        <v>EAST_MDB_4B_8\V23</v>
      </c>
      <c r="T116" s="2" t="str">
        <f t="shared" si="47"/>
        <v>EAST_MDB_4B_8\V31</v>
      </c>
      <c r="U116" s="2" t="str">
        <f t="shared" si="47"/>
        <v>EAST_MDB_4B_8\V1N</v>
      </c>
      <c r="V116" s="2" t="str">
        <f t="shared" si="47"/>
        <v>EAST_MDB_4B_8\V2N</v>
      </c>
      <c r="W116" s="2" t="str">
        <f t="shared" si="47"/>
        <v>EAST_MDB_4B_8\V3N</v>
      </c>
      <c r="X116" s="2" t="str">
        <f t="shared" si="47"/>
        <v>EAST_MDB_4B_8\VA</v>
      </c>
      <c r="Y116" s="2" t="str">
        <f t="shared" si="47"/>
        <v>EAST_MDB_4B_8\A1</v>
      </c>
      <c r="Z116" s="2" t="str">
        <f t="shared" si="47"/>
        <v>EAST_MDB_4B_8\A2</v>
      </c>
      <c r="AA116" s="2" t="str">
        <f t="shared" si="47"/>
        <v>EAST_MDB_4B_8\A3</v>
      </c>
      <c r="AB116" s="2" t="str">
        <f t="shared" si="47"/>
        <v>EAST_MDB_4B_8\AA</v>
      </c>
      <c r="AC116" s="2" t="str">
        <f t="shared" si="47"/>
        <v>EAST_MDB_4B_8\PF</v>
      </c>
      <c r="AD116" s="2" t="str">
        <f t="shared" si="47"/>
        <v>EAST_MDB_4B_8\HZ</v>
      </c>
      <c r="AE116" s="2" t="str">
        <f t="shared" si="47"/>
        <v>EAST_MDB_4B_8\KW</v>
      </c>
      <c r="AF116" s="2" t="str">
        <f t="shared" si="47"/>
        <v>EAST_MDB_4B_8\KHh</v>
      </c>
      <c r="AG116" s="2" t="str">
        <f t="shared" si="47"/>
        <v>EAST_MDB_4B_8\VA</v>
      </c>
      <c r="AH116" s="2" t="str">
        <f t="shared" si="47"/>
        <v>EAST_MDB_4B_8\VAH</v>
      </c>
      <c r="AI116" s="2" t="str">
        <f t="shared" si="47"/>
        <v>EAST_MDB_4B_8\PEAK</v>
      </c>
      <c r="AJ116" s="2" t="str">
        <f t="shared" si="47"/>
        <v>EAST_MDB_4B_8\H_A_1</v>
      </c>
      <c r="AK116" s="2" t="str">
        <f t="shared" si="47"/>
        <v>EAST_MDB_4B_8\H_A_3</v>
      </c>
      <c r="AL116" s="2" t="str">
        <f t="shared" si="47"/>
        <v>EAST_MDB_4B_8\H_A_5</v>
      </c>
      <c r="AM116" s="2" t="str">
        <f t="shared" si="47"/>
        <v>EAST_MDB_4B_8\H_A_7</v>
      </c>
      <c r="AN116" s="2" t="str">
        <f t="shared" si="47"/>
        <v>EAST_MDB_4B_8\H_B_1</v>
      </c>
      <c r="AO116" s="2" t="str">
        <f t="shared" si="47"/>
        <v>EAST_MDB_4B_8\H_B_3</v>
      </c>
      <c r="AP116" s="2" t="str">
        <f t="shared" si="47"/>
        <v>EAST_MDB_4B_8\H_B_5</v>
      </c>
      <c r="AQ116" s="2" t="str">
        <f t="shared" si="47"/>
        <v>EAST_MDB_4B_8\H_B_7</v>
      </c>
      <c r="AR116" s="2" t="str">
        <f t="shared" si="47"/>
        <v>EAST_MDB_4B_8\H_C_1</v>
      </c>
      <c r="AS116" s="2" t="str">
        <f t="shared" si="47"/>
        <v>EAST_MDB_4B_8\H_C_3</v>
      </c>
      <c r="AT116" s="2" t="str">
        <f t="shared" si="47"/>
        <v>EAST_MDB_4B_8\H_C_5</v>
      </c>
      <c r="AU116" s="2" t="str">
        <f t="shared" ref="AU116" si="49">$C116&amp;AU$7</f>
        <v>EAST_MDB_4B_8\H_C_7</v>
      </c>
      <c r="AV116" s="2" t="str">
        <f t="shared" si="48"/>
        <v>EAST_MDB_4B_8\PV1</v>
      </c>
      <c r="AW116" s="2" t="str">
        <f t="shared" si="48"/>
        <v>EAST_MDB_4B_8\PV2</v>
      </c>
      <c r="AX116" s="2" t="str">
        <f t="shared" si="48"/>
        <v>EAST_MDB_4B_8\PV3</v>
      </c>
      <c r="AY116" s="2" t="str">
        <f t="shared" si="48"/>
        <v>EAST_MDB_4B_8\PI1</v>
      </c>
      <c r="AZ116" s="2" t="str">
        <f t="shared" si="48"/>
        <v>EAST_MDB_4B_8\PI2</v>
      </c>
      <c r="BA116" s="2" t="str">
        <f t="shared" si="48"/>
        <v>EAST_MDB_4B_8\PI3</v>
      </c>
    </row>
    <row r="117" spans="1:53" x14ac:dyDescent="0.25">
      <c r="A117" s="3">
        <v>31</v>
      </c>
      <c r="B117" s="3" t="s">
        <v>336</v>
      </c>
      <c r="C117" s="3" t="s">
        <v>234</v>
      </c>
      <c r="D117" s="3" t="s">
        <v>329</v>
      </c>
      <c r="E117" s="4"/>
      <c r="F117" s="2"/>
      <c r="G117" s="2"/>
      <c r="H117" s="2" t="str">
        <f>$C117&amp;H$7</f>
        <v>EAST_MDB_4C\ELD</v>
      </c>
      <c r="I117" s="20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</row>
    <row r="118" spans="1:53" x14ac:dyDescent="0.25">
      <c r="A118" s="3">
        <v>32</v>
      </c>
      <c r="B118" s="3" t="s">
        <v>336</v>
      </c>
      <c r="C118" s="3" t="s">
        <v>129</v>
      </c>
      <c r="D118" s="3" t="s">
        <v>329</v>
      </c>
      <c r="E118" s="4"/>
      <c r="F118" s="2" t="str">
        <f t="shared" ref="F118:G127" si="50">$C118&amp;F$7</f>
        <v>EAST_MDB_4C_1\ST</v>
      </c>
      <c r="G118" s="2" t="str">
        <f t="shared" si="50"/>
        <v>EAST_MDB_4C_1\TRIP</v>
      </c>
      <c r="H118" s="20"/>
      <c r="I118" s="20"/>
      <c r="J118" s="20"/>
      <c r="K118" s="20"/>
      <c r="L118" s="20"/>
      <c r="M118" s="20"/>
      <c r="N118" s="20"/>
      <c r="O118" s="20"/>
      <c r="P118" s="20"/>
      <c r="Q118" s="24"/>
      <c r="R118" s="2" t="str">
        <f t="shared" ref="R118:AU127" si="51">$C118&amp;R$7</f>
        <v>EAST_MDB_4C_1\V12</v>
      </c>
      <c r="S118" s="2" t="str">
        <f t="shared" si="51"/>
        <v>EAST_MDB_4C_1\V23</v>
      </c>
      <c r="T118" s="2" t="str">
        <f t="shared" si="51"/>
        <v>EAST_MDB_4C_1\V31</v>
      </c>
      <c r="U118" s="2" t="str">
        <f t="shared" si="51"/>
        <v>EAST_MDB_4C_1\V1N</v>
      </c>
      <c r="V118" s="2" t="str">
        <f t="shared" si="51"/>
        <v>EAST_MDB_4C_1\V2N</v>
      </c>
      <c r="W118" s="2" t="str">
        <f t="shared" si="51"/>
        <v>EAST_MDB_4C_1\V3N</v>
      </c>
      <c r="X118" s="2" t="str">
        <f t="shared" si="51"/>
        <v>EAST_MDB_4C_1\VA</v>
      </c>
      <c r="Y118" s="2" t="str">
        <f t="shared" si="51"/>
        <v>EAST_MDB_4C_1\A1</v>
      </c>
      <c r="Z118" s="2" t="str">
        <f t="shared" si="51"/>
        <v>EAST_MDB_4C_1\A2</v>
      </c>
      <c r="AA118" s="2" t="str">
        <f t="shared" si="51"/>
        <v>EAST_MDB_4C_1\A3</v>
      </c>
      <c r="AB118" s="2" t="str">
        <f t="shared" si="51"/>
        <v>EAST_MDB_4C_1\AA</v>
      </c>
      <c r="AC118" s="2" t="str">
        <f t="shared" si="51"/>
        <v>EAST_MDB_4C_1\PF</v>
      </c>
      <c r="AD118" s="2" t="str">
        <f t="shared" si="51"/>
        <v>EAST_MDB_4C_1\HZ</v>
      </c>
      <c r="AE118" s="2" t="str">
        <f t="shared" si="51"/>
        <v>EAST_MDB_4C_1\KW</v>
      </c>
      <c r="AF118" s="2" t="str">
        <f t="shared" si="51"/>
        <v>EAST_MDB_4C_1\KHh</v>
      </c>
      <c r="AG118" s="2" t="str">
        <f t="shared" si="51"/>
        <v>EAST_MDB_4C_1\VA</v>
      </c>
      <c r="AH118" s="2" t="str">
        <f t="shared" si="51"/>
        <v>EAST_MDB_4C_1\VAH</v>
      </c>
      <c r="AI118" s="2" t="str">
        <f t="shared" si="51"/>
        <v>EAST_MDB_4C_1\PEAK</v>
      </c>
      <c r="AJ118" s="2" t="str">
        <f t="shared" si="51"/>
        <v>EAST_MDB_4C_1\H_A_1</v>
      </c>
      <c r="AK118" s="2" t="str">
        <f t="shared" si="51"/>
        <v>EAST_MDB_4C_1\H_A_3</v>
      </c>
      <c r="AL118" s="2" t="str">
        <f t="shared" si="51"/>
        <v>EAST_MDB_4C_1\H_A_5</v>
      </c>
      <c r="AM118" s="2" t="str">
        <f t="shared" si="51"/>
        <v>EAST_MDB_4C_1\H_A_7</v>
      </c>
      <c r="AN118" s="2" t="str">
        <f t="shared" si="51"/>
        <v>EAST_MDB_4C_1\H_B_1</v>
      </c>
      <c r="AO118" s="2" t="str">
        <f t="shared" si="51"/>
        <v>EAST_MDB_4C_1\H_B_3</v>
      </c>
      <c r="AP118" s="2" t="str">
        <f t="shared" si="51"/>
        <v>EAST_MDB_4C_1\H_B_5</v>
      </c>
      <c r="AQ118" s="2" t="str">
        <f t="shared" si="51"/>
        <v>EAST_MDB_4C_1\H_B_7</v>
      </c>
      <c r="AR118" s="2" t="str">
        <f t="shared" si="51"/>
        <v>EAST_MDB_4C_1\H_C_1</v>
      </c>
      <c r="AS118" s="2" t="str">
        <f t="shared" si="51"/>
        <v>EAST_MDB_4C_1\H_C_3</v>
      </c>
      <c r="AT118" s="2" t="str">
        <f t="shared" si="51"/>
        <v>EAST_MDB_4C_1\H_C_5</v>
      </c>
      <c r="AU118" s="2" t="str">
        <f t="shared" si="51"/>
        <v>EAST_MDB_4C_1\H_C_7</v>
      </c>
      <c r="AV118" s="2" t="str">
        <f t="shared" ref="AV118:BA127" si="52">$C118&amp;AV$7</f>
        <v>EAST_MDB_4C_1\PV1</v>
      </c>
      <c r="AW118" s="2" t="str">
        <f t="shared" si="52"/>
        <v>EAST_MDB_4C_1\PV2</v>
      </c>
      <c r="AX118" s="2" t="str">
        <f t="shared" si="52"/>
        <v>EAST_MDB_4C_1\PV3</v>
      </c>
      <c r="AY118" s="2" t="str">
        <f t="shared" si="52"/>
        <v>EAST_MDB_4C_1\PI1</v>
      </c>
      <c r="AZ118" s="2" t="str">
        <f t="shared" si="52"/>
        <v>EAST_MDB_4C_1\PI2</v>
      </c>
      <c r="BA118" s="2" t="str">
        <f t="shared" si="52"/>
        <v>EAST_MDB_4C_1\PI3</v>
      </c>
    </row>
    <row r="119" spans="1:53" x14ac:dyDescent="0.25">
      <c r="A119" s="3">
        <v>33</v>
      </c>
      <c r="B119" s="3" t="s">
        <v>336</v>
      </c>
      <c r="C119" s="3" t="s">
        <v>130</v>
      </c>
      <c r="D119" s="3" t="s">
        <v>329</v>
      </c>
      <c r="E119" s="4"/>
      <c r="F119" s="2" t="str">
        <f t="shared" si="50"/>
        <v>EAST_MDB_4C_2\ST</v>
      </c>
      <c r="G119" s="2" t="str">
        <f t="shared" si="50"/>
        <v>EAST_MDB_4C_2\TRIP</v>
      </c>
      <c r="H119" s="20"/>
      <c r="I119" s="20"/>
      <c r="J119" s="20"/>
      <c r="K119" s="20"/>
      <c r="L119" s="20"/>
      <c r="M119" s="20"/>
      <c r="N119" s="20"/>
      <c r="O119" s="20"/>
      <c r="P119" s="20"/>
      <c r="Q119" s="24"/>
      <c r="R119" s="2" t="str">
        <f t="shared" si="51"/>
        <v>EAST_MDB_4C_2\V12</v>
      </c>
      <c r="S119" s="2" t="str">
        <f t="shared" si="51"/>
        <v>EAST_MDB_4C_2\V23</v>
      </c>
      <c r="T119" s="2" t="str">
        <f t="shared" si="51"/>
        <v>EAST_MDB_4C_2\V31</v>
      </c>
      <c r="U119" s="2" t="str">
        <f t="shared" si="51"/>
        <v>EAST_MDB_4C_2\V1N</v>
      </c>
      <c r="V119" s="2" t="str">
        <f t="shared" si="51"/>
        <v>EAST_MDB_4C_2\V2N</v>
      </c>
      <c r="W119" s="2" t="str">
        <f t="shared" si="51"/>
        <v>EAST_MDB_4C_2\V3N</v>
      </c>
      <c r="X119" s="2" t="str">
        <f t="shared" si="51"/>
        <v>EAST_MDB_4C_2\VA</v>
      </c>
      <c r="Y119" s="2" t="str">
        <f t="shared" si="51"/>
        <v>EAST_MDB_4C_2\A1</v>
      </c>
      <c r="Z119" s="2" t="str">
        <f t="shared" si="51"/>
        <v>EAST_MDB_4C_2\A2</v>
      </c>
      <c r="AA119" s="2" t="str">
        <f t="shared" si="51"/>
        <v>EAST_MDB_4C_2\A3</v>
      </c>
      <c r="AB119" s="2" t="str">
        <f t="shared" si="51"/>
        <v>EAST_MDB_4C_2\AA</v>
      </c>
      <c r="AC119" s="2" t="str">
        <f t="shared" si="51"/>
        <v>EAST_MDB_4C_2\PF</v>
      </c>
      <c r="AD119" s="2" t="str">
        <f t="shared" si="51"/>
        <v>EAST_MDB_4C_2\HZ</v>
      </c>
      <c r="AE119" s="2" t="str">
        <f t="shared" si="51"/>
        <v>EAST_MDB_4C_2\KW</v>
      </c>
      <c r="AF119" s="2" t="str">
        <f t="shared" si="51"/>
        <v>EAST_MDB_4C_2\KHh</v>
      </c>
      <c r="AG119" s="2" t="str">
        <f t="shared" si="51"/>
        <v>EAST_MDB_4C_2\VA</v>
      </c>
      <c r="AH119" s="2" t="str">
        <f t="shared" si="51"/>
        <v>EAST_MDB_4C_2\VAH</v>
      </c>
      <c r="AI119" s="2" t="str">
        <f t="shared" si="51"/>
        <v>EAST_MDB_4C_2\PEAK</v>
      </c>
      <c r="AJ119" s="2" t="str">
        <f t="shared" si="51"/>
        <v>EAST_MDB_4C_2\H_A_1</v>
      </c>
      <c r="AK119" s="2" t="str">
        <f t="shared" si="51"/>
        <v>EAST_MDB_4C_2\H_A_3</v>
      </c>
      <c r="AL119" s="2" t="str">
        <f t="shared" si="51"/>
        <v>EAST_MDB_4C_2\H_A_5</v>
      </c>
      <c r="AM119" s="2" t="str">
        <f t="shared" si="51"/>
        <v>EAST_MDB_4C_2\H_A_7</v>
      </c>
      <c r="AN119" s="2" t="str">
        <f t="shared" si="51"/>
        <v>EAST_MDB_4C_2\H_B_1</v>
      </c>
      <c r="AO119" s="2" t="str">
        <f t="shared" si="51"/>
        <v>EAST_MDB_4C_2\H_B_3</v>
      </c>
      <c r="AP119" s="2" t="str">
        <f t="shared" si="51"/>
        <v>EAST_MDB_4C_2\H_B_5</v>
      </c>
      <c r="AQ119" s="2" t="str">
        <f t="shared" si="51"/>
        <v>EAST_MDB_4C_2\H_B_7</v>
      </c>
      <c r="AR119" s="2" t="str">
        <f t="shared" si="51"/>
        <v>EAST_MDB_4C_2\H_C_1</v>
      </c>
      <c r="AS119" s="2" t="str">
        <f t="shared" si="51"/>
        <v>EAST_MDB_4C_2\H_C_3</v>
      </c>
      <c r="AT119" s="2" t="str">
        <f t="shared" si="51"/>
        <v>EAST_MDB_4C_2\H_C_5</v>
      </c>
      <c r="AU119" s="2" t="str">
        <f t="shared" si="51"/>
        <v>EAST_MDB_4C_2\H_C_7</v>
      </c>
      <c r="AV119" s="2" t="str">
        <f t="shared" si="52"/>
        <v>EAST_MDB_4C_2\PV1</v>
      </c>
      <c r="AW119" s="2" t="str">
        <f t="shared" si="52"/>
        <v>EAST_MDB_4C_2\PV2</v>
      </c>
      <c r="AX119" s="2" t="str">
        <f t="shared" si="52"/>
        <v>EAST_MDB_4C_2\PV3</v>
      </c>
      <c r="AY119" s="2" t="str">
        <f t="shared" si="52"/>
        <v>EAST_MDB_4C_2\PI1</v>
      </c>
      <c r="AZ119" s="2" t="str">
        <f t="shared" si="52"/>
        <v>EAST_MDB_4C_2\PI2</v>
      </c>
      <c r="BA119" s="2" t="str">
        <f t="shared" si="52"/>
        <v>EAST_MDB_4C_2\PI3</v>
      </c>
    </row>
    <row r="120" spans="1:53" x14ac:dyDescent="0.25">
      <c r="A120" s="3">
        <v>34</v>
      </c>
      <c r="B120" s="3" t="s">
        <v>336</v>
      </c>
      <c r="C120" s="3" t="s">
        <v>131</v>
      </c>
      <c r="D120" s="3" t="s">
        <v>329</v>
      </c>
      <c r="E120" s="4"/>
      <c r="F120" s="2" t="str">
        <f t="shared" si="50"/>
        <v>EAST_MDB_4C_3\ST</v>
      </c>
      <c r="G120" s="2" t="str">
        <f t="shared" si="50"/>
        <v>EAST_MDB_4C_3\TRIP</v>
      </c>
      <c r="H120" s="20"/>
      <c r="I120" s="20"/>
      <c r="J120" s="20"/>
      <c r="K120" s="20"/>
      <c r="L120" s="20"/>
      <c r="M120" s="20"/>
      <c r="N120" s="20"/>
      <c r="O120" s="20"/>
      <c r="P120" s="20"/>
      <c r="Q120" s="24"/>
      <c r="R120" s="2" t="str">
        <f t="shared" si="51"/>
        <v>EAST_MDB_4C_3\V12</v>
      </c>
      <c r="S120" s="2" t="str">
        <f t="shared" si="51"/>
        <v>EAST_MDB_4C_3\V23</v>
      </c>
      <c r="T120" s="2" t="str">
        <f t="shared" si="51"/>
        <v>EAST_MDB_4C_3\V31</v>
      </c>
      <c r="U120" s="2" t="str">
        <f t="shared" si="51"/>
        <v>EAST_MDB_4C_3\V1N</v>
      </c>
      <c r="V120" s="2" t="str">
        <f t="shared" si="51"/>
        <v>EAST_MDB_4C_3\V2N</v>
      </c>
      <c r="W120" s="2" t="str">
        <f t="shared" si="51"/>
        <v>EAST_MDB_4C_3\V3N</v>
      </c>
      <c r="X120" s="2" t="str">
        <f t="shared" si="51"/>
        <v>EAST_MDB_4C_3\VA</v>
      </c>
      <c r="Y120" s="2" t="str">
        <f t="shared" si="51"/>
        <v>EAST_MDB_4C_3\A1</v>
      </c>
      <c r="Z120" s="2" t="str">
        <f t="shared" si="51"/>
        <v>EAST_MDB_4C_3\A2</v>
      </c>
      <c r="AA120" s="2" t="str">
        <f t="shared" si="51"/>
        <v>EAST_MDB_4C_3\A3</v>
      </c>
      <c r="AB120" s="2" t="str">
        <f t="shared" si="51"/>
        <v>EAST_MDB_4C_3\AA</v>
      </c>
      <c r="AC120" s="2" t="str">
        <f t="shared" si="51"/>
        <v>EAST_MDB_4C_3\PF</v>
      </c>
      <c r="AD120" s="2" t="str">
        <f t="shared" si="51"/>
        <v>EAST_MDB_4C_3\HZ</v>
      </c>
      <c r="AE120" s="2" t="str">
        <f t="shared" si="51"/>
        <v>EAST_MDB_4C_3\KW</v>
      </c>
      <c r="AF120" s="2" t="str">
        <f t="shared" si="51"/>
        <v>EAST_MDB_4C_3\KHh</v>
      </c>
      <c r="AG120" s="2" t="str">
        <f t="shared" si="51"/>
        <v>EAST_MDB_4C_3\VA</v>
      </c>
      <c r="AH120" s="2" t="str">
        <f t="shared" si="51"/>
        <v>EAST_MDB_4C_3\VAH</v>
      </c>
      <c r="AI120" s="2" t="str">
        <f t="shared" si="51"/>
        <v>EAST_MDB_4C_3\PEAK</v>
      </c>
      <c r="AJ120" s="2" t="str">
        <f t="shared" si="51"/>
        <v>EAST_MDB_4C_3\H_A_1</v>
      </c>
      <c r="AK120" s="2" t="str">
        <f t="shared" si="51"/>
        <v>EAST_MDB_4C_3\H_A_3</v>
      </c>
      <c r="AL120" s="2" t="str">
        <f t="shared" si="51"/>
        <v>EAST_MDB_4C_3\H_A_5</v>
      </c>
      <c r="AM120" s="2" t="str">
        <f t="shared" si="51"/>
        <v>EAST_MDB_4C_3\H_A_7</v>
      </c>
      <c r="AN120" s="2" t="str">
        <f t="shared" si="51"/>
        <v>EAST_MDB_4C_3\H_B_1</v>
      </c>
      <c r="AO120" s="2" t="str">
        <f t="shared" si="51"/>
        <v>EAST_MDB_4C_3\H_B_3</v>
      </c>
      <c r="AP120" s="2" t="str">
        <f t="shared" si="51"/>
        <v>EAST_MDB_4C_3\H_B_5</v>
      </c>
      <c r="AQ120" s="2" t="str">
        <f t="shared" si="51"/>
        <v>EAST_MDB_4C_3\H_B_7</v>
      </c>
      <c r="AR120" s="2" t="str">
        <f t="shared" si="51"/>
        <v>EAST_MDB_4C_3\H_C_1</v>
      </c>
      <c r="AS120" s="2" t="str">
        <f t="shared" si="51"/>
        <v>EAST_MDB_4C_3\H_C_3</v>
      </c>
      <c r="AT120" s="2" t="str">
        <f t="shared" si="51"/>
        <v>EAST_MDB_4C_3\H_C_5</v>
      </c>
      <c r="AU120" s="2" t="str">
        <f t="shared" si="51"/>
        <v>EAST_MDB_4C_3\H_C_7</v>
      </c>
      <c r="AV120" s="2" t="str">
        <f t="shared" si="52"/>
        <v>EAST_MDB_4C_3\PV1</v>
      </c>
      <c r="AW120" s="2" t="str">
        <f t="shared" si="52"/>
        <v>EAST_MDB_4C_3\PV2</v>
      </c>
      <c r="AX120" s="2" t="str">
        <f t="shared" si="52"/>
        <v>EAST_MDB_4C_3\PV3</v>
      </c>
      <c r="AY120" s="2" t="str">
        <f t="shared" si="52"/>
        <v>EAST_MDB_4C_3\PI1</v>
      </c>
      <c r="AZ120" s="2" t="str">
        <f t="shared" si="52"/>
        <v>EAST_MDB_4C_3\PI2</v>
      </c>
      <c r="BA120" s="2" t="str">
        <f t="shared" si="52"/>
        <v>EAST_MDB_4C_3\PI3</v>
      </c>
    </row>
    <row r="121" spans="1:53" x14ac:dyDescent="0.25">
      <c r="A121" s="3">
        <v>35</v>
      </c>
      <c r="B121" s="3" t="s">
        <v>336</v>
      </c>
      <c r="C121" s="3" t="s">
        <v>132</v>
      </c>
      <c r="D121" s="3" t="s">
        <v>329</v>
      </c>
      <c r="E121" s="4"/>
      <c r="F121" s="2" t="str">
        <f t="shared" si="50"/>
        <v>EAST_MDB_4C_4\ST</v>
      </c>
      <c r="G121" s="2" t="str">
        <f t="shared" si="50"/>
        <v>EAST_MDB_4C_4\TRIP</v>
      </c>
      <c r="H121" s="20"/>
      <c r="I121" s="20"/>
      <c r="J121" s="20"/>
      <c r="K121" s="20"/>
      <c r="L121" s="20"/>
      <c r="M121" s="20"/>
      <c r="N121" s="20"/>
      <c r="O121" s="20"/>
      <c r="P121" s="20"/>
      <c r="Q121" s="24"/>
      <c r="R121" s="2" t="str">
        <f t="shared" si="51"/>
        <v>EAST_MDB_4C_4\V12</v>
      </c>
      <c r="S121" s="2" t="str">
        <f t="shared" si="51"/>
        <v>EAST_MDB_4C_4\V23</v>
      </c>
      <c r="T121" s="2" t="str">
        <f t="shared" si="51"/>
        <v>EAST_MDB_4C_4\V31</v>
      </c>
      <c r="U121" s="2" t="str">
        <f t="shared" si="51"/>
        <v>EAST_MDB_4C_4\V1N</v>
      </c>
      <c r="V121" s="2" t="str">
        <f t="shared" si="51"/>
        <v>EAST_MDB_4C_4\V2N</v>
      </c>
      <c r="W121" s="2" t="str">
        <f t="shared" si="51"/>
        <v>EAST_MDB_4C_4\V3N</v>
      </c>
      <c r="X121" s="2" t="str">
        <f t="shared" si="51"/>
        <v>EAST_MDB_4C_4\VA</v>
      </c>
      <c r="Y121" s="2" t="str">
        <f t="shared" si="51"/>
        <v>EAST_MDB_4C_4\A1</v>
      </c>
      <c r="Z121" s="2" t="str">
        <f t="shared" si="51"/>
        <v>EAST_MDB_4C_4\A2</v>
      </c>
      <c r="AA121" s="2" t="str">
        <f t="shared" si="51"/>
        <v>EAST_MDB_4C_4\A3</v>
      </c>
      <c r="AB121" s="2" t="str">
        <f t="shared" si="51"/>
        <v>EAST_MDB_4C_4\AA</v>
      </c>
      <c r="AC121" s="2" t="str">
        <f t="shared" si="51"/>
        <v>EAST_MDB_4C_4\PF</v>
      </c>
      <c r="AD121" s="2" t="str">
        <f t="shared" si="51"/>
        <v>EAST_MDB_4C_4\HZ</v>
      </c>
      <c r="AE121" s="2" t="str">
        <f t="shared" si="51"/>
        <v>EAST_MDB_4C_4\KW</v>
      </c>
      <c r="AF121" s="2" t="str">
        <f t="shared" si="51"/>
        <v>EAST_MDB_4C_4\KHh</v>
      </c>
      <c r="AG121" s="2" t="str">
        <f t="shared" si="51"/>
        <v>EAST_MDB_4C_4\VA</v>
      </c>
      <c r="AH121" s="2" t="str">
        <f t="shared" si="51"/>
        <v>EAST_MDB_4C_4\VAH</v>
      </c>
      <c r="AI121" s="2" t="str">
        <f t="shared" si="51"/>
        <v>EAST_MDB_4C_4\PEAK</v>
      </c>
      <c r="AJ121" s="2" t="str">
        <f t="shared" si="51"/>
        <v>EAST_MDB_4C_4\H_A_1</v>
      </c>
      <c r="AK121" s="2" t="str">
        <f t="shared" si="51"/>
        <v>EAST_MDB_4C_4\H_A_3</v>
      </c>
      <c r="AL121" s="2" t="str">
        <f t="shared" si="51"/>
        <v>EAST_MDB_4C_4\H_A_5</v>
      </c>
      <c r="AM121" s="2" t="str">
        <f t="shared" si="51"/>
        <v>EAST_MDB_4C_4\H_A_7</v>
      </c>
      <c r="AN121" s="2" t="str">
        <f t="shared" si="51"/>
        <v>EAST_MDB_4C_4\H_B_1</v>
      </c>
      <c r="AO121" s="2" t="str">
        <f t="shared" si="51"/>
        <v>EAST_MDB_4C_4\H_B_3</v>
      </c>
      <c r="AP121" s="2" t="str">
        <f t="shared" si="51"/>
        <v>EAST_MDB_4C_4\H_B_5</v>
      </c>
      <c r="AQ121" s="2" t="str">
        <f t="shared" si="51"/>
        <v>EAST_MDB_4C_4\H_B_7</v>
      </c>
      <c r="AR121" s="2" t="str">
        <f t="shared" si="51"/>
        <v>EAST_MDB_4C_4\H_C_1</v>
      </c>
      <c r="AS121" s="2" t="str">
        <f t="shared" si="51"/>
        <v>EAST_MDB_4C_4\H_C_3</v>
      </c>
      <c r="AT121" s="2" t="str">
        <f t="shared" si="51"/>
        <v>EAST_MDB_4C_4\H_C_5</v>
      </c>
      <c r="AU121" s="2" t="str">
        <f t="shared" si="51"/>
        <v>EAST_MDB_4C_4\H_C_7</v>
      </c>
      <c r="AV121" s="2" t="str">
        <f t="shared" si="52"/>
        <v>EAST_MDB_4C_4\PV1</v>
      </c>
      <c r="AW121" s="2" t="str">
        <f t="shared" si="52"/>
        <v>EAST_MDB_4C_4\PV2</v>
      </c>
      <c r="AX121" s="2" t="str">
        <f t="shared" si="52"/>
        <v>EAST_MDB_4C_4\PV3</v>
      </c>
      <c r="AY121" s="2" t="str">
        <f t="shared" si="52"/>
        <v>EAST_MDB_4C_4\PI1</v>
      </c>
      <c r="AZ121" s="2" t="str">
        <f t="shared" si="52"/>
        <v>EAST_MDB_4C_4\PI2</v>
      </c>
      <c r="BA121" s="2" t="str">
        <f t="shared" si="52"/>
        <v>EAST_MDB_4C_4\PI3</v>
      </c>
    </row>
    <row r="122" spans="1:53" x14ac:dyDescent="0.25">
      <c r="A122" s="3">
        <v>36</v>
      </c>
      <c r="B122" s="3" t="s">
        <v>336</v>
      </c>
      <c r="C122" s="3" t="s">
        <v>133</v>
      </c>
      <c r="D122" s="3" t="s">
        <v>329</v>
      </c>
      <c r="E122" s="4"/>
      <c r="F122" s="2" t="str">
        <f t="shared" si="50"/>
        <v>EAST_MDB_4C_5\ST</v>
      </c>
      <c r="G122" s="2" t="str">
        <f t="shared" si="50"/>
        <v>EAST_MDB_4C_5\TRIP</v>
      </c>
      <c r="H122" s="20"/>
      <c r="I122" s="20"/>
      <c r="J122" s="20"/>
      <c r="K122" s="20"/>
      <c r="L122" s="20"/>
      <c r="M122" s="20"/>
      <c r="N122" s="20"/>
      <c r="O122" s="20"/>
      <c r="P122" s="20"/>
      <c r="Q122" s="24"/>
      <c r="R122" s="2" t="str">
        <f t="shared" si="51"/>
        <v>EAST_MDB_4C_5\V12</v>
      </c>
      <c r="S122" s="2" t="str">
        <f t="shared" si="51"/>
        <v>EAST_MDB_4C_5\V23</v>
      </c>
      <c r="T122" s="2" t="str">
        <f t="shared" si="51"/>
        <v>EAST_MDB_4C_5\V31</v>
      </c>
      <c r="U122" s="2" t="str">
        <f t="shared" si="51"/>
        <v>EAST_MDB_4C_5\V1N</v>
      </c>
      <c r="V122" s="2" t="str">
        <f t="shared" si="51"/>
        <v>EAST_MDB_4C_5\V2N</v>
      </c>
      <c r="W122" s="2" t="str">
        <f t="shared" si="51"/>
        <v>EAST_MDB_4C_5\V3N</v>
      </c>
      <c r="X122" s="2" t="str">
        <f t="shared" si="51"/>
        <v>EAST_MDB_4C_5\VA</v>
      </c>
      <c r="Y122" s="2" t="str">
        <f t="shared" si="51"/>
        <v>EAST_MDB_4C_5\A1</v>
      </c>
      <c r="Z122" s="2" t="str">
        <f t="shared" si="51"/>
        <v>EAST_MDB_4C_5\A2</v>
      </c>
      <c r="AA122" s="2" t="str">
        <f t="shared" si="51"/>
        <v>EAST_MDB_4C_5\A3</v>
      </c>
      <c r="AB122" s="2" t="str">
        <f t="shared" si="51"/>
        <v>EAST_MDB_4C_5\AA</v>
      </c>
      <c r="AC122" s="2" t="str">
        <f t="shared" si="51"/>
        <v>EAST_MDB_4C_5\PF</v>
      </c>
      <c r="AD122" s="2" t="str">
        <f t="shared" si="51"/>
        <v>EAST_MDB_4C_5\HZ</v>
      </c>
      <c r="AE122" s="2" t="str">
        <f t="shared" si="51"/>
        <v>EAST_MDB_4C_5\KW</v>
      </c>
      <c r="AF122" s="2" t="str">
        <f t="shared" si="51"/>
        <v>EAST_MDB_4C_5\KHh</v>
      </c>
      <c r="AG122" s="2" t="str">
        <f t="shared" si="51"/>
        <v>EAST_MDB_4C_5\VA</v>
      </c>
      <c r="AH122" s="2" t="str">
        <f t="shared" si="51"/>
        <v>EAST_MDB_4C_5\VAH</v>
      </c>
      <c r="AI122" s="2" t="str">
        <f t="shared" si="51"/>
        <v>EAST_MDB_4C_5\PEAK</v>
      </c>
      <c r="AJ122" s="2" t="str">
        <f t="shared" si="51"/>
        <v>EAST_MDB_4C_5\H_A_1</v>
      </c>
      <c r="AK122" s="2" t="str">
        <f t="shared" si="51"/>
        <v>EAST_MDB_4C_5\H_A_3</v>
      </c>
      <c r="AL122" s="2" t="str">
        <f t="shared" si="51"/>
        <v>EAST_MDB_4C_5\H_A_5</v>
      </c>
      <c r="AM122" s="2" t="str">
        <f t="shared" si="51"/>
        <v>EAST_MDB_4C_5\H_A_7</v>
      </c>
      <c r="AN122" s="2" t="str">
        <f t="shared" si="51"/>
        <v>EAST_MDB_4C_5\H_B_1</v>
      </c>
      <c r="AO122" s="2" t="str">
        <f t="shared" si="51"/>
        <v>EAST_MDB_4C_5\H_B_3</v>
      </c>
      <c r="AP122" s="2" t="str">
        <f t="shared" si="51"/>
        <v>EAST_MDB_4C_5\H_B_5</v>
      </c>
      <c r="AQ122" s="2" t="str">
        <f t="shared" ref="AJ122:AU127" si="53">$C122&amp;AQ$7</f>
        <v>EAST_MDB_4C_5\H_B_7</v>
      </c>
      <c r="AR122" s="2" t="str">
        <f t="shared" si="53"/>
        <v>EAST_MDB_4C_5\H_C_1</v>
      </c>
      <c r="AS122" s="2" t="str">
        <f t="shared" si="53"/>
        <v>EAST_MDB_4C_5\H_C_3</v>
      </c>
      <c r="AT122" s="2" t="str">
        <f t="shared" si="53"/>
        <v>EAST_MDB_4C_5\H_C_5</v>
      </c>
      <c r="AU122" s="2" t="str">
        <f t="shared" si="53"/>
        <v>EAST_MDB_4C_5\H_C_7</v>
      </c>
      <c r="AV122" s="2" t="str">
        <f t="shared" si="52"/>
        <v>EAST_MDB_4C_5\PV1</v>
      </c>
      <c r="AW122" s="2" t="str">
        <f t="shared" si="52"/>
        <v>EAST_MDB_4C_5\PV2</v>
      </c>
      <c r="AX122" s="2" t="str">
        <f t="shared" si="52"/>
        <v>EAST_MDB_4C_5\PV3</v>
      </c>
      <c r="AY122" s="2" t="str">
        <f t="shared" si="52"/>
        <v>EAST_MDB_4C_5\PI1</v>
      </c>
      <c r="AZ122" s="2" t="str">
        <f t="shared" si="52"/>
        <v>EAST_MDB_4C_5\PI2</v>
      </c>
      <c r="BA122" s="2" t="str">
        <f t="shared" si="52"/>
        <v>EAST_MDB_4C_5\PI3</v>
      </c>
    </row>
    <row r="123" spans="1:53" x14ac:dyDescent="0.25">
      <c r="A123" s="3">
        <v>37</v>
      </c>
      <c r="B123" s="3" t="s">
        <v>336</v>
      </c>
      <c r="C123" s="3" t="s">
        <v>134</v>
      </c>
      <c r="D123" s="3" t="s">
        <v>329</v>
      </c>
      <c r="E123" s="4"/>
      <c r="F123" s="2" t="str">
        <f t="shared" si="50"/>
        <v>EAST_MDB_4C_6\ST</v>
      </c>
      <c r="G123" s="2" t="str">
        <f t="shared" si="50"/>
        <v>EAST_MDB_4C_6\TRIP</v>
      </c>
      <c r="H123" s="20"/>
      <c r="I123" s="20"/>
      <c r="J123" s="20"/>
      <c r="K123" s="20"/>
      <c r="L123" s="20"/>
      <c r="M123" s="20"/>
      <c r="N123" s="20"/>
      <c r="O123" s="20"/>
      <c r="P123" s="20"/>
      <c r="Q123" s="24"/>
      <c r="R123" s="2" t="str">
        <f t="shared" si="51"/>
        <v>EAST_MDB_4C_6\V12</v>
      </c>
      <c r="S123" s="2" t="str">
        <f t="shared" si="51"/>
        <v>EAST_MDB_4C_6\V23</v>
      </c>
      <c r="T123" s="2" t="str">
        <f t="shared" si="51"/>
        <v>EAST_MDB_4C_6\V31</v>
      </c>
      <c r="U123" s="2" t="str">
        <f t="shared" si="51"/>
        <v>EAST_MDB_4C_6\V1N</v>
      </c>
      <c r="V123" s="2" t="str">
        <f t="shared" si="51"/>
        <v>EAST_MDB_4C_6\V2N</v>
      </c>
      <c r="W123" s="2" t="str">
        <f t="shared" si="51"/>
        <v>EAST_MDB_4C_6\V3N</v>
      </c>
      <c r="X123" s="2" t="str">
        <f t="shared" si="51"/>
        <v>EAST_MDB_4C_6\VA</v>
      </c>
      <c r="Y123" s="2" t="str">
        <f t="shared" si="51"/>
        <v>EAST_MDB_4C_6\A1</v>
      </c>
      <c r="Z123" s="2" t="str">
        <f t="shared" si="51"/>
        <v>EAST_MDB_4C_6\A2</v>
      </c>
      <c r="AA123" s="2" t="str">
        <f t="shared" si="51"/>
        <v>EAST_MDB_4C_6\A3</v>
      </c>
      <c r="AB123" s="2" t="str">
        <f t="shared" si="51"/>
        <v>EAST_MDB_4C_6\AA</v>
      </c>
      <c r="AC123" s="2" t="str">
        <f t="shared" si="51"/>
        <v>EAST_MDB_4C_6\PF</v>
      </c>
      <c r="AD123" s="2" t="str">
        <f t="shared" si="51"/>
        <v>EAST_MDB_4C_6\HZ</v>
      </c>
      <c r="AE123" s="2" t="str">
        <f t="shared" si="51"/>
        <v>EAST_MDB_4C_6\KW</v>
      </c>
      <c r="AF123" s="2" t="str">
        <f t="shared" si="51"/>
        <v>EAST_MDB_4C_6\KHh</v>
      </c>
      <c r="AG123" s="2" t="str">
        <f t="shared" si="51"/>
        <v>EAST_MDB_4C_6\VA</v>
      </c>
      <c r="AH123" s="2" t="str">
        <f t="shared" si="51"/>
        <v>EAST_MDB_4C_6\VAH</v>
      </c>
      <c r="AI123" s="2" t="str">
        <f t="shared" si="51"/>
        <v>EAST_MDB_4C_6\PEAK</v>
      </c>
      <c r="AJ123" s="2" t="str">
        <f t="shared" si="53"/>
        <v>EAST_MDB_4C_6\H_A_1</v>
      </c>
      <c r="AK123" s="2" t="str">
        <f t="shared" si="53"/>
        <v>EAST_MDB_4C_6\H_A_3</v>
      </c>
      <c r="AL123" s="2" t="str">
        <f t="shared" si="53"/>
        <v>EAST_MDB_4C_6\H_A_5</v>
      </c>
      <c r="AM123" s="2" t="str">
        <f t="shared" si="53"/>
        <v>EAST_MDB_4C_6\H_A_7</v>
      </c>
      <c r="AN123" s="2" t="str">
        <f t="shared" si="53"/>
        <v>EAST_MDB_4C_6\H_B_1</v>
      </c>
      <c r="AO123" s="2" t="str">
        <f t="shared" si="53"/>
        <v>EAST_MDB_4C_6\H_B_3</v>
      </c>
      <c r="AP123" s="2" t="str">
        <f t="shared" si="53"/>
        <v>EAST_MDB_4C_6\H_B_5</v>
      </c>
      <c r="AQ123" s="2" t="str">
        <f t="shared" si="53"/>
        <v>EAST_MDB_4C_6\H_B_7</v>
      </c>
      <c r="AR123" s="2" t="str">
        <f t="shared" si="53"/>
        <v>EAST_MDB_4C_6\H_C_1</v>
      </c>
      <c r="AS123" s="2" t="str">
        <f t="shared" si="53"/>
        <v>EAST_MDB_4C_6\H_C_3</v>
      </c>
      <c r="AT123" s="2" t="str">
        <f t="shared" si="53"/>
        <v>EAST_MDB_4C_6\H_C_5</v>
      </c>
      <c r="AU123" s="2" t="str">
        <f t="shared" si="53"/>
        <v>EAST_MDB_4C_6\H_C_7</v>
      </c>
      <c r="AV123" s="2" t="str">
        <f t="shared" si="52"/>
        <v>EAST_MDB_4C_6\PV1</v>
      </c>
      <c r="AW123" s="2" t="str">
        <f t="shared" si="52"/>
        <v>EAST_MDB_4C_6\PV2</v>
      </c>
      <c r="AX123" s="2" t="str">
        <f t="shared" si="52"/>
        <v>EAST_MDB_4C_6\PV3</v>
      </c>
      <c r="AY123" s="2" t="str">
        <f t="shared" si="52"/>
        <v>EAST_MDB_4C_6\PI1</v>
      </c>
      <c r="AZ123" s="2" t="str">
        <f t="shared" si="52"/>
        <v>EAST_MDB_4C_6\PI2</v>
      </c>
      <c r="BA123" s="2" t="str">
        <f t="shared" si="52"/>
        <v>EAST_MDB_4C_6\PI3</v>
      </c>
    </row>
    <row r="124" spans="1:53" x14ac:dyDescent="0.25">
      <c r="A124" s="3">
        <v>38</v>
      </c>
      <c r="B124" s="3" t="s">
        <v>336</v>
      </c>
      <c r="C124" s="3" t="s">
        <v>135</v>
      </c>
      <c r="D124" s="3" t="s">
        <v>329</v>
      </c>
      <c r="E124" s="4"/>
      <c r="F124" s="2" t="str">
        <f t="shared" si="50"/>
        <v>EAST_MDB_4C_7\ST</v>
      </c>
      <c r="G124" s="2" t="str">
        <f t="shared" si="50"/>
        <v>EAST_MDB_4C_7\TRIP</v>
      </c>
      <c r="H124" s="20"/>
      <c r="I124" s="20"/>
      <c r="J124" s="20"/>
      <c r="K124" s="20"/>
      <c r="L124" s="20"/>
      <c r="M124" s="20"/>
      <c r="N124" s="20"/>
      <c r="O124" s="20"/>
      <c r="P124" s="20"/>
      <c r="Q124" s="24"/>
      <c r="R124" s="2" t="str">
        <f t="shared" si="51"/>
        <v>EAST_MDB_4C_7\V12</v>
      </c>
      <c r="S124" s="2" t="str">
        <f t="shared" si="51"/>
        <v>EAST_MDB_4C_7\V23</v>
      </c>
      <c r="T124" s="2" t="str">
        <f t="shared" si="51"/>
        <v>EAST_MDB_4C_7\V31</v>
      </c>
      <c r="U124" s="2" t="str">
        <f t="shared" si="51"/>
        <v>EAST_MDB_4C_7\V1N</v>
      </c>
      <c r="V124" s="2" t="str">
        <f t="shared" si="51"/>
        <v>EAST_MDB_4C_7\V2N</v>
      </c>
      <c r="W124" s="2" t="str">
        <f t="shared" si="51"/>
        <v>EAST_MDB_4C_7\V3N</v>
      </c>
      <c r="X124" s="2" t="str">
        <f t="shared" si="51"/>
        <v>EAST_MDB_4C_7\VA</v>
      </c>
      <c r="Y124" s="2" t="str">
        <f t="shared" si="51"/>
        <v>EAST_MDB_4C_7\A1</v>
      </c>
      <c r="Z124" s="2" t="str">
        <f t="shared" si="51"/>
        <v>EAST_MDB_4C_7\A2</v>
      </c>
      <c r="AA124" s="2" t="str">
        <f t="shared" si="51"/>
        <v>EAST_MDB_4C_7\A3</v>
      </c>
      <c r="AB124" s="2" t="str">
        <f t="shared" si="51"/>
        <v>EAST_MDB_4C_7\AA</v>
      </c>
      <c r="AC124" s="2" t="str">
        <f t="shared" si="51"/>
        <v>EAST_MDB_4C_7\PF</v>
      </c>
      <c r="AD124" s="2" t="str">
        <f t="shared" si="51"/>
        <v>EAST_MDB_4C_7\HZ</v>
      </c>
      <c r="AE124" s="2" t="str">
        <f t="shared" si="51"/>
        <v>EAST_MDB_4C_7\KW</v>
      </c>
      <c r="AF124" s="2" t="str">
        <f t="shared" si="51"/>
        <v>EAST_MDB_4C_7\KHh</v>
      </c>
      <c r="AG124" s="2" t="str">
        <f t="shared" si="51"/>
        <v>EAST_MDB_4C_7\VA</v>
      </c>
      <c r="AH124" s="2" t="str">
        <f t="shared" si="51"/>
        <v>EAST_MDB_4C_7\VAH</v>
      </c>
      <c r="AI124" s="2" t="str">
        <f t="shared" si="51"/>
        <v>EAST_MDB_4C_7\PEAK</v>
      </c>
      <c r="AJ124" s="2" t="str">
        <f t="shared" si="53"/>
        <v>EAST_MDB_4C_7\H_A_1</v>
      </c>
      <c r="AK124" s="2" t="str">
        <f t="shared" si="53"/>
        <v>EAST_MDB_4C_7\H_A_3</v>
      </c>
      <c r="AL124" s="2" t="str">
        <f t="shared" si="53"/>
        <v>EAST_MDB_4C_7\H_A_5</v>
      </c>
      <c r="AM124" s="2" t="str">
        <f t="shared" si="53"/>
        <v>EAST_MDB_4C_7\H_A_7</v>
      </c>
      <c r="AN124" s="2" t="str">
        <f t="shared" si="53"/>
        <v>EAST_MDB_4C_7\H_B_1</v>
      </c>
      <c r="AO124" s="2" t="str">
        <f t="shared" si="53"/>
        <v>EAST_MDB_4C_7\H_B_3</v>
      </c>
      <c r="AP124" s="2" t="str">
        <f t="shared" si="53"/>
        <v>EAST_MDB_4C_7\H_B_5</v>
      </c>
      <c r="AQ124" s="2" t="str">
        <f t="shared" si="53"/>
        <v>EAST_MDB_4C_7\H_B_7</v>
      </c>
      <c r="AR124" s="2" t="str">
        <f t="shared" si="53"/>
        <v>EAST_MDB_4C_7\H_C_1</v>
      </c>
      <c r="AS124" s="2" t="str">
        <f t="shared" si="53"/>
        <v>EAST_MDB_4C_7\H_C_3</v>
      </c>
      <c r="AT124" s="2" t="str">
        <f t="shared" si="53"/>
        <v>EAST_MDB_4C_7\H_C_5</v>
      </c>
      <c r="AU124" s="2" t="str">
        <f t="shared" si="53"/>
        <v>EAST_MDB_4C_7\H_C_7</v>
      </c>
      <c r="AV124" s="2" t="str">
        <f t="shared" si="52"/>
        <v>EAST_MDB_4C_7\PV1</v>
      </c>
      <c r="AW124" s="2" t="str">
        <f t="shared" si="52"/>
        <v>EAST_MDB_4C_7\PV2</v>
      </c>
      <c r="AX124" s="2" t="str">
        <f t="shared" si="52"/>
        <v>EAST_MDB_4C_7\PV3</v>
      </c>
      <c r="AY124" s="2" t="str">
        <f t="shared" si="52"/>
        <v>EAST_MDB_4C_7\PI1</v>
      </c>
      <c r="AZ124" s="2" t="str">
        <f t="shared" si="52"/>
        <v>EAST_MDB_4C_7\PI2</v>
      </c>
      <c r="BA124" s="2" t="str">
        <f t="shared" si="52"/>
        <v>EAST_MDB_4C_7\PI3</v>
      </c>
    </row>
    <row r="125" spans="1:53" x14ac:dyDescent="0.25">
      <c r="A125" s="3">
        <v>39</v>
      </c>
      <c r="B125" s="3" t="s">
        <v>336</v>
      </c>
      <c r="C125" s="3" t="s">
        <v>136</v>
      </c>
      <c r="D125" s="3" t="s">
        <v>329</v>
      </c>
      <c r="E125" s="4"/>
      <c r="F125" s="2" t="str">
        <f t="shared" si="50"/>
        <v>EAST_MDB_4C_8\ST</v>
      </c>
      <c r="G125" s="2" t="str">
        <f t="shared" si="50"/>
        <v>EAST_MDB_4C_8\TRIP</v>
      </c>
      <c r="H125" s="20"/>
      <c r="I125" s="20"/>
      <c r="J125" s="20"/>
      <c r="K125" s="20"/>
      <c r="L125" s="20"/>
      <c r="M125" s="20"/>
      <c r="N125" s="20"/>
      <c r="O125" s="20"/>
      <c r="P125" s="20"/>
      <c r="Q125" s="24"/>
      <c r="R125" s="2" t="str">
        <f t="shared" si="51"/>
        <v>EAST_MDB_4C_8\V12</v>
      </c>
      <c r="S125" s="2" t="str">
        <f t="shared" si="51"/>
        <v>EAST_MDB_4C_8\V23</v>
      </c>
      <c r="T125" s="2" t="str">
        <f t="shared" si="51"/>
        <v>EAST_MDB_4C_8\V31</v>
      </c>
      <c r="U125" s="2" t="str">
        <f t="shared" si="51"/>
        <v>EAST_MDB_4C_8\V1N</v>
      </c>
      <c r="V125" s="2" t="str">
        <f t="shared" si="51"/>
        <v>EAST_MDB_4C_8\V2N</v>
      </c>
      <c r="W125" s="2" t="str">
        <f t="shared" si="51"/>
        <v>EAST_MDB_4C_8\V3N</v>
      </c>
      <c r="X125" s="2" t="str">
        <f t="shared" si="51"/>
        <v>EAST_MDB_4C_8\VA</v>
      </c>
      <c r="Y125" s="2" t="str">
        <f t="shared" si="51"/>
        <v>EAST_MDB_4C_8\A1</v>
      </c>
      <c r="Z125" s="2" t="str">
        <f t="shared" si="51"/>
        <v>EAST_MDB_4C_8\A2</v>
      </c>
      <c r="AA125" s="2" t="str">
        <f t="shared" si="51"/>
        <v>EAST_MDB_4C_8\A3</v>
      </c>
      <c r="AB125" s="2" t="str">
        <f t="shared" si="51"/>
        <v>EAST_MDB_4C_8\AA</v>
      </c>
      <c r="AC125" s="2" t="str">
        <f t="shared" si="51"/>
        <v>EAST_MDB_4C_8\PF</v>
      </c>
      <c r="AD125" s="2" t="str">
        <f t="shared" si="51"/>
        <v>EAST_MDB_4C_8\HZ</v>
      </c>
      <c r="AE125" s="2" t="str">
        <f t="shared" si="51"/>
        <v>EAST_MDB_4C_8\KW</v>
      </c>
      <c r="AF125" s="2" t="str">
        <f t="shared" si="51"/>
        <v>EAST_MDB_4C_8\KHh</v>
      </c>
      <c r="AG125" s="2" t="str">
        <f t="shared" si="51"/>
        <v>EAST_MDB_4C_8\VA</v>
      </c>
      <c r="AH125" s="2" t="str">
        <f t="shared" si="51"/>
        <v>EAST_MDB_4C_8\VAH</v>
      </c>
      <c r="AI125" s="2" t="str">
        <f t="shared" si="51"/>
        <v>EAST_MDB_4C_8\PEAK</v>
      </c>
      <c r="AJ125" s="2" t="str">
        <f t="shared" si="53"/>
        <v>EAST_MDB_4C_8\H_A_1</v>
      </c>
      <c r="AK125" s="2" t="str">
        <f t="shared" si="53"/>
        <v>EAST_MDB_4C_8\H_A_3</v>
      </c>
      <c r="AL125" s="2" t="str">
        <f t="shared" si="53"/>
        <v>EAST_MDB_4C_8\H_A_5</v>
      </c>
      <c r="AM125" s="2" t="str">
        <f t="shared" si="53"/>
        <v>EAST_MDB_4C_8\H_A_7</v>
      </c>
      <c r="AN125" s="2" t="str">
        <f t="shared" si="53"/>
        <v>EAST_MDB_4C_8\H_B_1</v>
      </c>
      <c r="AO125" s="2" t="str">
        <f t="shared" si="53"/>
        <v>EAST_MDB_4C_8\H_B_3</v>
      </c>
      <c r="AP125" s="2" t="str">
        <f t="shared" si="53"/>
        <v>EAST_MDB_4C_8\H_B_5</v>
      </c>
      <c r="AQ125" s="2" t="str">
        <f t="shared" si="53"/>
        <v>EAST_MDB_4C_8\H_B_7</v>
      </c>
      <c r="AR125" s="2" t="str">
        <f t="shared" si="53"/>
        <v>EAST_MDB_4C_8\H_C_1</v>
      </c>
      <c r="AS125" s="2" t="str">
        <f t="shared" si="53"/>
        <v>EAST_MDB_4C_8\H_C_3</v>
      </c>
      <c r="AT125" s="2" t="str">
        <f t="shared" si="53"/>
        <v>EAST_MDB_4C_8\H_C_5</v>
      </c>
      <c r="AU125" s="2" t="str">
        <f t="shared" si="53"/>
        <v>EAST_MDB_4C_8\H_C_7</v>
      </c>
      <c r="AV125" s="2" t="str">
        <f t="shared" si="52"/>
        <v>EAST_MDB_4C_8\PV1</v>
      </c>
      <c r="AW125" s="2" t="str">
        <f t="shared" si="52"/>
        <v>EAST_MDB_4C_8\PV2</v>
      </c>
      <c r="AX125" s="2" t="str">
        <f t="shared" si="52"/>
        <v>EAST_MDB_4C_8\PV3</v>
      </c>
      <c r="AY125" s="2" t="str">
        <f t="shared" si="52"/>
        <v>EAST_MDB_4C_8\PI1</v>
      </c>
      <c r="AZ125" s="2" t="str">
        <f t="shared" si="52"/>
        <v>EAST_MDB_4C_8\PI2</v>
      </c>
      <c r="BA125" s="2" t="str">
        <f t="shared" si="52"/>
        <v>EAST_MDB_4C_8\PI3</v>
      </c>
    </row>
    <row r="126" spans="1:53" x14ac:dyDescent="0.25">
      <c r="A126" s="3">
        <v>40</v>
      </c>
      <c r="B126" s="3" t="s">
        <v>336</v>
      </c>
      <c r="C126" s="3" t="s">
        <v>137</v>
      </c>
      <c r="D126" s="3" t="s">
        <v>329</v>
      </c>
      <c r="E126" s="4"/>
      <c r="F126" s="2" t="str">
        <f t="shared" si="50"/>
        <v>EAST_MDB_4C_9\ST</v>
      </c>
      <c r="G126" s="2" t="str">
        <f t="shared" si="50"/>
        <v>EAST_MDB_4C_9\TRIP</v>
      </c>
      <c r="H126" s="20"/>
      <c r="I126" s="20"/>
      <c r="J126" s="20"/>
      <c r="K126" s="20"/>
      <c r="L126" s="20"/>
      <c r="M126" s="20"/>
      <c r="N126" s="20"/>
      <c r="O126" s="20"/>
      <c r="P126" s="20"/>
      <c r="Q126" s="24"/>
      <c r="R126" s="2" t="str">
        <f t="shared" si="51"/>
        <v>EAST_MDB_4C_9\V12</v>
      </c>
      <c r="S126" s="2" t="str">
        <f t="shared" si="51"/>
        <v>EAST_MDB_4C_9\V23</v>
      </c>
      <c r="T126" s="2" t="str">
        <f t="shared" si="51"/>
        <v>EAST_MDB_4C_9\V31</v>
      </c>
      <c r="U126" s="2" t="str">
        <f t="shared" si="51"/>
        <v>EAST_MDB_4C_9\V1N</v>
      </c>
      <c r="V126" s="2" t="str">
        <f t="shared" si="51"/>
        <v>EAST_MDB_4C_9\V2N</v>
      </c>
      <c r="W126" s="2" t="str">
        <f t="shared" si="51"/>
        <v>EAST_MDB_4C_9\V3N</v>
      </c>
      <c r="X126" s="2" t="str">
        <f t="shared" si="51"/>
        <v>EAST_MDB_4C_9\VA</v>
      </c>
      <c r="Y126" s="2" t="str">
        <f t="shared" si="51"/>
        <v>EAST_MDB_4C_9\A1</v>
      </c>
      <c r="Z126" s="2" t="str">
        <f t="shared" si="51"/>
        <v>EAST_MDB_4C_9\A2</v>
      </c>
      <c r="AA126" s="2" t="str">
        <f t="shared" si="51"/>
        <v>EAST_MDB_4C_9\A3</v>
      </c>
      <c r="AB126" s="2" t="str">
        <f t="shared" si="51"/>
        <v>EAST_MDB_4C_9\AA</v>
      </c>
      <c r="AC126" s="2" t="str">
        <f t="shared" si="51"/>
        <v>EAST_MDB_4C_9\PF</v>
      </c>
      <c r="AD126" s="2" t="str">
        <f t="shared" si="51"/>
        <v>EAST_MDB_4C_9\HZ</v>
      </c>
      <c r="AE126" s="2" t="str">
        <f t="shared" si="51"/>
        <v>EAST_MDB_4C_9\KW</v>
      </c>
      <c r="AF126" s="2" t="str">
        <f t="shared" si="51"/>
        <v>EAST_MDB_4C_9\KHh</v>
      </c>
      <c r="AG126" s="2" t="str">
        <f t="shared" si="51"/>
        <v>EAST_MDB_4C_9\VA</v>
      </c>
      <c r="AH126" s="2" t="str">
        <f t="shared" si="51"/>
        <v>EAST_MDB_4C_9\VAH</v>
      </c>
      <c r="AI126" s="2" t="str">
        <f t="shared" si="51"/>
        <v>EAST_MDB_4C_9\PEAK</v>
      </c>
      <c r="AJ126" s="2" t="str">
        <f t="shared" si="53"/>
        <v>EAST_MDB_4C_9\H_A_1</v>
      </c>
      <c r="AK126" s="2" t="str">
        <f t="shared" si="53"/>
        <v>EAST_MDB_4C_9\H_A_3</v>
      </c>
      <c r="AL126" s="2" t="str">
        <f t="shared" si="53"/>
        <v>EAST_MDB_4C_9\H_A_5</v>
      </c>
      <c r="AM126" s="2" t="str">
        <f t="shared" si="53"/>
        <v>EAST_MDB_4C_9\H_A_7</v>
      </c>
      <c r="AN126" s="2" t="str">
        <f t="shared" si="53"/>
        <v>EAST_MDB_4C_9\H_B_1</v>
      </c>
      <c r="AO126" s="2" t="str">
        <f t="shared" si="53"/>
        <v>EAST_MDB_4C_9\H_B_3</v>
      </c>
      <c r="AP126" s="2" t="str">
        <f t="shared" si="53"/>
        <v>EAST_MDB_4C_9\H_B_5</v>
      </c>
      <c r="AQ126" s="2" t="str">
        <f t="shared" si="53"/>
        <v>EAST_MDB_4C_9\H_B_7</v>
      </c>
      <c r="AR126" s="2" t="str">
        <f t="shared" si="53"/>
        <v>EAST_MDB_4C_9\H_C_1</v>
      </c>
      <c r="AS126" s="2" t="str">
        <f t="shared" si="53"/>
        <v>EAST_MDB_4C_9\H_C_3</v>
      </c>
      <c r="AT126" s="2" t="str">
        <f t="shared" si="53"/>
        <v>EAST_MDB_4C_9\H_C_5</v>
      </c>
      <c r="AU126" s="2" t="str">
        <f t="shared" si="53"/>
        <v>EAST_MDB_4C_9\H_C_7</v>
      </c>
      <c r="AV126" s="2" t="str">
        <f t="shared" si="52"/>
        <v>EAST_MDB_4C_9\PV1</v>
      </c>
      <c r="AW126" s="2" t="str">
        <f t="shared" si="52"/>
        <v>EAST_MDB_4C_9\PV2</v>
      </c>
      <c r="AX126" s="2" t="str">
        <f t="shared" si="52"/>
        <v>EAST_MDB_4C_9\PV3</v>
      </c>
      <c r="AY126" s="2" t="str">
        <f t="shared" si="52"/>
        <v>EAST_MDB_4C_9\PI1</v>
      </c>
      <c r="AZ126" s="2" t="str">
        <f t="shared" si="52"/>
        <v>EAST_MDB_4C_9\PI2</v>
      </c>
      <c r="BA126" s="2" t="str">
        <f t="shared" si="52"/>
        <v>EAST_MDB_4C_9\PI3</v>
      </c>
    </row>
    <row r="127" spans="1:53" x14ac:dyDescent="0.25">
      <c r="A127" s="3">
        <v>41</v>
      </c>
      <c r="B127" s="3" t="s">
        <v>336</v>
      </c>
      <c r="C127" s="3" t="s">
        <v>138</v>
      </c>
      <c r="D127" s="3" t="s">
        <v>329</v>
      </c>
      <c r="E127" s="4"/>
      <c r="F127" s="2" t="str">
        <f t="shared" si="50"/>
        <v>EAST_MDB_4C_10\ST</v>
      </c>
      <c r="G127" s="2" t="str">
        <f t="shared" si="50"/>
        <v>EAST_MDB_4C_10\TRIP</v>
      </c>
      <c r="H127" s="20"/>
      <c r="I127" s="20"/>
      <c r="J127" s="20"/>
      <c r="K127" s="20"/>
      <c r="L127" s="20"/>
      <c r="M127" s="20"/>
      <c r="N127" s="20"/>
      <c r="O127" s="20"/>
      <c r="P127" s="20"/>
      <c r="Q127" s="24"/>
      <c r="R127" s="2" t="str">
        <f t="shared" si="51"/>
        <v>EAST_MDB_4C_10\V12</v>
      </c>
      <c r="S127" s="2" t="str">
        <f t="shared" si="51"/>
        <v>EAST_MDB_4C_10\V23</v>
      </c>
      <c r="T127" s="2" t="str">
        <f t="shared" si="51"/>
        <v>EAST_MDB_4C_10\V31</v>
      </c>
      <c r="U127" s="2" t="str">
        <f t="shared" si="51"/>
        <v>EAST_MDB_4C_10\V1N</v>
      </c>
      <c r="V127" s="2" t="str">
        <f t="shared" si="51"/>
        <v>EAST_MDB_4C_10\V2N</v>
      </c>
      <c r="W127" s="2" t="str">
        <f t="shared" si="51"/>
        <v>EAST_MDB_4C_10\V3N</v>
      </c>
      <c r="X127" s="2" t="str">
        <f t="shared" si="51"/>
        <v>EAST_MDB_4C_10\VA</v>
      </c>
      <c r="Y127" s="2" t="str">
        <f t="shared" si="51"/>
        <v>EAST_MDB_4C_10\A1</v>
      </c>
      <c r="Z127" s="2" t="str">
        <f t="shared" si="51"/>
        <v>EAST_MDB_4C_10\A2</v>
      </c>
      <c r="AA127" s="2" t="str">
        <f t="shared" si="51"/>
        <v>EAST_MDB_4C_10\A3</v>
      </c>
      <c r="AB127" s="2" t="str">
        <f t="shared" si="51"/>
        <v>EAST_MDB_4C_10\AA</v>
      </c>
      <c r="AC127" s="2" t="str">
        <f t="shared" si="51"/>
        <v>EAST_MDB_4C_10\PF</v>
      </c>
      <c r="AD127" s="2" t="str">
        <f t="shared" si="51"/>
        <v>EAST_MDB_4C_10\HZ</v>
      </c>
      <c r="AE127" s="2" t="str">
        <f t="shared" si="51"/>
        <v>EAST_MDB_4C_10\KW</v>
      </c>
      <c r="AF127" s="2" t="str">
        <f t="shared" si="51"/>
        <v>EAST_MDB_4C_10\KHh</v>
      </c>
      <c r="AG127" s="2" t="str">
        <f t="shared" si="51"/>
        <v>EAST_MDB_4C_10\VA</v>
      </c>
      <c r="AH127" s="2" t="str">
        <f t="shared" si="51"/>
        <v>EAST_MDB_4C_10\VAH</v>
      </c>
      <c r="AI127" s="2" t="str">
        <f t="shared" si="51"/>
        <v>EAST_MDB_4C_10\PEAK</v>
      </c>
      <c r="AJ127" s="2" t="str">
        <f t="shared" si="53"/>
        <v>EAST_MDB_4C_10\H_A_1</v>
      </c>
      <c r="AK127" s="2" t="str">
        <f t="shared" si="53"/>
        <v>EAST_MDB_4C_10\H_A_3</v>
      </c>
      <c r="AL127" s="2" t="str">
        <f t="shared" si="53"/>
        <v>EAST_MDB_4C_10\H_A_5</v>
      </c>
      <c r="AM127" s="2" t="str">
        <f t="shared" si="53"/>
        <v>EAST_MDB_4C_10\H_A_7</v>
      </c>
      <c r="AN127" s="2" t="str">
        <f t="shared" si="53"/>
        <v>EAST_MDB_4C_10\H_B_1</v>
      </c>
      <c r="AO127" s="2" t="str">
        <f t="shared" si="53"/>
        <v>EAST_MDB_4C_10\H_B_3</v>
      </c>
      <c r="AP127" s="2" t="str">
        <f t="shared" si="53"/>
        <v>EAST_MDB_4C_10\H_B_5</v>
      </c>
      <c r="AQ127" s="2" t="str">
        <f t="shared" si="53"/>
        <v>EAST_MDB_4C_10\H_B_7</v>
      </c>
      <c r="AR127" s="2" t="str">
        <f t="shared" si="53"/>
        <v>EAST_MDB_4C_10\H_C_1</v>
      </c>
      <c r="AS127" s="2" t="str">
        <f t="shared" si="53"/>
        <v>EAST_MDB_4C_10\H_C_3</v>
      </c>
      <c r="AT127" s="2" t="str">
        <f t="shared" si="53"/>
        <v>EAST_MDB_4C_10\H_C_5</v>
      </c>
      <c r="AU127" s="2" t="str">
        <f t="shared" si="53"/>
        <v>EAST_MDB_4C_10\H_C_7</v>
      </c>
      <c r="AV127" s="2" t="str">
        <f t="shared" si="52"/>
        <v>EAST_MDB_4C_10\PV1</v>
      </c>
      <c r="AW127" s="2" t="str">
        <f t="shared" si="52"/>
        <v>EAST_MDB_4C_10\PV2</v>
      </c>
      <c r="AX127" s="2" t="str">
        <f t="shared" si="52"/>
        <v>EAST_MDB_4C_10\PV3</v>
      </c>
      <c r="AY127" s="2" t="str">
        <f t="shared" si="52"/>
        <v>EAST_MDB_4C_10\PI1</v>
      </c>
      <c r="AZ127" s="2" t="str">
        <f t="shared" si="52"/>
        <v>EAST_MDB_4C_10\PI2</v>
      </c>
      <c r="BA127" s="2" t="str">
        <f t="shared" si="52"/>
        <v>EAST_MDB_4C_10\PI3</v>
      </c>
    </row>
    <row r="128" spans="1:53" x14ac:dyDescent="0.25">
      <c r="A128" s="3">
        <v>42</v>
      </c>
      <c r="B128" s="3" t="s">
        <v>336</v>
      </c>
      <c r="C128" s="3" t="s">
        <v>235</v>
      </c>
      <c r="D128" s="3" t="s">
        <v>292</v>
      </c>
      <c r="E128" s="4"/>
      <c r="F128" s="2"/>
      <c r="G128" s="2"/>
      <c r="H128" s="2" t="str">
        <f>$C128&amp;H$7</f>
        <v>EAST_MDB_5A\ELD</v>
      </c>
      <c r="I128" s="20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</row>
    <row r="129" spans="1:53" x14ac:dyDescent="0.25">
      <c r="A129" s="3">
        <v>43</v>
      </c>
      <c r="B129" s="3" t="s">
        <v>336</v>
      </c>
      <c r="C129" s="3" t="s">
        <v>139</v>
      </c>
      <c r="D129" s="3" t="s">
        <v>292</v>
      </c>
      <c r="E129" s="4"/>
      <c r="F129" s="2" t="str">
        <f t="shared" ref="F129:G132" si="54">$C129&amp;F$7</f>
        <v>EAST_MDB_5A_1\ST</v>
      </c>
      <c r="G129" s="2" t="str">
        <f t="shared" si="54"/>
        <v>EAST_MDB_5A_1\TRIP</v>
      </c>
      <c r="H129" s="20"/>
      <c r="I129" s="20"/>
      <c r="J129" s="20"/>
      <c r="K129" s="20"/>
      <c r="L129" s="20"/>
      <c r="M129" s="20"/>
      <c r="N129" s="20"/>
      <c r="O129" s="20"/>
      <c r="P129" s="20"/>
      <c r="Q129" s="24"/>
      <c r="R129" s="2" t="str">
        <f t="shared" ref="R129:AU132" si="55">$C129&amp;R$7</f>
        <v>EAST_MDB_5A_1\V12</v>
      </c>
      <c r="S129" s="2" t="str">
        <f t="shared" si="55"/>
        <v>EAST_MDB_5A_1\V23</v>
      </c>
      <c r="T129" s="2" t="str">
        <f t="shared" si="55"/>
        <v>EAST_MDB_5A_1\V31</v>
      </c>
      <c r="U129" s="2" t="str">
        <f t="shared" si="55"/>
        <v>EAST_MDB_5A_1\V1N</v>
      </c>
      <c r="V129" s="2" t="str">
        <f t="shared" si="55"/>
        <v>EAST_MDB_5A_1\V2N</v>
      </c>
      <c r="W129" s="2" t="str">
        <f t="shared" si="55"/>
        <v>EAST_MDB_5A_1\V3N</v>
      </c>
      <c r="X129" s="2" t="str">
        <f t="shared" si="55"/>
        <v>EAST_MDB_5A_1\VA</v>
      </c>
      <c r="Y129" s="2" t="str">
        <f t="shared" si="55"/>
        <v>EAST_MDB_5A_1\A1</v>
      </c>
      <c r="Z129" s="2" t="str">
        <f t="shared" si="55"/>
        <v>EAST_MDB_5A_1\A2</v>
      </c>
      <c r="AA129" s="2" t="str">
        <f t="shared" si="55"/>
        <v>EAST_MDB_5A_1\A3</v>
      </c>
      <c r="AB129" s="2" t="str">
        <f t="shared" si="55"/>
        <v>EAST_MDB_5A_1\AA</v>
      </c>
      <c r="AC129" s="2" t="str">
        <f t="shared" si="55"/>
        <v>EAST_MDB_5A_1\PF</v>
      </c>
      <c r="AD129" s="2" t="str">
        <f t="shared" si="55"/>
        <v>EAST_MDB_5A_1\HZ</v>
      </c>
      <c r="AE129" s="2" t="str">
        <f t="shared" si="55"/>
        <v>EAST_MDB_5A_1\KW</v>
      </c>
      <c r="AF129" s="2" t="str">
        <f t="shared" si="55"/>
        <v>EAST_MDB_5A_1\KHh</v>
      </c>
      <c r="AG129" s="2" t="str">
        <f t="shared" si="55"/>
        <v>EAST_MDB_5A_1\VA</v>
      </c>
      <c r="AH129" s="2" t="str">
        <f t="shared" si="55"/>
        <v>EAST_MDB_5A_1\VAH</v>
      </c>
      <c r="AI129" s="2" t="str">
        <f t="shared" si="55"/>
        <v>EAST_MDB_5A_1\PEAK</v>
      </c>
      <c r="AJ129" s="2" t="str">
        <f t="shared" si="55"/>
        <v>EAST_MDB_5A_1\H_A_1</v>
      </c>
      <c r="AK129" s="2" t="str">
        <f t="shared" si="55"/>
        <v>EAST_MDB_5A_1\H_A_3</v>
      </c>
      <c r="AL129" s="2" t="str">
        <f t="shared" si="55"/>
        <v>EAST_MDB_5A_1\H_A_5</v>
      </c>
      <c r="AM129" s="2" t="str">
        <f t="shared" si="55"/>
        <v>EAST_MDB_5A_1\H_A_7</v>
      </c>
      <c r="AN129" s="2" t="str">
        <f t="shared" si="55"/>
        <v>EAST_MDB_5A_1\H_B_1</v>
      </c>
      <c r="AO129" s="2" t="str">
        <f t="shared" si="55"/>
        <v>EAST_MDB_5A_1\H_B_3</v>
      </c>
      <c r="AP129" s="2" t="str">
        <f t="shared" si="55"/>
        <v>EAST_MDB_5A_1\H_B_5</v>
      </c>
      <c r="AQ129" s="2" t="str">
        <f t="shared" si="55"/>
        <v>EAST_MDB_5A_1\H_B_7</v>
      </c>
      <c r="AR129" s="2" t="str">
        <f t="shared" si="55"/>
        <v>EAST_MDB_5A_1\H_C_1</v>
      </c>
      <c r="AS129" s="2" t="str">
        <f t="shared" si="55"/>
        <v>EAST_MDB_5A_1\H_C_3</v>
      </c>
      <c r="AT129" s="2" t="str">
        <f t="shared" si="55"/>
        <v>EAST_MDB_5A_1\H_C_5</v>
      </c>
      <c r="AU129" s="2" t="str">
        <f t="shared" si="55"/>
        <v>EAST_MDB_5A_1\H_C_7</v>
      </c>
      <c r="AV129" s="2" t="str">
        <f t="shared" ref="AV129:BA132" si="56">$C129&amp;AV$7</f>
        <v>EAST_MDB_5A_1\PV1</v>
      </c>
      <c r="AW129" s="2" t="str">
        <f t="shared" si="56"/>
        <v>EAST_MDB_5A_1\PV2</v>
      </c>
      <c r="AX129" s="2" t="str">
        <f t="shared" si="56"/>
        <v>EAST_MDB_5A_1\PV3</v>
      </c>
      <c r="AY129" s="2" t="str">
        <f t="shared" si="56"/>
        <v>EAST_MDB_5A_1\PI1</v>
      </c>
      <c r="AZ129" s="2" t="str">
        <f t="shared" si="56"/>
        <v>EAST_MDB_5A_1\PI2</v>
      </c>
      <c r="BA129" s="2" t="str">
        <f t="shared" si="56"/>
        <v>EAST_MDB_5A_1\PI3</v>
      </c>
    </row>
    <row r="130" spans="1:53" x14ac:dyDescent="0.25">
      <c r="A130" s="3">
        <v>44</v>
      </c>
      <c r="B130" s="3" t="s">
        <v>336</v>
      </c>
      <c r="C130" s="3" t="s">
        <v>140</v>
      </c>
      <c r="D130" s="3" t="s">
        <v>292</v>
      </c>
      <c r="E130" s="4"/>
      <c r="F130" s="2" t="str">
        <f t="shared" si="54"/>
        <v>EAST_MDB_5A_2\ST</v>
      </c>
      <c r="G130" s="2" t="str">
        <f t="shared" si="54"/>
        <v>EAST_MDB_5A_2\TRIP</v>
      </c>
      <c r="H130" s="20"/>
      <c r="I130" s="20"/>
      <c r="J130" s="20"/>
      <c r="K130" s="20"/>
      <c r="L130" s="20"/>
      <c r="M130" s="20"/>
      <c r="N130" s="20"/>
      <c r="O130" s="20"/>
      <c r="P130" s="20"/>
      <c r="Q130" s="24"/>
      <c r="R130" s="2" t="str">
        <f t="shared" si="55"/>
        <v>EAST_MDB_5A_2\V12</v>
      </c>
      <c r="S130" s="2" t="str">
        <f t="shared" si="55"/>
        <v>EAST_MDB_5A_2\V23</v>
      </c>
      <c r="T130" s="2" t="str">
        <f t="shared" si="55"/>
        <v>EAST_MDB_5A_2\V31</v>
      </c>
      <c r="U130" s="2" t="str">
        <f t="shared" si="55"/>
        <v>EAST_MDB_5A_2\V1N</v>
      </c>
      <c r="V130" s="2" t="str">
        <f t="shared" si="55"/>
        <v>EAST_MDB_5A_2\V2N</v>
      </c>
      <c r="W130" s="2" t="str">
        <f t="shared" si="55"/>
        <v>EAST_MDB_5A_2\V3N</v>
      </c>
      <c r="X130" s="2" t="str">
        <f t="shared" si="55"/>
        <v>EAST_MDB_5A_2\VA</v>
      </c>
      <c r="Y130" s="2" t="str">
        <f t="shared" si="55"/>
        <v>EAST_MDB_5A_2\A1</v>
      </c>
      <c r="Z130" s="2" t="str">
        <f t="shared" si="55"/>
        <v>EAST_MDB_5A_2\A2</v>
      </c>
      <c r="AA130" s="2" t="str">
        <f t="shared" si="55"/>
        <v>EAST_MDB_5A_2\A3</v>
      </c>
      <c r="AB130" s="2" t="str">
        <f t="shared" si="55"/>
        <v>EAST_MDB_5A_2\AA</v>
      </c>
      <c r="AC130" s="2" t="str">
        <f t="shared" si="55"/>
        <v>EAST_MDB_5A_2\PF</v>
      </c>
      <c r="AD130" s="2" t="str">
        <f t="shared" si="55"/>
        <v>EAST_MDB_5A_2\HZ</v>
      </c>
      <c r="AE130" s="2" t="str">
        <f t="shared" si="55"/>
        <v>EAST_MDB_5A_2\KW</v>
      </c>
      <c r="AF130" s="2" t="str">
        <f t="shared" si="55"/>
        <v>EAST_MDB_5A_2\KHh</v>
      </c>
      <c r="AG130" s="2" t="str">
        <f t="shared" si="55"/>
        <v>EAST_MDB_5A_2\VA</v>
      </c>
      <c r="AH130" s="2" t="str">
        <f t="shared" si="55"/>
        <v>EAST_MDB_5A_2\VAH</v>
      </c>
      <c r="AI130" s="2" t="str">
        <f t="shared" si="55"/>
        <v>EAST_MDB_5A_2\PEAK</v>
      </c>
      <c r="AJ130" s="2" t="str">
        <f t="shared" si="55"/>
        <v>EAST_MDB_5A_2\H_A_1</v>
      </c>
      <c r="AK130" s="2" t="str">
        <f t="shared" si="55"/>
        <v>EAST_MDB_5A_2\H_A_3</v>
      </c>
      <c r="AL130" s="2" t="str">
        <f t="shared" si="55"/>
        <v>EAST_MDB_5A_2\H_A_5</v>
      </c>
      <c r="AM130" s="2" t="str">
        <f t="shared" si="55"/>
        <v>EAST_MDB_5A_2\H_A_7</v>
      </c>
      <c r="AN130" s="2" t="str">
        <f t="shared" si="55"/>
        <v>EAST_MDB_5A_2\H_B_1</v>
      </c>
      <c r="AO130" s="2" t="str">
        <f t="shared" si="55"/>
        <v>EAST_MDB_5A_2\H_B_3</v>
      </c>
      <c r="AP130" s="2" t="str">
        <f t="shared" si="55"/>
        <v>EAST_MDB_5A_2\H_B_5</v>
      </c>
      <c r="AQ130" s="2" t="str">
        <f t="shared" si="55"/>
        <v>EAST_MDB_5A_2\H_B_7</v>
      </c>
      <c r="AR130" s="2" t="str">
        <f t="shared" si="55"/>
        <v>EAST_MDB_5A_2\H_C_1</v>
      </c>
      <c r="AS130" s="2" t="str">
        <f t="shared" si="55"/>
        <v>EAST_MDB_5A_2\H_C_3</v>
      </c>
      <c r="AT130" s="2" t="str">
        <f t="shared" si="55"/>
        <v>EAST_MDB_5A_2\H_C_5</v>
      </c>
      <c r="AU130" s="2" t="str">
        <f t="shared" si="55"/>
        <v>EAST_MDB_5A_2\H_C_7</v>
      </c>
      <c r="AV130" s="2" t="str">
        <f t="shared" si="56"/>
        <v>EAST_MDB_5A_2\PV1</v>
      </c>
      <c r="AW130" s="2" t="str">
        <f t="shared" si="56"/>
        <v>EAST_MDB_5A_2\PV2</v>
      </c>
      <c r="AX130" s="2" t="str">
        <f t="shared" si="56"/>
        <v>EAST_MDB_5A_2\PV3</v>
      </c>
      <c r="AY130" s="2" t="str">
        <f t="shared" si="56"/>
        <v>EAST_MDB_5A_2\PI1</v>
      </c>
      <c r="AZ130" s="2" t="str">
        <f t="shared" si="56"/>
        <v>EAST_MDB_5A_2\PI2</v>
      </c>
      <c r="BA130" s="2" t="str">
        <f t="shared" si="56"/>
        <v>EAST_MDB_5A_2\PI3</v>
      </c>
    </row>
    <row r="131" spans="1:53" x14ac:dyDescent="0.25">
      <c r="A131" s="3">
        <v>45</v>
      </c>
      <c r="B131" s="3" t="s">
        <v>336</v>
      </c>
      <c r="C131" s="3" t="s">
        <v>141</v>
      </c>
      <c r="D131" s="3" t="s">
        <v>292</v>
      </c>
      <c r="E131" s="4"/>
      <c r="F131" s="2" t="str">
        <f t="shared" si="54"/>
        <v>EAST_MDB_5A_3\ST</v>
      </c>
      <c r="G131" s="2" t="str">
        <f t="shared" si="54"/>
        <v>EAST_MDB_5A_3\TRIP</v>
      </c>
      <c r="H131" s="20"/>
      <c r="I131" s="20"/>
      <c r="J131" s="20"/>
      <c r="K131" s="20"/>
      <c r="L131" s="20"/>
      <c r="M131" s="20"/>
      <c r="N131" s="20"/>
      <c r="O131" s="20"/>
      <c r="P131" s="20"/>
      <c r="Q131" s="24"/>
      <c r="R131" s="2" t="str">
        <f t="shared" si="55"/>
        <v>EAST_MDB_5A_3\V12</v>
      </c>
      <c r="S131" s="2" t="str">
        <f t="shared" si="55"/>
        <v>EAST_MDB_5A_3\V23</v>
      </c>
      <c r="T131" s="2" t="str">
        <f t="shared" si="55"/>
        <v>EAST_MDB_5A_3\V31</v>
      </c>
      <c r="U131" s="2" t="str">
        <f t="shared" si="55"/>
        <v>EAST_MDB_5A_3\V1N</v>
      </c>
      <c r="V131" s="2" t="str">
        <f t="shared" si="55"/>
        <v>EAST_MDB_5A_3\V2N</v>
      </c>
      <c r="W131" s="2" t="str">
        <f t="shared" si="55"/>
        <v>EAST_MDB_5A_3\V3N</v>
      </c>
      <c r="X131" s="2" t="str">
        <f t="shared" si="55"/>
        <v>EAST_MDB_5A_3\VA</v>
      </c>
      <c r="Y131" s="2" t="str">
        <f t="shared" si="55"/>
        <v>EAST_MDB_5A_3\A1</v>
      </c>
      <c r="Z131" s="2" t="str">
        <f t="shared" si="55"/>
        <v>EAST_MDB_5A_3\A2</v>
      </c>
      <c r="AA131" s="2" t="str">
        <f t="shared" si="55"/>
        <v>EAST_MDB_5A_3\A3</v>
      </c>
      <c r="AB131" s="2" t="str">
        <f t="shared" si="55"/>
        <v>EAST_MDB_5A_3\AA</v>
      </c>
      <c r="AC131" s="2" t="str">
        <f t="shared" si="55"/>
        <v>EAST_MDB_5A_3\PF</v>
      </c>
      <c r="AD131" s="2" t="str">
        <f t="shared" si="55"/>
        <v>EAST_MDB_5A_3\HZ</v>
      </c>
      <c r="AE131" s="2" t="str">
        <f t="shared" si="55"/>
        <v>EAST_MDB_5A_3\KW</v>
      </c>
      <c r="AF131" s="2" t="str">
        <f t="shared" si="55"/>
        <v>EAST_MDB_5A_3\KHh</v>
      </c>
      <c r="AG131" s="2" t="str">
        <f t="shared" si="55"/>
        <v>EAST_MDB_5A_3\VA</v>
      </c>
      <c r="AH131" s="2" t="str">
        <f t="shared" si="55"/>
        <v>EAST_MDB_5A_3\VAH</v>
      </c>
      <c r="AI131" s="2" t="str">
        <f t="shared" si="55"/>
        <v>EAST_MDB_5A_3\PEAK</v>
      </c>
      <c r="AJ131" s="2" t="str">
        <f t="shared" si="55"/>
        <v>EAST_MDB_5A_3\H_A_1</v>
      </c>
      <c r="AK131" s="2" t="str">
        <f t="shared" si="55"/>
        <v>EAST_MDB_5A_3\H_A_3</v>
      </c>
      <c r="AL131" s="2" t="str">
        <f t="shared" si="55"/>
        <v>EAST_MDB_5A_3\H_A_5</v>
      </c>
      <c r="AM131" s="2" t="str">
        <f t="shared" si="55"/>
        <v>EAST_MDB_5A_3\H_A_7</v>
      </c>
      <c r="AN131" s="2" t="str">
        <f t="shared" si="55"/>
        <v>EAST_MDB_5A_3\H_B_1</v>
      </c>
      <c r="AO131" s="2" t="str">
        <f t="shared" si="55"/>
        <v>EAST_MDB_5A_3\H_B_3</v>
      </c>
      <c r="AP131" s="2" t="str">
        <f t="shared" si="55"/>
        <v>EAST_MDB_5A_3\H_B_5</v>
      </c>
      <c r="AQ131" s="2" t="str">
        <f t="shared" si="55"/>
        <v>EAST_MDB_5A_3\H_B_7</v>
      </c>
      <c r="AR131" s="2" t="str">
        <f t="shared" si="55"/>
        <v>EAST_MDB_5A_3\H_C_1</v>
      </c>
      <c r="AS131" s="2" t="str">
        <f t="shared" si="55"/>
        <v>EAST_MDB_5A_3\H_C_3</v>
      </c>
      <c r="AT131" s="2" t="str">
        <f t="shared" si="55"/>
        <v>EAST_MDB_5A_3\H_C_5</v>
      </c>
      <c r="AU131" s="2" t="str">
        <f t="shared" si="55"/>
        <v>EAST_MDB_5A_3\H_C_7</v>
      </c>
      <c r="AV131" s="2" t="str">
        <f t="shared" si="56"/>
        <v>EAST_MDB_5A_3\PV1</v>
      </c>
      <c r="AW131" s="2" t="str">
        <f t="shared" si="56"/>
        <v>EAST_MDB_5A_3\PV2</v>
      </c>
      <c r="AX131" s="2" t="str">
        <f t="shared" si="56"/>
        <v>EAST_MDB_5A_3\PV3</v>
      </c>
      <c r="AY131" s="2" t="str">
        <f t="shared" si="56"/>
        <v>EAST_MDB_5A_3\PI1</v>
      </c>
      <c r="AZ131" s="2" t="str">
        <f t="shared" si="56"/>
        <v>EAST_MDB_5A_3\PI2</v>
      </c>
      <c r="BA131" s="2" t="str">
        <f t="shared" si="56"/>
        <v>EAST_MDB_5A_3\PI3</v>
      </c>
    </row>
    <row r="132" spans="1:53" x14ac:dyDescent="0.25">
      <c r="A132" s="3">
        <v>46</v>
      </c>
      <c r="B132" s="3" t="s">
        <v>336</v>
      </c>
      <c r="C132" s="3" t="s">
        <v>142</v>
      </c>
      <c r="D132" s="3" t="s">
        <v>292</v>
      </c>
      <c r="E132" s="4"/>
      <c r="F132" s="2" t="str">
        <f t="shared" si="54"/>
        <v>EAST_MDB_5A_4\ST</v>
      </c>
      <c r="G132" s="2" t="str">
        <f t="shared" si="54"/>
        <v>EAST_MDB_5A_4\TRIP</v>
      </c>
      <c r="H132" s="20"/>
      <c r="I132" s="20"/>
      <c r="J132" s="20"/>
      <c r="K132" s="20"/>
      <c r="L132" s="20"/>
      <c r="M132" s="20"/>
      <c r="N132" s="20"/>
      <c r="O132" s="20"/>
      <c r="P132" s="20"/>
      <c r="Q132" s="24"/>
      <c r="R132" s="2" t="str">
        <f t="shared" si="55"/>
        <v>EAST_MDB_5A_4\V12</v>
      </c>
      <c r="S132" s="2" t="str">
        <f t="shared" si="55"/>
        <v>EAST_MDB_5A_4\V23</v>
      </c>
      <c r="T132" s="2" t="str">
        <f t="shared" si="55"/>
        <v>EAST_MDB_5A_4\V31</v>
      </c>
      <c r="U132" s="2" t="str">
        <f t="shared" si="55"/>
        <v>EAST_MDB_5A_4\V1N</v>
      </c>
      <c r="V132" s="2" t="str">
        <f t="shared" si="55"/>
        <v>EAST_MDB_5A_4\V2N</v>
      </c>
      <c r="W132" s="2" t="str">
        <f t="shared" si="55"/>
        <v>EAST_MDB_5A_4\V3N</v>
      </c>
      <c r="X132" s="2" t="str">
        <f t="shared" si="55"/>
        <v>EAST_MDB_5A_4\VA</v>
      </c>
      <c r="Y132" s="2" t="str">
        <f t="shared" si="55"/>
        <v>EAST_MDB_5A_4\A1</v>
      </c>
      <c r="Z132" s="2" t="str">
        <f t="shared" si="55"/>
        <v>EAST_MDB_5A_4\A2</v>
      </c>
      <c r="AA132" s="2" t="str">
        <f t="shared" si="55"/>
        <v>EAST_MDB_5A_4\A3</v>
      </c>
      <c r="AB132" s="2" t="str">
        <f t="shared" si="55"/>
        <v>EAST_MDB_5A_4\AA</v>
      </c>
      <c r="AC132" s="2" t="str">
        <f t="shared" si="55"/>
        <v>EAST_MDB_5A_4\PF</v>
      </c>
      <c r="AD132" s="2" t="str">
        <f t="shared" si="55"/>
        <v>EAST_MDB_5A_4\HZ</v>
      </c>
      <c r="AE132" s="2" t="str">
        <f t="shared" si="55"/>
        <v>EAST_MDB_5A_4\KW</v>
      </c>
      <c r="AF132" s="2" t="str">
        <f t="shared" si="55"/>
        <v>EAST_MDB_5A_4\KHh</v>
      </c>
      <c r="AG132" s="2" t="str">
        <f t="shared" si="55"/>
        <v>EAST_MDB_5A_4\VA</v>
      </c>
      <c r="AH132" s="2" t="str">
        <f t="shared" si="55"/>
        <v>EAST_MDB_5A_4\VAH</v>
      </c>
      <c r="AI132" s="2" t="str">
        <f t="shared" si="55"/>
        <v>EAST_MDB_5A_4\PEAK</v>
      </c>
      <c r="AJ132" s="2" t="str">
        <f t="shared" si="55"/>
        <v>EAST_MDB_5A_4\H_A_1</v>
      </c>
      <c r="AK132" s="2" t="str">
        <f t="shared" si="55"/>
        <v>EAST_MDB_5A_4\H_A_3</v>
      </c>
      <c r="AL132" s="2" t="str">
        <f t="shared" si="55"/>
        <v>EAST_MDB_5A_4\H_A_5</v>
      </c>
      <c r="AM132" s="2" t="str">
        <f t="shared" si="55"/>
        <v>EAST_MDB_5A_4\H_A_7</v>
      </c>
      <c r="AN132" s="2" t="str">
        <f t="shared" si="55"/>
        <v>EAST_MDB_5A_4\H_B_1</v>
      </c>
      <c r="AO132" s="2" t="str">
        <f t="shared" si="55"/>
        <v>EAST_MDB_5A_4\H_B_3</v>
      </c>
      <c r="AP132" s="2" t="str">
        <f t="shared" si="55"/>
        <v>EAST_MDB_5A_4\H_B_5</v>
      </c>
      <c r="AQ132" s="2" t="str">
        <f t="shared" si="55"/>
        <v>EAST_MDB_5A_4\H_B_7</v>
      </c>
      <c r="AR132" s="2" t="str">
        <f t="shared" si="55"/>
        <v>EAST_MDB_5A_4\H_C_1</v>
      </c>
      <c r="AS132" s="2" t="str">
        <f t="shared" si="55"/>
        <v>EAST_MDB_5A_4\H_C_3</v>
      </c>
      <c r="AT132" s="2" t="str">
        <f t="shared" si="55"/>
        <v>EAST_MDB_5A_4\H_C_5</v>
      </c>
      <c r="AU132" s="2" t="str">
        <f t="shared" si="55"/>
        <v>EAST_MDB_5A_4\H_C_7</v>
      </c>
      <c r="AV132" s="2" t="str">
        <f t="shared" si="56"/>
        <v>EAST_MDB_5A_4\PV1</v>
      </c>
      <c r="AW132" s="2" t="str">
        <f t="shared" si="56"/>
        <v>EAST_MDB_5A_4\PV2</v>
      </c>
      <c r="AX132" s="2" t="str">
        <f t="shared" si="56"/>
        <v>EAST_MDB_5A_4\PV3</v>
      </c>
      <c r="AY132" s="2" t="str">
        <f t="shared" si="56"/>
        <v>EAST_MDB_5A_4\PI1</v>
      </c>
      <c r="AZ132" s="2" t="str">
        <f t="shared" si="56"/>
        <v>EAST_MDB_5A_4\PI2</v>
      </c>
      <c r="BA132" s="2" t="str">
        <f t="shared" si="56"/>
        <v>EAST_MDB_5A_4\PI3</v>
      </c>
    </row>
    <row r="133" spans="1:53" x14ac:dyDescent="0.25">
      <c r="A133" s="3">
        <v>47</v>
      </c>
      <c r="B133" s="3" t="s">
        <v>336</v>
      </c>
      <c r="C133" s="3" t="s">
        <v>236</v>
      </c>
      <c r="D133" s="3" t="s">
        <v>330</v>
      </c>
      <c r="E133" s="4"/>
      <c r="F133" s="2"/>
      <c r="G133" s="2"/>
      <c r="H133" s="2" t="str">
        <f>$C133&amp;H$7</f>
        <v>EAST_MDB_5B\ELD</v>
      </c>
      <c r="I133" s="20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</row>
    <row r="134" spans="1:53" x14ac:dyDescent="0.25">
      <c r="A134" s="3">
        <v>48</v>
      </c>
      <c r="B134" s="3" t="s">
        <v>336</v>
      </c>
      <c r="C134" s="3" t="s">
        <v>143</v>
      </c>
      <c r="D134" s="3" t="s">
        <v>330</v>
      </c>
      <c r="E134" s="4"/>
      <c r="F134" s="2" t="str">
        <f t="shared" ref="F134:G145" si="57">$C134&amp;F$7</f>
        <v>EAST_MDB_5B_1\ST</v>
      </c>
      <c r="G134" s="2" t="str">
        <f t="shared" si="57"/>
        <v>EAST_MDB_5B_1\TRIP</v>
      </c>
      <c r="H134" s="20"/>
      <c r="I134" s="20"/>
      <c r="J134" s="20"/>
      <c r="K134" s="20"/>
      <c r="L134" s="20"/>
      <c r="M134" s="20"/>
      <c r="N134" s="20"/>
      <c r="O134" s="20"/>
      <c r="P134" s="20"/>
      <c r="Q134" s="24"/>
      <c r="R134" s="2" t="str">
        <f t="shared" ref="R134:AU145" si="58">$C134&amp;R$7</f>
        <v>EAST_MDB_5B_1\V12</v>
      </c>
      <c r="S134" s="2" t="str">
        <f t="shared" si="58"/>
        <v>EAST_MDB_5B_1\V23</v>
      </c>
      <c r="T134" s="2" t="str">
        <f t="shared" si="58"/>
        <v>EAST_MDB_5B_1\V31</v>
      </c>
      <c r="U134" s="2" t="str">
        <f t="shared" si="58"/>
        <v>EAST_MDB_5B_1\V1N</v>
      </c>
      <c r="V134" s="2" t="str">
        <f t="shared" si="58"/>
        <v>EAST_MDB_5B_1\V2N</v>
      </c>
      <c r="W134" s="2" t="str">
        <f t="shared" si="58"/>
        <v>EAST_MDB_5B_1\V3N</v>
      </c>
      <c r="X134" s="2" t="str">
        <f t="shared" si="58"/>
        <v>EAST_MDB_5B_1\VA</v>
      </c>
      <c r="Y134" s="2" t="str">
        <f t="shared" si="58"/>
        <v>EAST_MDB_5B_1\A1</v>
      </c>
      <c r="Z134" s="2" t="str">
        <f t="shared" si="58"/>
        <v>EAST_MDB_5B_1\A2</v>
      </c>
      <c r="AA134" s="2" t="str">
        <f t="shared" si="58"/>
        <v>EAST_MDB_5B_1\A3</v>
      </c>
      <c r="AB134" s="2" t="str">
        <f t="shared" si="58"/>
        <v>EAST_MDB_5B_1\AA</v>
      </c>
      <c r="AC134" s="2" t="str">
        <f t="shared" si="58"/>
        <v>EAST_MDB_5B_1\PF</v>
      </c>
      <c r="AD134" s="2" t="str">
        <f t="shared" si="58"/>
        <v>EAST_MDB_5B_1\HZ</v>
      </c>
      <c r="AE134" s="2" t="str">
        <f t="shared" si="58"/>
        <v>EAST_MDB_5B_1\KW</v>
      </c>
      <c r="AF134" s="2" t="str">
        <f t="shared" si="58"/>
        <v>EAST_MDB_5B_1\KHh</v>
      </c>
      <c r="AG134" s="2" t="str">
        <f t="shared" si="58"/>
        <v>EAST_MDB_5B_1\VA</v>
      </c>
      <c r="AH134" s="2" t="str">
        <f t="shared" si="58"/>
        <v>EAST_MDB_5B_1\VAH</v>
      </c>
      <c r="AI134" s="2" t="str">
        <f t="shared" si="58"/>
        <v>EAST_MDB_5B_1\PEAK</v>
      </c>
      <c r="AJ134" s="2" t="str">
        <f t="shared" ref="AJ134:AU136" si="59">$C134&amp;AJ$7</f>
        <v>EAST_MDB_5B_1\H_A_1</v>
      </c>
      <c r="AK134" s="2" t="str">
        <f t="shared" si="59"/>
        <v>EAST_MDB_5B_1\H_A_3</v>
      </c>
      <c r="AL134" s="2" t="str">
        <f t="shared" si="59"/>
        <v>EAST_MDB_5B_1\H_A_5</v>
      </c>
      <c r="AM134" s="2" t="str">
        <f t="shared" si="59"/>
        <v>EAST_MDB_5B_1\H_A_7</v>
      </c>
      <c r="AN134" s="2" t="str">
        <f t="shared" si="59"/>
        <v>EAST_MDB_5B_1\H_B_1</v>
      </c>
      <c r="AO134" s="2" t="str">
        <f t="shared" si="59"/>
        <v>EAST_MDB_5B_1\H_B_3</v>
      </c>
      <c r="AP134" s="2" t="str">
        <f t="shared" si="59"/>
        <v>EAST_MDB_5B_1\H_B_5</v>
      </c>
      <c r="AQ134" s="2" t="str">
        <f t="shared" si="59"/>
        <v>EAST_MDB_5B_1\H_B_7</v>
      </c>
      <c r="AR134" s="2" t="str">
        <f t="shared" si="59"/>
        <v>EAST_MDB_5B_1\H_C_1</v>
      </c>
      <c r="AS134" s="2" t="str">
        <f t="shared" si="59"/>
        <v>EAST_MDB_5B_1\H_C_3</v>
      </c>
      <c r="AT134" s="2" t="str">
        <f t="shared" si="59"/>
        <v>EAST_MDB_5B_1\H_C_5</v>
      </c>
      <c r="AU134" s="2" t="str">
        <f t="shared" si="59"/>
        <v>EAST_MDB_5B_1\H_C_7</v>
      </c>
      <c r="AV134" s="2" t="str">
        <f t="shared" ref="AV134:BA145" si="60">$C134&amp;AV$7</f>
        <v>EAST_MDB_5B_1\PV1</v>
      </c>
      <c r="AW134" s="2" t="str">
        <f t="shared" si="60"/>
        <v>EAST_MDB_5B_1\PV2</v>
      </c>
      <c r="AX134" s="2" t="str">
        <f t="shared" si="60"/>
        <v>EAST_MDB_5B_1\PV3</v>
      </c>
      <c r="AY134" s="2" t="str">
        <f t="shared" si="60"/>
        <v>EAST_MDB_5B_1\PI1</v>
      </c>
      <c r="AZ134" s="2" t="str">
        <f t="shared" si="60"/>
        <v>EAST_MDB_5B_1\PI2</v>
      </c>
      <c r="BA134" s="2" t="str">
        <f t="shared" si="60"/>
        <v>EAST_MDB_5B_1\PI3</v>
      </c>
    </row>
    <row r="135" spans="1:53" x14ac:dyDescent="0.25">
      <c r="A135" s="3">
        <v>49</v>
      </c>
      <c r="B135" s="3" t="s">
        <v>336</v>
      </c>
      <c r="C135" s="3" t="s">
        <v>144</v>
      </c>
      <c r="D135" s="3" t="s">
        <v>330</v>
      </c>
      <c r="E135" s="4"/>
      <c r="F135" s="2" t="str">
        <f t="shared" si="57"/>
        <v>EAST_MDB_5B_2\ST</v>
      </c>
      <c r="G135" s="2" t="str">
        <f t="shared" si="57"/>
        <v>EAST_MDB_5B_2\TRIP</v>
      </c>
      <c r="H135" s="20"/>
      <c r="I135" s="20"/>
      <c r="J135" s="20"/>
      <c r="K135" s="20"/>
      <c r="L135" s="20"/>
      <c r="M135" s="20"/>
      <c r="N135" s="20"/>
      <c r="O135" s="20"/>
      <c r="P135" s="20"/>
      <c r="Q135" s="24"/>
      <c r="R135" s="2" t="str">
        <f t="shared" si="58"/>
        <v>EAST_MDB_5B_2\V12</v>
      </c>
      <c r="S135" s="2" t="str">
        <f t="shared" si="58"/>
        <v>EAST_MDB_5B_2\V23</v>
      </c>
      <c r="T135" s="2" t="str">
        <f t="shared" si="58"/>
        <v>EAST_MDB_5B_2\V31</v>
      </c>
      <c r="U135" s="2" t="str">
        <f t="shared" si="58"/>
        <v>EAST_MDB_5B_2\V1N</v>
      </c>
      <c r="V135" s="2" t="str">
        <f t="shared" si="58"/>
        <v>EAST_MDB_5B_2\V2N</v>
      </c>
      <c r="W135" s="2" t="str">
        <f t="shared" si="58"/>
        <v>EAST_MDB_5B_2\V3N</v>
      </c>
      <c r="X135" s="2" t="str">
        <f t="shared" si="58"/>
        <v>EAST_MDB_5B_2\VA</v>
      </c>
      <c r="Y135" s="2" t="str">
        <f t="shared" si="58"/>
        <v>EAST_MDB_5B_2\A1</v>
      </c>
      <c r="Z135" s="2" t="str">
        <f t="shared" si="58"/>
        <v>EAST_MDB_5B_2\A2</v>
      </c>
      <c r="AA135" s="2" t="str">
        <f t="shared" si="58"/>
        <v>EAST_MDB_5B_2\A3</v>
      </c>
      <c r="AB135" s="2" t="str">
        <f t="shared" si="58"/>
        <v>EAST_MDB_5B_2\AA</v>
      </c>
      <c r="AC135" s="2" t="str">
        <f t="shared" si="58"/>
        <v>EAST_MDB_5B_2\PF</v>
      </c>
      <c r="AD135" s="2" t="str">
        <f t="shared" si="58"/>
        <v>EAST_MDB_5B_2\HZ</v>
      </c>
      <c r="AE135" s="2" t="str">
        <f t="shared" si="58"/>
        <v>EAST_MDB_5B_2\KW</v>
      </c>
      <c r="AF135" s="2" t="str">
        <f t="shared" si="58"/>
        <v>EAST_MDB_5B_2\KHh</v>
      </c>
      <c r="AG135" s="2" t="str">
        <f t="shared" si="58"/>
        <v>EAST_MDB_5B_2\VA</v>
      </c>
      <c r="AH135" s="2" t="str">
        <f t="shared" si="58"/>
        <v>EAST_MDB_5B_2\VAH</v>
      </c>
      <c r="AI135" s="2" t="str">
        <f t="shared" si="58"/>
        <v>EAST_MDB_5B_2\PEAK</v>
      </c>
      <c r="AJ135" s="2" t="str">
        <f t="shared" si="59"/>
        <v>EAST_MDB_5B_2\H_A_1</v>
      </c>
      <c r="AK135" s="2" t="str">
        <f t="shared" si="59"/>
        <v>EAST_MDB_5B_2\H_A_3</v>
      </c>
      <c r="AL135" s="2" t="str">
        <f t="shared" si="59"/>
        <v>EAST_MDB_5B_2\H_A_5</v>
      </c>
      <c r="AM135" s="2" t="str">
        <f t="shared" si="59"/>
        <v>EAST_MDB_5B_2\H_A_7</v>
      </c>
      <c r="AN135" s="2" t="str">
        <f t="shared" si="59"/>
        <v>EAST_MDB_5B_2\H_B_1</v>
      </c>
      <c r="AO135" s="2" t="str">
        <f t="shared" si="59"/>
        <v>EAST_MDB_5B_2\H_B_3</v>
      </c>
      <c r="AP135" s="2" t="str">
        <f t="shared" si="59"/>
        <v>EAST_MDB_5B_2\H_B_5</v>
      </c>
      <c r="AQ135" s="2" t="str">
        <f t="shared" si="59"/>
        <v>EAST_MDB_5B_2\H_B_7</v>
      </c>
      <c r="AR135" s="2" t="str">
        <f t="shared" si="59"/>
        <v>EAST_MDB_5B_2\H_C_1</v>
      </c>
      <c r="AS135" s="2" t="str">
        <f t="shared" si="59"/>
        <v>EAST_MDB_5B_2\H_C_3</v>
      </c>
      <c r="AT135" s="2" t="str">
        <f t="shared" si="59"/>
        <v>EAST_MDB_5B_2\H_C_5</v>
      </c>
      <c r="AU135" s="2" t="str">
        <f t="shared" si="59"/>
        <v>EAST_MDB_5B_2\H_C_7</v>
      </c>
      <c r="AV135" s="2" t="str">
        <f t="shared" si="60"/>
        <v>EAST_MDB_5B_2\PV1</v>
      </c>
      <c r="AW135" s="2" t="str">
        <f t="shared" si="60"/>
        <v>EAST_MDB_5B_2\PV2</v>
      </c>
      <c r="AX135" s="2" t="str">
        <f t="shared" si="60"/>
        <v>EAST_MDB_5B_2\PV3</v>
      </c>
      <c r="AY135" s="2" t="str">
        <f t="shared" si="60"/>
        <v>EAST_MDB_5B_2\PI1</v>
      </c>
      <c r="AZ135" s="2" t="str">
        <f t="shared" si="60"/>
        <v>EAST_MDB_5B_2\PI2</v>
      </c>
      <c r="BA135" s="2" t="str">
        <f t="shared" si="60"/>
        <v>EAST_MDB_5B_2\PI3</v>
      </c>
    </row>
    <row r="136" spans="1:53" x14ac:dyDescent="0.25">
      <c r="A136" s="3">
        <v>50</v>
      </c>
      <c r="B136" s="3" t="s">
        <v>336</v>
      </c>
      <c r="C136" s="3" t="s">
        <v>145</v>
      </c>
      <c r="D136" s="3" t="s">
        <v>330</v>
      </c>
      <c r="E136" s="4"/>
      <c r="F136" s="2" t="str">
        <f t="shared" si="57"/>
        <v>EAST_MDB_5B_3\ST</v>
      </c>
      <c r="G136" s="2" t="str">
        <f t="shared" si="57"/>
        <v>EAST_MDB_5B_3\TRIP</v>
      </c>
      <c r="H136" s="20"/>
      <c r="I136" s="20"/>
      <c r="J136" s="20"/>
      <c r="K136" s="20"/>
      <c r="L136" s="20"/>
      <c r="M136" s="20"/>
      <c r="N136" s="20"/>
      <c r="O136" s="20"/>
      <c r="P136" s="20"/>
      <c r="Q136" s="24"/>
      <c r="R136" s="2" t="str">
        <f t="shared" si="58"/>
        <v>EAST_MDB_5B_3\V12</v>
      </c>
      <c r="S136" s="2" t="str">
        <f t="shared" si="58"/>
        <v>EAST_MDB_5B_3\V23</v>
      </c>
      <c r="T136" s="2" t="str">
        <f t="shared" si="58"/>
        <v>EAST_MDB_5B_3\V31</v>
      </c>
      <c r="U136" s="2" t="str">
        <f t="shared" si="58"/>
        <v>EAST_MDB_5B_3\V1N</v>
      </c>
      <c r="V136" s="2" t="str">
        <f t="shared" si="58"/>
        <v>EAST_MDB_5B_3\V2N</v>
      </c>
      <c r="W136" s="2" t="str">
        <f t="shared" si="58"/>
        <v>EAST_MDB_5B_3\V3N</v>
      </c>
      <c r="X136" s="2" t="str">
        <f t="shared" si="58"/>
        <v>EAST_MDB_5B_3\VA</v>
      </c>
      <c r="Y136" s="2" t="str">
        <f t="shared" si="58"/>
        <v>EAST_MDB_5B_3\A1</v>
      </c>
      <c r="Z136" s="2" t="str">
        <f t="shared" si="58"/>
        <v>EAST_MDB_5B_3\A2</v>
      </c>
      <c r="AA136" s="2" t="str">
        <f t="shared" si="58"/>
        <v>EAST_MDB_5B_3\A3</v>
      </c>
      <c r="AB136" s="2" t="str">
        <f t="shared" si="58"/>
        <v>EAST_MDB_5B_3\AA</v>
      </c>
      <c r="AC136" s="2" t="str">
        <f t="shared" si="58"/>
        <v>EAST_MDB_5B_3\PF</v>
      </c>
      <c r="AD136" s="2" t="str">
        <f t="shared" si="58"/>
        <v>EAST_MDB_5B_3\HZ</v>
      </c>
      <c r="AE136" s="2" t="str">
        <f t="shared" si="58"/>
        <v>EAST_MDB_5B_3\KW</v>
      </c>
      <c r="AF136" s="2" t="str">
        <f t="shared" si="58"/>
        <v>EAST_MDB_5B_3\KHh</v>
      </c>
      <c r="AG136" s="2" t="str">
        <f t="shared" si="58"/>
        <v>EAST_MDB_5B_3\VA</v>
      </c>
      <c r="AH136" s="2" t="str">
        <f t="shared" si="58"/>
        <v>EAST_MDB_5B_3\VAH</v>
      </c>
      <c r="AI136" s="2" t="str">
        <f t="shared" si="58"/>
        <v>EAST_MDB_5B_3\PEAK</v>
      </c>
      <c r="AJ136" s="2" t="str">
        <f t="shared" si="59"/>
        <v>EAST_MDB_5B_3\H_A_1</v>
      </c>
      <c r="AK136" s="2" t="str">
        <f t="shared" si="59"/>
        <v>EAST_MDB_5B_3\H_A_3</v>
      </c>
      <c r="AL136" s="2" t="str">
        <f t="shared" si="59"/>
        <v>EAST_MDB_5B_3\H_A_5</v>
      </c>
      <c r="AM136" s="2" t="str">
        <f t="shared" si="59"/>
        <v>EAST_MDB_5B_3\H_A_7</v>
      </c>
      <c r="AN136" s="2" t="str">
        <f t="shared" si="59"/>
        <v>EAST_MDB_5B_3\H_B_1</v>
      </c>
      <c r="AO136" s="2" t="str">
        <f t="shared" si="59"/>
        <v>EAST_MDB_5B_3\H_B_3</v>
      </c>
      <c r="AP136" s="2" t="str">
        <f t="shared" si="59"/>
        <v>EAST_MDB_5B_3\H_B_5</v>
      </c>
      <c r="AQ136" s="2" t="str">
        <f t="shared" si="59"/>
        <v>EAST_MDB_5B_3\H_B_7</v>
      </c>
      <c r="AR136" s="2" t="str">
        <f t="shared" si="59"/>
        <v>EAST_MDB_5B_3\H_C_1</v>
      </c>
      <c r="AS136" s="2" t="str">
        <f t="shared" si="59"/>
        <v>EAST_MDB_5B_3\H_C_3</v>
      </c>
      <c r="AT136" s="2" t="str">
        <f t="shared" si="59"/>
        <v>EAST_MDB_5B_3\H_C_5</v>
      </c>
      <c r="AU136" s="2" t="str">
        <f t="shared" si="59"/>
        <v>EAST_MDB_5B_3\H_C_7</v>
      </c>
      <c r="AV136" s="2" t="str">
        <f t="shared" si="60"/>
        <v>EAST_MDB_5B_3\PV1</v>
      </c>
      <c r="AW136" s="2" t="str">
        <f t="shared" si="60"/>
        <v>EAST_MDB_5B_3\PV2</v>
      </c>
      <c r="AX136" s="2" t="str">
        <f t="shared" si="60"/>
        <v>EAST_MDB_5B_3\PV3</v>
      </c>
      <c r="AY136" s="2" t="str">
        <f t="shared" si="60"/>
        <v>EAST_MDB_5B_3\PI1</v>
      </c>
      <c r="AZ136" s="2" t="str">
        <f t="shared" si="60"/>
        <v>EAST_MDB_5B_3\PI2</v>
      </c>
      <c r="BA136" s="2" t="str">
        <f t="shared" si="60"/>
        <v>EAST_MDB_5B_3\PI3</v>
      </c>
    </row>
    <row r="137" spans="1:53" x14ac:dyDescent="0.25">
      <c r="A137" s="3">
        <v>51</v>
      </c>
      <c r="B137" s="3" t="s">
        <v>336</v>
      </c>
      <c r="C137" s="3" t="s">
        <v>146</v>
      </c>
      <c r="D137" s="3" t="s">
        <v>330</v>
      </c>
      <c r="E137" s="4"/>
      <c r="F137" s="2" t="str">
        <f t="shared" si="57"/>
        <v>EAST_MDB_5B_4\ST</v>
      </c>
      <c r="G137" s="2" t="str">
        <f t="shared" si="57"/>
        <v>EAST_MDB_5B_4\TRIP</v>
      </c>
      <c r="H137" s="20"/>
      <c r="I137" s="20"/>
      <c r="J137" s="20"/>
      <c r="K137" s="20"/>
      <c r="L137" s="20"/>
      <c r="M137" s="20"/>
      <c r="N137" s="20"/>
      <c r="O137" s="20"/>
      <c r="P137" s="20"/>
      <c r="Q137" s="24"/>
      <c r="R137" s="2" t="str">
        <f t="shared" si="58"/>
        <v>EAST_MDB_5B_4\V12</v>
      </c>
      <c r="S137" s="2" t="str">
        <f t="shared" si="58"/>
        <v>EAST_MDB_5B_4\V23</v>
      </c>
      <c r="T137" s="2" t="str">
        <f t="shared" si="58"/>
        <v>EAST_MDB_5B_4\V31</v>
      </c>
      <c r="U137" s="2" t="str">
        <f t="shared" si="58"/>
        <v>EAST_MDB_5B_4\V1N</v>
      </c>
      <c r="V137" s="2" t="str">
        <f t="shared" si="58"/>
        <v>EAST_MDB_5B_4\V2N</v>
      </c>
      <c r="W137" s="2" t="str">
        <f t="shared" si="58"/>
        <v>EAST_MDB_5B_4\V3N</v>
      </c>
      <c r="X137" s="2" t="str">
        <f t="shared" si="58"/>
        <v>EAST_MDB_5B_4\VA</v>
      </c>
      <c r="Y137" s="2" t="str">
        <f t="shared" si="58"/>
        <v>EAST_MDB_5B_4\A1</v>
      </c>
      <c r="Z137" s="2" t="str">
        <f t="shared" si="58"/>
        <v>EAST_MDB_5B_4\A2</v>
      </c>
      <c r="AA137" s="2" t="str">
        <f t="shared" si="58"/>
        <v>EAST_MDB_5B_4\A3</v>
      </c>
      <c r="AB137" s="2" t="str">
        <f t="shared" si="58"/>
        <v>EAST_MDB_5B_4\AA</v>
      </c>
      <c r="AC137" s="2" t="str">
        <f t="shared" si="58"/>
        <v>EAST_MDB_5B_4\PF</v>
      </c>
      <c r="AD137" s="2" t="str">
        <f t="shared" si="58"/>
        <v>EAST_MDB_5B_4\HZ</v>
      </c>
      <c r="AE137" s="2" t="str">
        <f t="shared" si="58"/>
        <v>EAST_MDB_5B_4\KW</v>
      </c>
      <c r="AF137" s="2" t="str">
        <f t="shared" si="58"/>
        <v>EAST_MDB_5B_4\KHh</v>
      </c>
      <c r="AG137" s="2" t="str">
        <f t="shared" si="58"/>
        <v>EAST_MDB_5B_4\VA</v>
      </c>
      <c r="AH137" s="2" t="str">
        <f t="shared" si="58"/>
        <v>EAST_MDB_5B_4\VAH</v>
      </c>
      <c r="AI137" s="2" t="str">
        <f t="shared" si="58"/>
        <v>EAST_MDB_5B_4\PEAK</v>
      </c>
      <c r="AJ137" s="2" t="str">
        <f t="shared" si="58"/>
        <v>EAST_MDB_5B_4\H_A_1</v>
      </c>
      <c r="AK137" s="2" t="str">
        <f t="shared" si="58"/>
        <v>EAST_MDB_5B_4\H_A_3</v>
      </c>
      <c r="AL137" s="2" t="str">
        <f t="shared" si="58"/>
        <v>EAST_MDB_5B_4\H_A_5</v>
      </c>
      <c r="AM137" s="2" t="str">
        <f t="shared" si="58"/>
        <v>EAST_MDB_5B_4\H_A_7</v>
      </c>
      <c r="AN137" s="2" t="str">
        <f t="shared" si="58"/>
        <v>EAST_MDB_5B_4\H_B_1</v>
      </c>
      <c r="AO137" s="2" t="str">
        <f t="shared" si="58"/>
        <v>EAST_MDB_5B_4\H_B_3</v>
      </c>
      <c r="AP137" s="2" t="str">
        <f t="shared" si="58"/>
        <v>EAST_MDB_5B_4\H_B_5</v>
      </c>
      <c r="AQ137" s="2" t="str">
        <f t="shared" si="58"/>
        <v>EAST_MDB_5B_4\H_B_7</v>
      </c>
      <c r="AR137" s="2" t="str">
        <f t="shared" si="58"/>
        <v>EAST_MDB_5B_4\H_C_1</v>
      </c>
      <c r="AS137" s="2" t="str">
        <f t="shared" si="58"/>
        <v>EAST_MDB_5B_4\H_C_3</v>
      </c>
      <c r="AT137" s="2" t="str">
        <f t="shared" si="58"/>
        <v>EAST_MDB_5B_4\H_C_5</v>
      </c>
      <c r="AU137" s="2" t="str">
        <f t="shared" si="58"/>
        <v>EAST_MDB_5B_4\H_C_7</v>
      </c>
      <c r="AV137" s="2" t="str">
        <f t="shared" si="60"/>
        <v>EAST_MDB_5B_4\PV1</v>
      </c>
      <c r="AW137" s="2" t="str">
        <f t="shared" si="60"/>
        <v>EAST_MDB_5B_4\PV2</v>
      </c>
      <c r="AX137" s="2" t="str">
        <f t="shared" si="60"/>
        <v>EAST_MDB_5B_4\PV3</v>
      </c>
      <c r="AY137" s="2" t="str">
        <f t="shared" si="60"/>
        <v>EAST_MDB_5B_4\PI1</v>
      </c>
      <c r="AZ137" s="2" t="str">
        <f t="shared" si="60"/>
        <v>EAST_MDB_5B_4\PI2</v>
      </c>
      <c r="BA137" s="2" t="str">
        <f t="shared" si="60"/>
        <v>EAST_MDB_5B_4\PI3</v>
      </c>
    </row>
    <row r="138" spans="1:53" x14ac:dyDescent="0.25">
      <c r="A138" s="3">
        <v>52</v>
      </c>
      <c r="B138" s="3" t="s">
        <v>336</v>
      </c>
      <c r="C138" s="3" t="s">
        <v>147</v>
      </c>
      <c r="D138" s="3" t="s">
        <v>330</v>
      </c>
      <c r="E138" s="4"/>
      <c r="F138" s="2" t="str">
        <f t="shared" si="57"/>
        <v>EAST_MDB_5B_5\ST</v>
      </c>
      <c r="G138" s="2" t="str">
        <f t="shared" si="57"/>
        <v>EAST_MDB_5B_5\TRIP</v>
      </c>
      <c r="H138" s="20"/>
      <c r="I138" s="20"/>
      <c r="J138" s="20"/>
      <c r="K138" s="20"/>
      <c r="L138" s="20"/>
      <c r="M138" s="20"/>
      <c r="N138" s="20"/>
      <c r="O138" s="20"/>
      <c r="P138" s="20"/>
      <c r="Q138" s="24"/>
      <c r="R138" s="2" t="str">
        <f t="shared" si="58"/>
        <v>EAST_MDB_5B_5\V12</v>
      </c>
      <c r="S138" s="2" t="str">
        <f t="shared" si="58"/>
        <v>EAST_MDB_5B_5\V23</v>
      </c>
      <c r="T138" s="2" t="str">
        <f t="shared" si="58"/>
        <v>EAST_MDB_5B_5\V31</v>
      </c>
      <c r="U138" s="2" t="str">
        <f t="shared" si="58"/>
        <v>EAST_MDB_5B_5\V1N</v>
      </c>
      <c r="V138" s="2" t="str">
        <f t="shared" si="58"/>
        <v>EAST_MDB_5B_5\V2N</v>
      </c>
      <c r="W138" s="2" t="str">
        <f t="shared" si="58"/>
        <v>EAST_MDB_5B_5\V3N</v>
      </c>
      <c r="X138" s="2" t="str">
        <f t="shared" si="58"/>
        <v>EAST_MDB_5B_5\VA</v>
      </c>
      <c r="Y138" s="2" t="str">
        <f t="shared" si="58"/>
        <v>EAST_MDB_5B_5\A1</v>
      </c>
      <c r="Z138" s="2" t="str">
        <f t="shared" si="58"/>
        <v>EAST_MDB_5B_5\A2</v>
      </c>
      <c r="AA138" s="2" t="str">
        <f t="shared" si="58"/>
        <v>EAST_MDB_5B_5\A3</v>
      </c>
      <c r="AB138" s="2" t="str">
        <f t="shared" si="58"/>
        <v>EAST_MDB_5B_5\AA</v>
      </c>
      <c r="AC138" s="2" t="str">
        <f t="shared" si="58"/>
        <v>EAST_MDB_5B_5\PF</v>
      </c>
      <c r="AD138" s="2" t="str">
        <f t="shared" si="58"/>
        <v>EAST_MDB_5B_5\HZ</v>
      </c>
      <c r="AE138" s="2" t="str">
        <f t="shared" si="58"/>
        <v>EAST_MDB_5B_5\KW</v>
      </c>
      <c r="AF138" s="2" t="str">
        <f t="shared" si="58"/>
        <v>EAST_MDB_5B_5\KHh</v>
      </c>
      <c r="AG138" s="2" t="str">
        <f t="shared" si="58"/>
        <v>EAST_MDB_5B_5\VA</v>
      </c>
      <c r="AH138" s="2" t="str">
        <f t="shared" si="58"/>
        <v>EAST_MDB_5B_5\VAH</v>
      </c>
      <c r="AI138" s="2" t="str">
        <f t="shared" si="58"/>
        <v>EAST_MDB_5B_5\PEAK</v>
      </c>
      <c r="AJ138" s="2" t="str">
        <f t="shared" si="58"/>
        <v>EAST_MDB_5B_5\H_A_1</v>
      </c>
      <c r="AK138" s="2" t="str">
        <f t="shared" si="58"/>
        <v>EAST_MDB_5B_5\H_A_3</v>
      </c>
      <c r="AL138" s="2" t="str">
        <f t="shared" si="58"/>
        <v>EAST_MDB_5B_5\H_A_5</v>
      </c>
      <c r="AM138" s="2" t="str">
        <f t="shared" ref="AJ138:AU145" si="61">$C138&amp;AM$7</f>
        <v>EAST_MDB_5B_5\H_A_7</v>
      </c>
      <c r="AN138" s="2" t="str">
        <f t="shared" si="61"/>
        <v>EAST_MDB_5B_5\H_B_1</v>
      </c>
      <c r="AO138" s="2" t="str">
        <f t="shared" si="61"/>
        <v>EAST_MDB_5B_5\H_B_3</v>
      </c>
      <c r="AP138" s="2" t="str">
        <f t="shared" si="61"/>
        <v>EAST_MDB_5B_5\H_B_5</v>
      </c>
      <c r="AQ138" s="2" t="str">
        <f t="shared" si="61"/>
        <v>EAST_MDB_5B_5\H_B_7</v>
      </c>
      <c r="AR138" s="2" t="str">
        <f t="shared" si="61"/>
        <v>EAST_MDB_5B_5\H_C_1</v>
      </c>
      <c r="AS138" s="2" t="str">
        <f t="shared" si="61"/>
        <v>EAST_MDB_5B_5\H_C_3</v>
      </c>
      <c r="AT138" s="2" t="str">
        <f t="shared" si="61"/>
        <v>EAST_MDB_5B_5\H_C_5</v>
      </c>
      <c r="AU138" s="2" t="str">
        <f t="shared" si="61"/>
        <v>EAST_MDB_5B_5\H_C_7</v>
      </c>
      <c r="AV138" s="2" t="str">
        <f t="shared" si="60"/>
        <v>EAST_MDB_5B_5\PV1</v>
      </c>
      <c r="AW138" s="2" t="str">
        <f t="shared" si="60"/>
        <v>EAST_MDB_5B_5\PV2</v>
      </c>
      <c r="AX138" s="2" t="str">
        <f t="shared" si="60"/>
        <v>EAST_MDB_5B_5\PV3</v>
      </c>
      <c r="AY138" s="2" t="str">
        <f t="shared" si="60"/>
        <v>EAST_MDB_5B_5\PI1</v>
      </c>
      <c r="AZ138" s="2" t="str">
        <f t="shared" si="60"/>
        <v>EAST_MDB_5B_5\PI2</v>
      </c>
      <c r="BA138" s="2" t="str">
        <f t="shared" si="60"/>
        <v>EAST_MDB_5B_5\PI3</v>
      </c>
    </row>
    <row r="139" spans="1:53" x14ac:dyDescent="0.25">
      <c r="A139" s="3">
        <v>53</v>
      </c>
      <c r="B139" s="3" t="s">
        <v>336</v>
      </c>
      <c r="C139" s="3" t="s">
        <v>148</v>
      </c>
      <c r="D139" s="3" t="s">
        <v>330</v>
      </c>
      <c r="E139" s="4"/>
      <c r="F139" s="2" t="str">
        <f t="shared" si="57"/>
        <v>EAST_MDB_5B_6\ST</v>
      </c>
      <c r="G139" s="2" t="str">
        <f t="shared" si="57"/>
        <v>EAST_MDB_5B_6\TRIP</v>
      </c>
      <c r="H139" s="20"/>
      <c r="I139" s="20"/>
      <c r="J139" s="20"/>
      <c r="K139" s="20"/>
      <c r="L139" s="20"/>
      <c r="M139" s="20"/>
      <c r="N139" s="20"/>
      <c r="O139" s="20"/>
      <c r="P139" s="20"/>
      <c r="Q139" s="24"/>
      <c r="R139" s="2" t="str">
        <f t="shared" si="58"/>
        <v>EAST_MDB_5B_6\V12</v>
      </c>
      <c r="S139" s="2" t="str">
        <f t="shared" si="58"/>
        <v>EAST_MDB_5B_6\V23</v>
      </c>
      <c r="T139" s="2" t="str">
        <f t="shared" si="58"/>
        <v>EAST_MDB_5B_6\V31</v>
      </c>
      <c r="U139" s="2" t="str">
        <f t="shared" si="58"/>
        <v>EAST_MDB_5B_6\V1N</v>
      </c>
      <c r="V139" s="2" t="str">
        <f t="shared" si="58"/>
        <v>EAST_MDB_5B_6\V2N</v>
      </c>
      <c r="W139" s="2" t="str">
        <f t="shared" si="58"/>
        <v>EAST_MDB_5B_6\V3N</v>
      </c>
      <c r="X139" s="2" t="str">
        <f t="shared" si="58"/>
        <v>EAST_MDB_5B_6\VA</v>
      </c>
      <c r="Y139" s="2" t="str">
        <f t="shared" si="58"/>
        <v>EAST_MDB_5B_6\A1</v>
      </c>
      <c r="Z139" s="2" t="str">
        <f t="shared" si="58"/>
        <v>EAST_MDB_5B_6\A2</v>
      </c>
      <c r="AA139" s="2" t="str">
        <f t="shared" si="58"/>
        <v>EAST_MDB_5B_6\A3</v>
      </c>
      <c r="AB139" s="2" t="str">
        <f t="shared" si="58"/>
        <v>EAST_MDB_5B_6\AA</v>
      </c>
      <c r="AC139" s="2" t="str">
        <f t="shared" si="58"/>
        <v>EAST_MDB_5B_6\PF</v>
      </c>
      <c r="AD139" s="2" t="str">
        <f t="shared" si="58"/>
        <v>EAST_MDB_5B_6\HZ</v>
      </c>
      <c r="AE139" s="2" t="str">
        <f t="shared" si="58"/>
        <v>EAST_MDB_5B_6\KW</v>
      </c>
      <c r="AF139" s="2" t="str">
        <f t="shared" si="58"/>
        <v>EAST_MDB_5B_6\KHh</v>
      </c>
      <c r="AG139" s="2" t="str">
        <f t="shared" si="58"/>
        <v>EAST_MDB_5B_6\VA</v>
      </c>
      <c r="AH139" s="2" t="str">
        <f t="shared" si="58"/>
        <v>EAST_MDB_5B_6\VAH</v>
      </c>
      <c r="AI139" s="2" t="str">
        <f t="shared" si="58"/>
        <v>EAST_MDB_5B_6\PEAK</v>
      </c>
      <c r="AJ139" s="2" t="str">
        <f t="shared" si="61"/>
        <v>EAST_MDB_5B_6\H_A_1</v>
      </c>
      <c r="AK139" s="2" t="str">
        <f t="shared" si="61"/>
        <v>EAST_MDB_5B_6\H_A_3</v>
      </c>
      <c r="AL139" s="2" t="str">
        <f t="shared" si="61"/>
        <v>EAST_MDB_5B_6\H_A_5</v>
      </c>
      <c r="AM139" s="2" t="str">
        <f t="shared" si="61"/>
        <v>EAST_MDB_5B_6\H_A_7</v>
      </c>
      <c r="AN139" s="2" t="str">
        <f t="shared" si="61"/>
        <v>EAST_MDB_5B_6\H_B_1</v>
      </c>
      <c r="AO139" s="2" t="str">
        <f t="shared" si="61"/>
        <v>EAST_MDB_5B_6\H_B_3</v>
      </c>
      <c r="AP139" s="2" t="str">
        <f t="shared" si="61"/>
        <v>EAST_MDB_5B_6\H_B_5</v>
      </c>
      <c r="AQ139" s="2" t="str">
        <f t="shared" si="61"/>
        <v>EAST_MDB_5B_6\H_B_7</v>
      </c>
      <c r="AR139" s="2" t="str">
        <f t="shared" si="61"/>
        <v>EAST_MDB_5B_6\H_C_1</v>
      </c>
      <c r="AS139" s="2" t="str">
        <f t="shared" si="61"/>
        <v>EAST_MDB_5B_6\H_C_3</v>
      </c>
      <c r="AT139" s="2" t="str">
        <f t="shared" si="61"/>
        <v>EAST_MDB_5B_6\H_C_5</v>
      </c>
      <c r="AU139" s="2" t="str">
        <f t="shared" si="61"/>
        <v>EAST_MDB_5B_6\H_C_7</v>
      </c>
      <c r="AV139" s="2" t="str">
        <f t="shared" si="60"/>
        <v>EAST_MDB_5B_6\PV1</v>
      </c>
      <c r="AW139" s="2" t="str">
        <f t="shared" si="60"/>
        <v>EAST_MDB_5B_6\PV2</v>
      </c>
      <c r="AX139" s="2" t="str">
        <f t="shared" si="60"/>
        <v>EAST_MDB_5B_6\PV3</v>
      </c>
      <c r="AY139" s="2" t="str">
        <f t="shared" si="60"/>
        <v>EAST_MDB_5B_6\PI1</v>
      </c>
      <c r="AZ139" s="2" t="str">
        <f t="shared" si="60"/>
        <v>EAST_MDB_5B_6\PI2</v>
      </c>
      <c r="BA139" s="2" t="str">
        <f t="shared" si="60"/>
        <v>EAST_MDB_5B_6\PI3</v>
      </c>
    </row>
    <row r="140" spans="1:53" x14ac:dyDescent="0.25">
      <c r="A140" s="3">
        <v>54</v>
      </c>
      <c r="B140" s="3" t="s">
        <v>336</v>
      </c>
      <c r="C140" s="3" t="s">
        <v>149</v>
      </c>
      <c r="D140" s="3" t="s">
        <v>330</v>
      </c>
      <c r="E140" s="4"/>
      <c r="F140" s="2" t="str">
        <f t="shared" si="57"/>
        <v>EAST_MDB_5B_7\ST</v>
      </c>
      <c r="G140" s="2" t="str">
        <f t="shared" si="57"/>
        <v>EAST_MDB_5B_7\TRIP</v>
      </c>
      <c r="H140" s="20"/>
      <c r="I140" s="20"/>
      <c r="J140" s="20"/>
      <c r="K140" s="20"/>
      <c r="L140" s="20"/>
      <c r="M140" s="20"/>
      <c r="N140" s="20"/>
      <c r="O140" s="20"/>
      <c r="P140" s="20"/>
      <c r="Q140" s="24"/>
      <c r="R140" s="2" t="str">
        <f t="shared" si="58"/>
        <v>EAST_MDB_5B_7\V12</v>
      </c>
      <c r="S140" s="2" t="str">
        <f t="shared" si="58"/>
        <v>EAST_MDB_5B_7\V23</v>
      </c>
      <c r="T140" s="2" t="str">
        <f t="shared" si="58"/>
        <v>EAST_MDB_5B_7\V31</v>
      </c>
      <c r="U140" s="2" t="str">
        <f t="shared" si="58"/>
        <v>EAST_MDB_5B_7\V1N</v>
      </c>
      <c r="V140" s="2" t="str">
        <f t="shared" si="58"/>
        <v>EAST_MDB_5B_7\V2N</v>
      </c>
      <c r="W140" s="2" t="str">
        <f t="shared" si="58"/>
        <v>EAST_MDB_5B_7\V3N</v>
      </c>
      <c r="X140" s="2" t="str">
        <f t="shared" si="58"/>
        <v>EAST_MDB_5B_7\VA</v>
      </c>
      <c r="Y140" s="2" t="str">
        <f t="shared" si="58"/>
        <v>EAST_MDB_5B_7\A1</v>
      </c>
      <c r="Z140" s="2" t="str">
        <f t="shared" si="58"/>
        <v>EAST_MDB_5B_7\A2</v>
      </c>
      <c r="AA140" s="2" t="str">
        <f t="shared" si="58"/>
        <v>EAST_MDB_5B_7\A3</v>
      </c>
      <c r="AB140" s="2" t="str">
        <f t="shared" si="58"/>
        <v>EAST_MDB_5B_7\AA</v>
      </c>
      <c r="AC140" s="2" t="str">
        <f t="shared" si="58"/>
        <v>EAST_MDB_5B_7\PF</v>
      </c>
      <c r="AD140" s="2" t="str">
        <f t="shared" si="58"/>
        <v>EAST_MDB_5B_7\HZ</v>
      </c>
      <c r="AE140" s="2" t="str">
        <f t="shared" si="58"/>
        <v>EAST_MDB_5B_7\KW</v>
      </c>
      <c r="AF140" s="2" t="str">
        <f t="shared" si="58"/>
        <v>EAST_MDB_5B_7\KHh</v>
      </c>
      <c r="AG140" s="2" t="str">
        <f t="shared" si="58"/>
        <v>EAST_MDB_5B_7\VA</v>
      </c>
      <c r="AH140" s="2" t="str">
        <f t="shared" si="58"/>
        <v>EAST_MDB_5B_7\VAH</v>
      </c>
      <c r="AI140" s="2" t="str">
        <f t="shared" si="58"/>
        <v>EAST_MDB_5B_7\PEAK</v>
      </c>
      <c r="AJ140" s="2" t="str">
        <f t="shared" si="61"/>
        <v>EAST_MDB_5B_7\H_A_1</v>
      </c>
      <c r="AK140" s="2" t="str">
        <f t="shared" si="61"/>
        <v>EAST_MDB_5B_7\H_A_3</v>
      </c>
      <c r="AL140" s="2" t="str">
        <f t="shared" si="61"/>
        <v>EAST_MDB_5B_7\H_A_5</v>
      </c>
      <c r="AM140" s="2" t="str">
        <f t="shared" si="61"/>
        <v>EAST_MDB_5B_7\H_A_7</v>
      </c>
      <c r="AN140" s="2" t="str">
        <f t="shared" si="61"/>
        <v>EAST_MDB_5B_7\H_B_1</v>
      </c>
      <c r="AO140" s="2" t="str">
        <f t="shared" si="61"/>
        <v>EAST_MDB_5B_7\H_B_3</v>
      </c>
      <c r="AP140" s="2" t="str">
        <f t="shared" si="61"/>
        <v>EAST_MDB_5B_7\H_B_5</v>
      </c>
      <c r="AQ140" s="2" t="str">
        <f t="shared" si="61"/>
        <v>EAST_MDB_5B_7\H_B_7</v>
      </c>
      <c r="AR140" s="2" t="str">
        <f t="shared" si="61"/>
        <v>EAST_MDB_5B_7\H_C_1</v>
      </c>
      <c r="AS140" s="2" t="str">
        <f t="shared" si="61"/>
        <v>EAST_MDB_5B_7\H_C_3</v>
      </c>
      <c r="AT140" s="2" t="str">
        <f t="shared" si="61"/>
        <v>EAST_MDB_5B_7\H_C_5</v>
      </c>
      <c r="AU140" s="2" t="str">
        <f t="shared" si="61"/>
        <v>EAST_MDB_5B_7\H_C_7</v>
      </c>
      <c r="AV140" s="2" t="str">
        <f t="shared" si="60"/>
        <v>EAST_MDB_5B_7\PV1</v>
      </c>
      <c r="AW140" s="2" t="str">
        <f t="shared" si="60"/>
        <v>EAST_MDB_5B_7\PV2</v>
      </c>
      <c r="AX140" s="2" t="str">
        <f t="shared" si="60"/>
        <v>EAST_MDB_5B_7\PV3</v>
      </c>
      <c r="AY140" s="2" t="str">
        <f t="shared" si="60"/>
        <v>EAST_MDB_5B_7\PI1</v>
      </c>
      <c r="AZ140" s="2" t="str">
        <f t="shared" si="60"/>
        <v>EAST_MDB_5B_7\PI2</v>
      </c>
      <c r="BA140" s="2" t="str">
        <f t="shared" si="60"/>
        <v>EAST_MDB_5B_7\PI3</v>
      </c>
    </row>
    <row r="141" spans="1:53" x14ac:dyDescent="0.25">
      <c r="A141" s="3">
        <v>55</v>
      </c>
      <c r="B141" s="3" t="s">
        <v>336</v>
      </c>
      <c r="C141" s="3" t="s">
        <v>150</v>
      </c>
      <c r="D141" s="3" t="s">
        <v>330</v>
      </c>
      <c r="E141" s="4"/>
      <c r="F141" s="2" t="str">
        <f t="shared" si="57"/>
        <v>EAST_MDB_5B_8\ST</v>
      </c>
      <c r="G141" s="2" t="str">
        <f t="shared" si="57"/>
        <v>EAST_MDB_5B_8\TRIP</v>
      </c>
      <c r="H141" s="20"/>
      <c r="I141" s="20"/>
      <c r="J141" s="20"/>
      <c r="K141" s="20"/>
      <c r="L141" s="20"/>
      <c r="M141" s="20"/>
      <c r="N141" s="20"/>
      <c r="O141" s="20"/>
      <c r="P141" s="20"/>
      <c r="Q141" s="24"/>
      <c r="R141" s="2" t="str">
        <f t="shared" si="58"/>
        <v>EAST_MDB_5B_8\V12</v>
      </c>
      <c r="S141" s="2" t="str">
        <f t="shared" si="58"/>
        <v>EAST_MDB_5B_8\V23</v>
      </c>
      <c r="T141" s="2" t="str">
        <f t="shared" si="58"/>
        <v>EAST_MDB_5B_8\V31</v>
      </c>
      <c r="U141" s="2" t="str">
        <f t="shared" si="58"/>
        <v>EAST_MDB_5B_8\V1N</v>
      </c>
      <c r="V141" s="2" t="str">
        <f t="shared" si="58"/>
        <v>EAST_MDB_5B_8\V2N</v>
      </c>
      <c r="W141" s="2" t="str">
        <f t="shared" si="58"/>
        <v>EAST_MDB_5B_8\V3N</v>
      </c>
      <c r="X141" s="2" t="str">
        <f t="shared" si="58"/>
        <v>EAST_MDB_5B_8\VA</v>
      </c>
      <c r="Y141" s="2" t="str">
        <f t="shared" si="58"/>
        <v>EAST_MDB_5B_8\A1</v>
      </c>
      <c r="Z141" s="2" t="str">
        <f t="shared" si="58"/>
        <v>EAST_MDB_5B_8\A2</v>
      </c>
      <c r="AA141" s="2" t="str">
        <f t="shared" si="58"/>
        <v>EAST_MDB_5B_8\A3</v>
      </c>
      <c r="AB141" s="2" t="str">
        <f t="shared" si="58"/>
        <v>EAST_MDB_5B_8\AA</v>
      </c>
      <c r="AC141" s="2" t="str">
        <f t="shared" si="58"/>
        <v>EAST_MDB_5B_8\PF</v>
      </c>
      <c r="AD141" s="2" t="str">
        <f t="shared" si="58"/>
        <v>EAST_MDB_5B_8\HZ</v>
      </c>
      <c r="AE141" s="2" t="str">
        <f t="shared" si="58"/>
        <v>EAST_MDB_5B_8\KW</v>
      </c>
      <c r="AF141" s="2" t="str">
        <f t="shared" si="58"/>
        <v>EAST_MDB_5B_8\KHh</v>
      </c>
      <c r="AG141" s="2" t="str">
        <f t="shared" si="58"/>
        <v>EAST_MDB_5B_8\VA</v>
      </c>
      <c r="AH141" s="2" t="str">
        <f t="shared" si="58"/>
        <v>EAST_MDB_5B_8\VAH</v>
      </c>
      <c r="AI141" s="2" t="str">
        <f t="shared" si="58"/>
        <v>EAST_MDB_5B_8\PEAK</v>
      </c>
      <c r="AJ141" s="2" t="str">
        <f t="shared" si="61"/>
        <v>EAST_MDB_5B_8\H_A_1</v>
      </c>
      <c r="AK141" s="2" t="str">
        <f t="shared" si="61"/>
        <v>EAST_MDB_5B_8\H_A_3</v>
      </c>
      <c r="AL141" s="2" t="str">
        <f t="shared" si="61"/>
        <v>EAST_MDB_5B_8\H_A_5</v>
      </c>
      <c r="AM141" s="2" t="str">
        <f t="shared" si="61"/>
        <v>EAST_MDB_5B_8\H_A_7</v>
      </c>
      <c r="AN141" s="2" t="str">
        <f t="shared" si="61"/>
        <v>EAST_MDB_5B_8\H_B_1</v>
      </c>
      <c r="AO141" s="2" t="str">
        <f t="shared" si="61"/>
        <v>EAST_MDB_5B_8\H_B_3</v>
      </c>
      <c r="AP141" s="2" t="str">
        <f t="shared" si="61"/>
        <v>EAST_MDB_5B_8\H_B_5</v>
      </c>
      <c r="AQ141" s="2" t="str">
        <f t="shared" si="61"/>
        <v>EAST_MDB_5B_8\H_B_7</v>
      </c>
      <c r="AR141" s="2" t="str">
        <f t="shared" si="61"/>
        <v>EAST_MDB_5B_8\H_C_1</v>
      </c>
      <c r="AS141" s="2" t="str">
        <f t="shared" si="61"/>
        <v>EAST_MDB_5B_8\H_C_3</v>
      </c>
      <c r="AT141" s="2" t="str">
        <f t="shared" si="61"/>
        <v>EAST_MDB_5B_8\H_C_5</v>
      </c>
      <c r="AU141" s="2" t="str">
        <f t="shared" si="61"/>
        <v>EAST_MDB_5B_8\H_C_7</v>
      </c>
      <c r="AV141" s="2" t="str">
        <f t="shared" si="60"/>
        <v>EAST_MDB_5B_8\PV1</v>
      </c>
      <c r="AW141" s="2" t="str">
        <f t="shared" si="60"/>
        <v>EAST_MDB_5B_8\PV2</v>
      </c>
      <c r="AX141" s="2" t="str">
        <f t="shared" si="60"/>
        <v>EAST_MDB_5B_8\PV3</v>
      </c>
      <c r="AY141" s="2" t="str">
        <f t="shared" si="60"/>
        <v>EAST_MDB_5B_8\PI1</v>
      </c>
      <c r="AZ141" s="2" t="str">
        <f t="shared" si="60"/>
        <v>EAST_MDB_5B_8\PI2</v>
      </c>
      <c r="BA141" s="2" t="str">
        <f t="shared" si="60"/>
        <v>EAST_MDB_5B_8\PI3</v>
      </c>
    </row>
    <row r="142" spans="1:53" x14ac:dyDescent="0.25">
      <c r="A142" s="3">
        <v>56</v>
      </c>
      <c r="B142" s="3" t="s">
        <v>336</v>
      </c>
      <c r="C142" s="3" t="s">
        <v>151</v>
      </c>
      <c r="D142" s="3" t="s">
        <v>330</v>
      </c>
      <c r="E142" s="4"/>
      <c r="F142" s="2" t="str">
        <f t="shared" si="57"/>
        <v>EAST_MDB_5B_9\ST</v>
      </c>
      <c r="G142" s="2" t="str">
        <f t="shared" si="57"/>
        <v>EAST_MDB_5B_9\TRIP</v>
      </c>
      <c r="H142" s="20"/>
      <c r="I142" s="20"/>
      <c r="J142" s="20"/>
      <c r="K142" s="20"/>
      <c r="L142" s="20"/>
      <c r="M142" s="20"/>
      <c r="N142" s="20"/>
      <c r="O142" s="20"/>
      <c r="P142" s="20"/>
      <c r="Q142" s="24"/>
      <c r="R142" s="2" t="str">
        <f t="shared" si="58"/>
        <v>EAST_MDB_5B_9\V12</v>
      </c>
      <c r="S142" s="2" t="str">
        <f t="shared" si="58"/>
        <v>EAST_MDB_5B_9\V23</v>
      </c>
      <c r="T142" s="2" t="str">
        <f t="shared" si="58"/>
        <v>EAST_MDB_5B_9\V31</v>
      </c>
      <c r="U142" s="2" t="str">
        <f t="shared" si="58"/>
        <v>EAST_MDB_5B_9\V1N</v>
      </c>
      <c r="V142" s="2" t="str">
        <f t="shared" si="58"/>
        <v>EAST_MDB_5B_9\V2N</v>
      </c>
      <c r="W142" s="2" t="str">
        <f t="shared" si="58"/>
        <v>EAST_MDB_5B_9\V3N</v>
      </c>
      <c r="X142" s="2" t="str">
        <f t="shared" si="58"/>
        <v>EAST_MDB_5B_9\VA</v>
      </c>
      <c r="Y142" s="2" t="str">
        <f t="shared" si="58"/>
        <v>EAST_MDB_5B_9\A1</v>
      </c>
      <c r="Z142" s="2" t="str">
        <f t="shared" si="58"/>
        <v>EAST_MDB_5B_9\A2</v>
      </c>
      <c r="AA142" s="2" t="str">
        <f t="shared" si="58"/>
        <v>EAST_MDB_5B_9\A3</v>
      </c>
      <c r="AB142" s="2" t="str">
        <f t="shared" si="58"/>
        <v>EAST_MDB_5B_9\AA</v>
      </c>
      <c r="AC142" s="2" t="str">
        <f t="shared" si="58"/>
        <v>EAST_MDB_5B_9\PF</v>
      </c>
      <c r="AD142" s="2" t="str">
        <f t="shared" si="58"/>
        <v>EAST_MDB_5B_9\HZ</v>
      </c>
      <c r="AE142" s="2" t="str">
        <f t="shared" si="58"/>
        <v>EAST_MDB_5B_9\KW</v>
      </c>
      <c r="AF142" s="2" t="str">
        <f t="shared" si="58"/>
        <v>EAST_MDB_5B_9\KHh</v>
      </c>
      <c r="AG142" s="2" t="str">
        <f t="shared" si="58"/>
        <v>EAST_MDB_5B_9\VA</v>
      </c>
      <c r="AH142" s="2" t="str">
        <f t="shared" si="58"/>
        <v>EAST_MDB_5B_9\VAH</v>
      </c>
      <c r="AI142" s="2" t="str">
        <f t="shared" si="58"/>
        <v>EAST_MDB_5B_9\PEAK</v>
      </c>
      <c r="AJ142" s="2" t="str">
        <f t="shared" si="61"/>
        <v>EAST_MDB_5B_9\H_A_1</v>
      </c>
      <c r="AK142" s="2" t="str">
        <f t="shared" si="61"/>
        <v>EAST_MDB_5B_9\H_A_3</v>
      </c>
      <c r="AL142" s="2" t="str">
        <f t="shared" si="61"/>
        <v>EAST_MDB_5B_9\H_A_5</v>
      </c>
      <c r="AM142" s="2" t="str">
        <f t="shared" si="61"/>
        <v>EAST_MDB_5B_9\H_A_7</v>
      </c>
      <c r="AN142" s="2" t="str">
        <f t="shared" si="61"/>
        <v>EAST_MDB_5B_9\H_B_1</v>
      </c>
      <c r="AO142" s="2" t="str">
        <f t="shared" si="61"/>
        <v>EAST_MDB_5B_9\H_B_3</v>
      </c>
      <c r="AP142" s="2" t="str">
        <f t="shared" si="61"/>
        <v>EAST_MDB_5B_9\H_B_5</v>
      </c>
      <c r="AQ142" s="2" t="str">
        <f t="shared" si="61"/>
        <v>EAST_MDB_5B_9\H_B_7</v>
      </c>
      <c r="AR142" s="2" t="str">
        <f t="shared" si="61"/>
        <v>EAST_MDB_5B_9\H_C_1</v>
      </c>
      <c r="AS142" s="2" t="str">
        <f t="shared" si="61"/>
        <v>EAST_MDB_5B_9\H_C_3</v>
      </c>
      <c r="AT142" s="2" t="str">
        <f t="shared" si="61"/>
        <v>EAST_MDB_5B_9\H_C_5</v>
      </c>
      <c r="AU142" s="2" t="str">
        <f t="shared" si="61"/>
        <v>EAST_MDB_5B_9\H_C_7</v>
      </c>
      <c r="AV142" s="2" t="str">
        <f t="shared" si="60"/>
        <v>EAST_MDB_5B_9\PV1</v>
      </c>
      <c r="AW142" s="2" t="str">
        <f t="shared" si="60"/>
        <v>EAST_MDB_5B_9\PV2</v>
      </c>
      <c r="AX142" s="2" t="str">
        <f t="shared" si="60"/>
        <v>EAST_MDB_5B_9\PV3</v>
      </c>
      <c r="AY142" s="2" t="str">
        <f t="shared" si="60"/>
        <v>EAST_MDB_5B_9\PI1</v>
      </c>
      <c r="AZ142" s="2" t="str">
        <f t="shared" si="60"/>
        <v>EAST_MDB_5B_9\PI2</v>
      </c>
      <c r="BA142" s="2" t="str">
        <f t="shared" si="60"/>
        <v>EAST_MDB_5B_9\PI3</v>
      </c>
    </row>
    <row r="143" spans="1:53" x14ac:dyDescent="0.25">
      <c r="A143" s="3">
        <v>57</v>
      </c>
      <c r="B143" s="3" t="s">
        <v>336</v>
      </c>
      <c r="C143" s="3" t="s">
        <v>152</v>
      </c>
      <c r="D143" s="3" t="s">
        <v>330</v>
      </c>
      <c r="E143" s="4"/>
      <c r="F143" s="2" t="str">
        <f t="shared" si="57"/>
        <v>EAST_MDB_5B_10\ST</v>
      </c>
      <c r="G143" s="2" t="str">
        <f t="shared" si="57"/>
        <v>EAST_MDB_5B_10\TRIP</v>
      </c>
      <c r="H143" s="20"/>
      <c r="I143" s="20"/>
      <c r="J143" s="20"/>
      <c r="K143" s="20"/>
      <c r="L143" s="20"/>
      <c r="M143" s="20"/>
      <c r="N143" s="20"/>
      <c r="O143" s="20"/>
      <c r="P143" s="20"/>
      <c r="Q143" s="24"/>
      <c r="R143" s="2" t="str">
        <f t="shared" si="58"/>
        <v>EAST_MDB_5B_10\V12</v>
      </c>
      <c r="S143" s="2" t="str">
        <f t="shared" si="58"/>
        <v>EAST_MDB_5B_10\V23</v>
      </c>
      <c r="T143" s="2" t="str">
        <f t="shared" si="58"/>
        <v>EAST_MDB_5B_10\V31</v>
      </c>
      <c r="U143" s="2" t="str">
        <f t="shared" si="58"/>
        <v>EAST_MDB_5B_10\V1N</v>
      </c>
      <c r="V143" s="2" t="str">
        <f t="shared" si="58"/>
        <v>EAST_MDB_5B_10\V2N</v>
      </c>
      <c r="W143" s="2" t="str">
        <f t="shared" si="58"/>
        <v>EAST_MDB_5B_10\V3N</v>
      </c>
      <c r="X143" s="2" t="str">
        <f t="shared" si="58"/>
        <v>EAST_MDB_5B_10\VA</v>
      </c>
      <c r="Y143" s="2" t="str">
        <f t="shared" si="58"/>
        <v>EAST_MDB_5B_10\A1</v>
      </c>
      <c r="Z143" s="2" t="str">
        <f t="shared" si="58"/>
        <v>EAST_MDB_5B_10\A2</v>
      </c>
      <c r="AA143" s="2" t="str">
        <f t="shared" si="58"/>
        <v>EAST_MDB_5B_10\A3</v>
      </c>
      <c r="AB143" s="2" t="str">
        <f t="shared" si="58"/>
        <v>EAST_MDB_5B_10\AA</v>
      </c>
      <c r="AC143" s="2" t="str">
        <f t="shared" si="58"/>
        <v>EAST_MDB_5B_10\PF</v>
      </c>
      <c r="AD143" s="2" t="str">
        <f t="shared" si="58"/>
        <v>EAST_MDB_5B_10\HZ</v>
      </c>
      <c r="AE143" s="2" t="str">
        <f t="shared" si="58"/>
        <v>EAST_MDB_5B_10\KW</v>
      </c>
      <c r="AF143" s="2" t="str">
        <f t="shared" si="58"/>
        <v>EAST_MDB_5B_10\KHh</v>
      </c>
      <c r="AG143" s="2" t="str">
        <f t="shared" si="58"/>
        <v>EAST_MDB_5B_10\VA</v>
      </c>
      <c r="AH143" s="2" t="str">
        <f t="shared" si="58"/>
        <v>EAST_MDB_5B_10\VAH</v>
      </c>
      <c r="AI143" s="2" t="str">
        <f t="shared" si="58"/>
        <v>EAST_MDB_5B_10\PEAK</v>
      </c>
      <c r="AJ143" s="2" t="str">
        <f t="shared" si="61"/>
        <v>EAST_MDB_5B_10\H_A_1</v>
      </c>
      <c r="AK143" s="2" t="str">
        <f t="shared" si="61"/>
        <v>EAST_MDB_5B_10\H_A_3</v>
      </c>
      <c r="AL143" s="2" t="str">
        <f t="shared" si="61"/>
        <v>EAST_MDB_5B_10\H_A_5</v>
      </c>
      <c r="AM143" s="2" t="str">
        <f t="shared" si="61"/>
        <v>EAST_MDB_5B_10\H_A_7</v>
      </c>
      <c r="AN143" s="2" t="str">
        <f t="shared" si="61"/>
        <v>EAST_MDB_5B_10\H_B_1</v>
      </c>
      <c r="AO143" s="2" t="str">
        <f t="shared" si="61"/>
        <v>EAST_MDB_5B_10\H_B_3</v>
      </c>
      <c r="AP143" s="2" t="str">
        <f t="shared" si="61"/>
        <v>EAST_MDB_5B_10\H_B_5</v>
      </c>
      <c r="AQ143" s="2" t="str">
        <f t="shared" si="61"/>
        <v>EAST_MDB_5B_10\H_B_7</v>
      </c>
      <c r="AR143" s="2" t="str">
        <f t="shared" si="61"/>
        <v>EAST_MDB_5B_10\H_C_1</v>
      </c>
      <c r="AS143" s="2" t="str">
        <f t="shared" si="61"/>
        <v>EAST_MDB_5B_10\H_C_3</v>
      </c>
      <c r="AT143" s="2" t="str">
        <f t="shared" si="61"/>
        <v>EAST_MDB_5B_10\H_C_5</v>
      </c>
      <c r="AU143" s="2" t="str">
        <f t="shared" si="61"/>
        <v>EAST_MDB_5B_10\H_C_7</v>
      </c>
      <c r="AV143" s="2" t="str">
        <f t="shared" si="60"/>
        <v>EAST_MDB_5B_10\PV1</v>
      </c>
      <c r="AW143" s="2" t="str">
        <f t="shared" si="60"/>
        <v>EAST_MDB_5B_10\PV2</v>
      </c>
      <c r="AX143" s="2" t="str">
        <f t="shared" si="60"/>
        <v>EAST_MDB_5B_10\PV3</v>
      </c>
      <c r="AY143" s="2" t="str">
        <f t="shared" si="60"/>
        <v>EAST_MDB_5B_10\PI1</v>
      </c>
      <c r="AZ143" s="2" t="str">
        <f t="shared" si="60"/>
        <v>EAST_MDB_5B_10\PI2</v>
      </c>
      <c r="BA143" s="2" t="str">
        <f t="shared" si="60"/>
        <v>EAST_MDB_5B_10\PI3</v>
      </c>
    </row>
    <row r="144" spans="1:53" x14ac:dyDescent="0.25">
      <c r="A144" s="3">
        <v>58</v>
      </c>
      <c r="B144" s="3" t="s">
        <v>336</v>
      </c>
      <c r="C144" s="3" t="s">
        <v>153</v>
      </c>
      <c r="D144" s="3" t="s">
        <v>330</v>
      </c>
      <c r="E144" s="4"/>
      <c r="F144" s="2" t="str">
        <f t="shared" si="57"/>
        <v>EAST_MDB_5B_11\ST</v>
      </c>
      <c r="G144" s="2" t="str">
        <f t="shared" si="57"/>
        <v>EAST_MDB_5B_11\TRIP</v>
      </c>
      <c r="H144" s="20"/>
      <c r="I144" s="20"/>
      <c r="J144" s="20"/>
      <c r="K144" s="20"/>
      <c r="L144" s="20"/>
      <c r="M144" s="20"/>
      <c r="N144" s="20"/>
      <c r="O144" s="20"/>
      <c r="P144" s="20"/>
      <c r="Q144" s="24"/>
      <c r="R144" s="2" t="str">
        <f t="shared" si="58"/>
        <v>EAST_MDB_5B_11\V12</v>
      </c>
      <c r="S144" s="2" t="str">
        <f t="shared" si="58"/>
        <v>EAST_MDB_5B_11\V23</v>
      </c>
      <c r="T144" s="2" t="str">
        <f t="shared" si="58"/>
        <v>EAST_MDB_5B_11\V31</v>
      </c>
      <c r="U144" s="2" t="str">
        <f t="shared" si="58"/>
        <v>EAST_MDB_5B_11\V1N</v>
      </c>
      <c r="V144" s="2" t="str">
        <f t="shared" si="58"/>
        <v>EAST_MDB_5B_11\V2N</v>
      </c>
      <c r="W144" s="2" t="str">
        <f t="shared" si="58"/>
        <v>EAST_MDB_5B_11\V3N</v>
      </c>
      <c r="X144" s="2" t="str">
        <f t="shared" si="58"/>
        <v>EAST_MDB_5B_11\VA</v>
      </c>
      <c r="Y144" s="2" t="str">
        <f t="shared" si="58"/>
        <v>EAST_MDB_5B_11\A1</v>
      </c>
      <c r="Z144" s="2" t="str">
        <f t="shared" si="58"/>
        <v>EAST_MDB_5B_11\A2</v>
      </c>
      <c r="AA144" s="2" t="str">
        <f t="shared" si="58"/>
        <v>EAST_MDB_5B_11\A3</v>
      </c>
      <c r="AB144" s="2" t="str">
        <f t="shared" si="58"/>
        <v>EAST_MDB_5B_11\AA</v>
      </c>
      <c r="AC144" s="2" t="str">
        <f t="shared" si="58"/>
        <v>EAST_MDB_5B_11\PF</v>
      </c>
      <c r="AD144" s="2" t="str">
        <f t="shared" si="58"/>
        <v>EAST_MDB_5B_11\HZ</v>
      </c>
      <c r="AE144" s="2" t="str">
        <f t="shared" si="58"/>
        <v>EAST_MDB_5B_11\KW</v>
      </c>
      <c r="AF144" s="2" t="str">
        <f t="shared" si="58"/>
        <v>EAST_MDB_5B_11\KHh</v>
      </c>
      <c r="AG144" s="2" t="str">
        <f t="shared" si="58"/>
        <v>EAST_MDB_5B_11\VA</v>
      </c>
      <c r="AH144" s="2" t="str">
        <f t="shared" si="58"/>
        <v>EAST_MDB_5B_11\VAH</v>
      </c>
      <c r="AI144" s="2" t="str">
        <f t="shared" si="58"/>
        <v>EAST_MDB_5B_11\PEAK</v>
      </c>
      <c r="AJ144" s="2" t="str">
        <f t="shared" si="61"/>
        <v>EAST_MDB_5B_11\H_A_1</v>
      </c>
      <c r="AK144" s="2" t="str">
        <f t="shared" si="61"/>
        <v>EAST_MDB_5B_11\H_A_3</v>
      </c>
      <c r="AL144" s="2" t="str">
        <f t="shared" si="61"/>
        <v>EAST_MDB_5B_11\H_A_5</v>
      </c>
      <c r="AM144" s="2" t="str">
        <f t="shared" si="61"/>
        <v>EAST_MDB_5B_11\H_A_7</v>
      </c>
      <c r="AN144" s="2" t="str">
        <f t="shared" si="61"/>
        <v>EAST_MDB_5B_11\H_B_1</v>
      </c>
      <c r="AO144" s="2" t="str">
        <f t="shared" si="61"/>
        <v>EAST_MDB_5B_11\H_B_3</v>
      </c>
      <c r="AP144" s="2" t="str">
        <f t="shared" si="61"/>
        <v>EAST_MDB_5B_11\H_B_5</v>
      </c>
      <c r="AQ144" s="2" t="str">
        <f t="shared" si="61"/>
        <v>EAST_MDB_5B_11\H_B_7</v>
      </c>
      <c r="AR144" s="2" t="str">
        <f t="shared" si="61"/>
        <v>EAST_MDB_5B_11\H_C_1</v>
      </c>
      <c r="AS144" s="2" t="str">
        <f t="shared" si="61"/>
        <v>EAST_MDB_5B_11\H_C_3</v>
      </c>
      <c r="AT144" s="2" t="str">
        <f t="shared" si="61"/>
        <v>EAST_MDB_5B_11\H_C_5</v>
      </c>
      <c r="AU144" s="2" t="str">
        <f t="shared" si="61"/>
        <v>EAST_MDB_5B_11\H_C_7</v>
      </c>
      <c r="AV144" s="2" t="str">
        <f t="shared" si="60"/>
        <v>EAST_MDB_5B_11\PV1</v>
      </c>
      <c r="AW144" s="2" t="str">
        <f t="shared" si="60"/>
        <v>EAST_MDB_5B_11\PV2</v>
      </c>
      <c r="AX144" s="2" t="str">
        <f t="shared" si="60"/>
        <v>EAST_MDB_5B_11\PV3</v>
      </c>
      <c r="AY144" s="2" t="str">
        <f t="shared" si="60"/>
        <v>EAST_MDB_5B_11\PI1</v>
      </c>
      <c r="AZ144" s="2" t="str">
        <f t="shared" si="60"/>
        <v>EAST_MDB_5B_11\PI2</v>
      </c>
      <c r="BA144" s="2" t="str">
        <f t="shared" si="60"/>
        <v>EAST_MDB_5B_11\PI3</v>
      </c>
    </row>
    <row r="145" spans="1:53" x14ac:dyDescent="0.25">
      <c r="A145" s="3">
        <v>59</v>
      </c>
      <c r="B145" s="3" t="s">
        <v>336</v>
      </c>
      <c r="C145" s="3" t="s">
        <v>154</v>
      </c>
      <c r="D145" s="3" t="s">
        <v>330</v>
      </c>
      <c r="E145" s="4"/>
      <c r="F145" s="2" t="str">
        <f t="shared" si="57"/>
        <v>EAST_MDB_5B_12\ST</v>
      </c>
      <c r="G145" s="2" t="str">
        <f t="shared" si="57"/>
        <v>EAST_MDB_5B_12\TRIP</v>
      </c>
      <c r="H145" s="20"/>
      <c r="I145" s="20"/>
      <c r="J145" s="20"/>
      <c r="K145" s="20"/>
      <c r="L145" s="20"/>
      <c r="M145" s="20"/>
      <c r="N145" s="20"/>
      <c r="O145" s="20"/>
      <c r="P145" s="20"/>
      <c r="Q145" s="24"/>
      <c r="R145" s="2" t="str">
        <f t="shared" si="58"/>
        <v>EAST_MDB_5B_12\V12</v>
      </c>
      <c r="S145" s="2" t="str">
        <f t="shared" si="58"/>
        <v>EAST_MDB_5B_12\V23</v>
      </c>
      <c r="T145" s="2" t="str">
        <f t="shared" si="58"/>
        <v>EAST_MDB_5B_12\V31</v>
      </c>
      <c r="U145" s="2" t="str">
        <f t="shared" si="58"/>
        <v>EAST_MDB_5B_12\V1N</v>
      </c>
      <c r="V145" s="2" t="str">
        <f t="shared" si="58"/>
        <v>EAST_MDB_5B_12\V2N</v>
      </c>
      <c r="W145" s="2" t="str">
        <f t="shared" si="58"/>
        <v>EAST_MDB_5B_12\V3N</v>
      </c>
      <c r="X145" s="2" t="str">
        <f t="shared" si="58"/>
        <v>EAST_MDB_5B_12\VA</v>
      </c>
      <c r="Y145" s="2" t="str">
        <f t="shared" si="58"/>
        <v>EAST_MDB_5B_12\A1</v>
      </c>
      <c r="Z145" s="2" t="str">
        <f t="shared" si="58"/>
        <v>EAST_MDB_5B_12\A2</v>
      </c>
      <c r="AA145" s="2" t="str">
        <f t="shared" si="58"/>
        <v>EAST_MDB_5B_12\A3</v>
      </c>
      <c r="AB145" s="2" t="str">
        <f t="shared" si="58"/>
        <v>EAST_MDB_5B_12\AA</v>
      </c>
      <c r="AC145" s="2" t="str">
        <f t="shared" si="58"/>
        <v>EAST_MDB_5B_12\PF</v>
      </c>
      <c r="AD145" s="2" t="str">
        <f t="shared" si="58"/>
        <v>EAST_MDB_5B_12\HZ</v>
      </c>
      <c r="AE145" s="2" t="str">
        <f t="shared" si="58"/>
        <v>EAST_MDB_5B_12\KW</v>
      </c>
      <c r="AF145" s="2" t="str">
        <f t="shared" si="58"/>
        <v>EAST_MDB_5B_12\KHh</v>
      </c>
      <c r="AG145" s="2" t="str">
        <f t="shared" si="58"/>
        <v>EAST_MDB_5B_12\VA</v>
      </c>
      <c r="AH145" s="2" t="str">
        <f t="shared" si="58"/>
        <v>EAST_MDB_5B_12\VAH</v>
      </c>
      <c r="AI145" s="2" t="str">
        <f t="shared" si="58"/>
        <v>EAST_MDB_5B_12\PEAK</v>
      </c>
      <c r="AJ145" s="2" t="str">
        <f t="shared" si="61"/>
        <v>EAST_MDB_5B_12\H_A_1</v>
      </c>
      <c r="AK145" s="2" t="str">
        <f t="shared" si="61"/>
        <v>EAST_MDB_5B_12\H_A_3</v>
      </c>
      <c r="AL145" s="2" t="str">
        <f t="shared" si="61"/>
        <v>EAST_MDB_5B_12\H_A_5</v>
      </c>
      <c r="AM145" s="2" t="str">
        <f t="shared" si="61"/>
        <v>EAST_MDB_5B_12\H_A_7</v>
      </c>
      <c r="AN145" s="2" t="str">
        <f t="shared" si="61"/>
        <v>EAST_MDB_5B_12\H_B_1</v>
      </c>
      <c r="AO145" s="2" t="str">
        <f t="shared" si="61"/>
        <v>EAST_MDB_5B_12\H_B_3</v>
      </c>
      <c r="AP145" s="2" t="str">
        <f t="shared" si="61"/>
        <v>EAST_MDB_5B_12\H_B_5</v>
      </c>
      <c r="AQ145" s="2" t="str">
        <f t="shared" si="61"/>
        <v>EAST_MDB_5B_12\H_B_7</v>
      </c>
      <c r="AR145" s="2" t="str">
        <f t="shared" si="61"/>
        <v>EAST_MDB_5B_12\H_C_1</v>
      </c>
      <c r="AS145" s="2" t="str">
        <f t="shared" si="61"/>
        <v>EAST_MDB_5B_12\H_C_3</v>
      </c>
      <c r="AT145" s="2" t="str">
        <f t="shared" si="61"/>
        <v>EAST_MDB_5B_12\H_C_5</v>
      </c>
      <c r="AU145" s="2" t="str">
        <f t="shared" si="61"/>
        <v>EAST_MDB_5B_12\H_C_7</v>
      </c>
      <c r="AV145" s="2" t="str">
        <f t="shared" si="60"/>
        <v>EAST_MDB_5B_12\PV1</v>
      </c>
      <c r="AW145" s="2" t="str">
        <f t="shared" si="60"/>
        <v>EAST_MDB_5B_12\PV2</v>
      </c>
      <c r="AX145" s="2" t="str">
        <f t="shared" si="60"/>
        <v>EAST_MDB_5B_12\PV3</v>
      </c>
      <c r="AY145" s="2" t="str">
        <f t="shared" si="60"/>
        <v>EAST_MDB_5B_12\PI1</v>
      </c>
      <c r="AZ145" s="2" t="str">
        <f t="shared" si="60"/>
        <v>EAST_MDB_5B_12\PI2</v>
      </c>
      <c r="BA145" s="2" t="str">
        <f t="shared" si="60"/>
        <v>EAST_MDB_5B_12\PI3</v>
      </c>
    </row>
    <row r="146" spans="1:53" x14ac:dyDescent="0.25">
      <c r="A146" s="3">
        <v>60</v>
      </c>
      <c r="B146" s="3" t="s">
        <v>336</v>
      </c>
      <c r="C146" s="3" t="s">
        <v>237</v>
      </c>
      <c r="D146" s="3" t="s">
        <v>331</v>
      </c>
      <c r="E146" s="4"/>
      <c r="F146" s="2"/>
      <c r="G146" s="2"/>
      <c r="H146" s="2" t="str">
        <f>$C146&amp;H$7</f>
        <v>EAST_MDB_5C\ELD</v>
      </c>
      <c r="I146" s="20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</row>
    <row r="147" spans="1:53" x14ac:dyDescent="0.25">
      <c r="A147" s="3">
        <v>61</v>
      </c>
      <c r="B147" s="3" t="s">
        <v>336</v>
      </c>
      <c r="C147" s="3" t="s">
        <v>155</v>
      </c>
      <c r="D147" s="3" t="s">
        <v>331</v>
      </c>
      <c r="E147" s="4"/>
      <c r="F147" s="2" t="str">
        <f t="shared" ref="F147:G156" si="62">$C147&amp;F$7</f>
        <v>EAST_MDB_5C_1\ST</v>
      </c>
      <c r="G147" s="2" t="str">
        <f t="shared" si="62"/>
        <v>EAST_MDB_5C_1\TRIP</v>
      </c>
      <c r="H147" s="20"/>
      <c r="I147" s="20"/>
      <c r="J147" s="20"/>
      <c r="K147" s="20"/>
      <c r="L147" s="20"/>
      <c r="M147" s="20"/>
      <c r="N147" s="20"/>
      <c r="O147" s="20"/>
      <c r="P147" s="20"/>
      <c r="Q147" s="24"/>
      <c r="R147" s="2" t="str">
        <f t="shared" ref="R147:AU156" si="63">$C147&amp;R$7</f>
        <v>EAST_MDB_5C_1\V12</v>
      </c>
      <c r="S147" s="2" t="str">
        <f t="shared" si="63"/>
        <v>EAST_MDB_5C_1\V23</v>
      </c>
      <c r="T147" s="2" t="str">
        <f t="shared" si="63"/>
        <v>EAST_MDB_5C_1\V31</v>
      </c>
      <c r="U147" s="2" t="str">
        <f t="shared" si="63"/>
        <v>EAST_MDB_5C_1\V1N</v>
      </c>
      <c r="V147" s="2" t="str">
        <f t="shared" si="63"/>
        <v>EAST_MDB_5C_1\V2N</v>
      </c>
      <c r="W147" s="2" t="str">
        <f t="shared" si="63"/>
        <v>EAST_MDB_5C_1\V3N</v>
      </c>
      <c r="X147" s="2" t="str">
        <f t="shared" si="63"/>
        <v>EAST_MDB_5C_1\VA</v>
      </c>
      <c r="Y147" s="2" t="str">
        <f t="shared" si="63"/>
        <v>EAST_MDB_5C_1\A1</v>
      </c>
      <c r="Z147" s="2" t="str">
        <f t="shared" si="63"/>
        <v>EAST_MDB_5C_1\A2</v>
      </c>
      <c r="AA147" s="2" t="str">
        <f t="shared" si="63"/>
        <v>EAST_MDB_5C_1\A3</v>
      </c>
      <c r="AB147" s="2" t="str">
        <f t="shared" si="63"/>
        <v>EAST_MDB_5C_1\AA</v>
      </c>
      <c r="AC147" s="2" t="str">
        <f t="shared" si="63"/>
        <v>EAST_MDB_5C_1\PF</v>
      </c>
      <c r="AD147" s="2" t="str">
        <f t="shared" si="63"/>
        <v>EAST_MDB_5C_1\HZ</v>
      </c>
      <c r="AE147" s="2" t="str">
        <f t="shared" si="63"/>
        <v>EAST_MDB_5C_1\KW</v>
      </c>
      <c r="AF147" s="2" t="str">
        <f t="shared" si="63"/>
        <v>EAST_MDB_5C_1\KHh</v>
      </c>
      <c r="AG147" s="2" t="str">
        <f t="shared" si="63"/>
        <v>EAST_MDB_5C_1\VA</v>
      </c>
      <c r="AH147" s="2" t="str">
        <f t="shared" si="63"/>
        <v>EAST_MDB_5C_1\VAH</v>
      </c>
      <c r="AI147" s="2" t="str">
        <f t="shared" si="63"/>
        <v>EAST_MDB_5C_1\PEAK</v>
      </c>
      <c r="AJ147" s="2" t="str">
        <f t="shared" si="63"/>
        <v>EAST_MDB_5C_1\H_A_1</v>
      </c>
      <c r="AK147" s="2" t="str">
        <f t="shared" si="63"/>
        <v>EAST_MDB_5C_1\H_A_3</v>
      </c>
      <c r="AL147" s="2" t="str">
        <f t="shared" si="63"/>
        <v>EAST_MDB_5C_1\H_A_5</v>
      </c>
      <c r="AM147" s="2" t="str">
        <f t="shared" si="63"/>
        <v>EAST_MDB_5C_1\H_A_7</v>
      </c>
      <c r="AN147" s="2" t="str">
        <f t="shared" si="63"/>
        <v>EAST_MDB_5C_1\H_B_1</v>
      </c>
      <c r="AO147" s="2" t="str">
        <f t="shared" si="63"/>
        <v>EAST_MDB_5C_1\H_B_3</v>
      </c>
      <c r="AP147" s="2" t="str">
        <f t="shared" si="63"/>
        <v>EAST_MDB_5C_1\H_B_5</v>
      </c>
      <c r="AQ147" s="2" t="str">
        <f t="shared" si="63"/>
        <v>EAST_MDB_5C_1\H_B_7</v>
      </c>
      <c r="AR147" s="2" t="str">
        <f t="shared" si="63"/>
        <v>EAST_MDB_5C_1\H_C_1</v>
      </c>
      <c r="AS147" s="2" t="str">
        <f t="shared" si="63"/>
        <v>EAST_MDB_5C_1\H_C_3</v>
      </c>
      <c r="AT147" s="2" t="str">
        <f t="shared" si="63"/>
        <v>EAST_MDB_5C_1\H_C_5</v>
      </c>
      <c r="AU147" s="2" t="str">
        <f t="shared" si="63"/>
        <v>EAST_MDB_5C_1\H_C_7</v>
      </c>
      <c r="AV147" s="2" t="str">
        <f t="shared" ref="AV147:BA156" si="64">$C147&amp;AV$7</f>
        <v>EAST_MDB_5C_1\PV1</v>
      </c>
      <c r="AW147" s="2" t="str">
        <f t="shared" si="64"/>
        <v>EAST_MDB_5C_1\PV2</v>
      </c>
      <c r="AX147" s="2" t="str">
        <f t="shared" si="64"/>
        <v>EAST_MDB_5C_1\PV3</v>
      </c>
      <c r="AY147" s="2" t="str">
        <f t="shared" si="64"/>
        <v>EAST_MDB_5C_1\PI1</v>
      </c>
      <c r="AZ147" s="2" t="str">
        <f t="shared" si="64"/>
        <v>EAST_MDB_5C_1\PI2</v>
      </c>
      <c r="BA147" s="2" t="str">
        <f t="shared" si="64"/>
        <v>EAST_MDB_5C_1\PI3</v>
      </c>
    </row>
    <row r="148" spans="1:53" x14ac:dyDescent="0.25">
      <c r="A148" s="3">
        <v>62</v>
      </c>
      <c r="B148" s="3" t="s">
        <v>336</v>
      </c>
      <c r="C148" s="3" t="s">
        <v>156</v>
      </c>
      <c r="D148" s="3" t="s">
        <v>331</v>
      </c>
      <c r="E148" s="4"/>
      <c r="F148" s="2" t="str">
        <f t="shared" si="62"/>
        <v>EAST_MDB_5C_2\ST</v>
      </c>
      <c r="G148" s="2" t="str">
        <f t="shared" si="62"/>
        <v>EAST_MDB_5C_2\TRIP</v>
      </c>
      <c r="H148" s="20"/>
      <c r="I148" s="20"/>
      <c r="J148" s="20"/>
      <c r="K148" s="20"/>
      <c r="L148" s="20"/>
      <c r="M148" s="20"/>
      <c r="N148" s="20"/>
      <c r="O148" s="20"/>
      <c r="P148" s="20"/>
      <c r="Q148" s="24"/>
      <c r="R148" s="2" t="str">
        <f t="shared" si="63"/>
        <v>EAST_MDB_5C_2\V12</v>
      </c>
      <c r="S148" s="2" t="str">
        <f t="shared" si="63"/>
        <v>EAST_MDB_5C_2\V23</v>
      </c>
      <c r="T148" s="2" t="str">
        <f t="shared" si="63"/>
        <v>EAST_MDB_5C_2\V31</v>
      </c>
      <c r="U148" s="2" t="str">
        <f t="shared" si="63"/>
        <v>EAST_MDB_5C_2\V1N</v>
      </c>
      <c r="V148" s="2" t="str">
        <f t="shared" si="63"/>
        <v>EAST_MDB_5C_2\V2N</v>
      </c>
      <c r="W148" s="2" t="str">
        <f t="shared" si="63"/>
        <v>EAST_MDB_5C_2\V3N</v>
      </c>
      <c r="X148" s="2" t="str">
        <f t="shared" si="63"/>
        <v>EAST_MDB_5C_2\VA</v>
      </c>
      <c r="Y148" s="2" t="str">
        <f t="shared" si="63"/>
        <v>EAST_MDB_5C_2\A1</v>
      </c>
      <c r="Z148" s="2" t="str">
        <f t="shared" si="63"/>
        <v>EAST_MDB_5C_2\A2</v>
      </c>
      <c r="AA148" s="2" t="str">
        <f t="shared" si="63"/>
        <v>EAST_MDB_5C_2\A3</v>
      </c>
      <c r="AB148" s="2" t="str">
        <f t="shared" si="63"/>
        <v>EAST_MDB_5C_2\AA</v>
      </c>
      <c r="AC148" s="2" t="str">
        <f t="shared" si="63"/>
        <v>EAST_MDB_5C_2\PF</v>
      </c>
      <c r="AD148" s="2" t="str">
        <f t="shared" si="63"/>
        <v>EAST_MDB_5C_2\HZ</v>
      </c>
      <c r="AE148" s="2" t="str">
        <f t="shared" si="63"/>
        <v>EAST_MDB_5C_2\KW</v>
      </c>
      <c r="AF148" s="2" t="str">
        <f t="shared" si="63"/>
        <v>EAST_MDB_5C_2\KHh</v>
      </c>
      <c r="AG148" s="2" t="str">
        <f t="shared" si="63"/>
        <v>EAST_MDB_5C_2\VA</v>
      </c>
      <c r="AH148" s="2" t="str">
        <f t="shared" si="63"/>
        <v>EAST_MDB_5C_2\VAH</v>
      </c>
      <c r="AI148" s="2" t="str">
        <f t="shared" si="63"/>
        <v>EAST_MDB_5C_2\PEAK</v>
      </c>
      <c r="AJ148" s="2" t="str">
        <f t="shared" si="63"/>
        <v>EAST_MDB_5C_2\H_A_1</v>
      </c>
      <c r="AK148" s="2" t="str">
        <f t="shared" si="63"/>
        <v>EAST_MDB_5C_2\H_A_3</v>
      </c>
      <c r="AL148" s="2" t="str">
        <f t="shared" si="63"/>
        <v>EAST_MDB_5C_2\H_A_5</v>
      </c>
      <c r="AM148" s="2" t="str">
        <f t="shared" si="63"/>
        <v>EAST_MDB_5C_2\H_A_7</v>
      </c>
      <c r="AN148" s="2" t="str">
        <f t="shared" si="63"/>
        <v>EAST_MDB_5C_2\H_B_1</v>
      </c>
      <c r="AO148" s="2" t="str">
        <f t="shared" si="63"/>
        <v>EAST_MDB_5C_2\H_B_3</v>
      </c>
      <c r="AP148" s="2" t="str">
        <f t="shared" si="63"/>
        <v>EAST_MDB_5C_2\H_B_5</v>
      </c>
      <c r="AQ148" s="2" t="str">
        <f t="shared" si="63"/>
        <v>EAST_MDB_5C_2\H_B_7</v>
      </c>
      <c r="AR148" s="2" t="str">
        <f t="shared" si="63"/>
        <v>EAST_MDB_5C_2\H_C_1</v>
      </c>
      <c r="AS148" s="2" t="str">
        <f t="shared" si="63"/>
        <v>EAST_MDB_5C_2\H_C_3</v>
      </c>
      <c r="AT148" s="2" t="str">
        <f t="shared" si="63"/>
        <v>EAST_MDB_5C_2\H_C_5</v>
      </c>
      <c r="AU148" s="2" t="str">
        <f t="shared" si="63"/>
        <v>EAST_MDB_5C_2\H_C_7</v>
      </c>
      <c r="AV148" s="2" t="str">
        <f t="shared" si="64"/>
        <v>EAST_MDB_5C_2\PV1</v>
      </c>
      <c r="AW148" s="2" t="str">
        <f t="shared" si="64"/>
        <v>EAST_MDB_5C_2\PV2</v>
      </c>
      <c r="AX148" s="2" t="str">
        <f t="shared" si="64"/>
        <v>EAST_MDB_5C_2\PV3</v>
      </c>
      <c r="AY148" s="2" t="str">
        <f t="shared" si="64"/>
        <v>EAST_MDB_5C_2\PI1</v>
      </c>
      <c r="AZ148" s="2" t="str">
        <f t="shared" si="64"/>
        <v>EAST_MDB_5C_2\PI2</v>
      </c>
      <c r="BA148" s="2" t="str">
        <f t="shared" si="64"/>
        <v>EAST_MDB_5C_2\PI3</v>
      </c>
    </row>
    <row r="149" spans="1:53" x14ac:dyDescent="0.25">
      <c r="A149" s="3">
        <v>63</v>
      </c>
      <c r="B149" s="3" t="s">
        <v>336</v>
      </c>
      <c r="C149" s="3" t="s">
        <v>157</v>
      </c>
      <c r="D149" s="3" t="s">
        <v>331</v>
      </c>
      <c r="E149" s="4"/>
      <c r="F149" s="2" t="str">
        <f t="shared" si="62"/>
        <v>EAST_MDB_5C_3\ST</v>
      </c>
      <c r="G149" s="2" t="str">
        <f t="shared" si="62"/>
        <v>EAST_MDB_5C_3\TRIP</v>
      </c>
      <c r="H149" s="20"/>
      <c r="I149" s="20"/>
      <c r="J149" s="20"/>
      <c r="K149" s="20"/>
      <c r="L149" s="20"/>
      <c r="M149" s="20"/>
      <c r="N149" s="20"/>
      <c r="O149" s="20"/>
      <c r="P149" s="20"/>
      <c r="Q149" s="24"/>
      <c r="R149" s="2" t="str">
        <f t="shared" si="63"/>
        <v>EAST_MDB_5C_3\V12</v>
      </c>
      <c r="S149" s="2" t="str">
        <f t="shared" si="63"/>
        <v>EAST_MDB_5C_3\V23</v>
      </c>
      <c r="T149" s="2" t="str">
        <f t="shared" si="63"/>
        <v>EAST_MDB_5C_3\V31</v>
      </c>
      <c r="U149" s="2" t="str">
        <f t="shared" si="63"/>
        <v>EAST_MDB_5C_3\V1N</v>
      </c>
      <c r="V149" s="2" t="str">
        <f t="shared" si="63"/>
        <v>EAST_MDB_5C_3\V2N</v>
      </c>
      <c r="W149" s="2" t="str">
        <f t="shared" si="63"/>
        <v>EAST_MDB_5C_3\V3N</v>
      </c>
      <c r="X149" s="2" t="str">
        <f t="shared" si="63"/>
        <v>EAST_MDB_5C_3\VA</v>
      </c>
      <c r="Y149" s="2" t="str">
        <f t="shared" si="63"/>
        <v>EAST_MDB_5C_3\A1</v>
      </c>
      <c r="Z149" s="2" t="str">
        <f t="shared" si="63"/>
        <v>EAST_MDB_5C_3\A2</v>
      </c>
      <c r="AA149" s="2" t="str">
        <f t="shared" si="63"/>
        <v>EAST_MDB_5C_3\A3</v>
      </c>
      <c r="AB149" s="2" t="str">
        <f t="shared" si="63"/>
        <v>EAST_MDB_5C_3\AA</v>
      </c>
      <c r="AC149" s="2" t="str">
        <f t="shared" si="63"/>
        <v>EAST_MDB_5C_3\PF</v>
      </c>
      <c r="AD149" s="2" t="str">
        <f t="shared" si="63"/>
        <v>EAST_MDB_5C_3\HZ</v>
      </c>
      <c r="AE149" s="2" t="str">
        <f t="shared" si="63"/>
        <v>EAST_MDB_5C_3\KW</v>
      </c>
      <c r="AF149" s="2" t="str">
        <f t="shared" si="63"/>
        <v>EAST_MDB_5C_3\KHh</v>
      </c>
      <c r="AG149" s="2" t="str">
        <f t="shared" si="63"/>
        <v>EAST_MDB_5C_3\VA</v>
      </c>
      <c r="AH149" s="2" t="str">
        <f t="shared" si="63"/>
        <v>EAST_MDB_5C_3\VAH</v>
      </c>
      <c r="AI149" s="2" t="str">
        <f t="shared" si="63"/>
        <v>EAST_MDB_5C_3\PEAK</v>
      </c>
      <c r="AJ149" s="2" t="str">
        <f t="shared" si="63"/>
        <v>EAST_MDB_5C_3\H_A_1</v>
      </c>
      <c r="AK149" s="2" t="str">
        <f t="shared" si="63"/>
        <v>EAST_MDB_5C_3\H_A_3</v>
      </c>
      <c r="AL149" s="2" t="str">
        <f t="shared" si="63"/>
        <v>EAST_MDB_5C_3\H_A_5</v>
      </c>
      <c r="AM149" s="2" t="str">
        <f t="shared" si="63"/>
        <v>EAST_MDB_5C_3\H_A_7</v>
      </c>
      <c r="AN149" s="2" t="str">
        <f t="shared" si="63"/>
        <v>EAST_MDB_5C_3\H_B_1</v>
      </c>
      <c r="AO149" s="2" t="str">
        <f t="shared" si="63"/>
        <v>EAST_MDB_5C_3\H_B_3</v>
      </c>
      <c r="AP149" s="2" t="str">
        <f t="shared" si="63"/>
        <v>EAST_MDB_5C_3\H_B_5</v>
      </c>
      <c r="AQ149" s="2" t="str">
        <f t="shared" si="63"/>
        <v>EAST_MDB_5C_3\H_B_7</v>
      </c>
      <c r="AR149" s="2" t="str">
        <f t="shared" si="63"/>
        <v>EAST_MDB_5C_3\H_C_1</v>
      </c>
      <c r="AS149" s="2" t="str">
        <f t="shared" si="63"/>
        <v>EAST_MDB_5C_3\H_C_3</v>
      </c>
      <c r="AT149" s="2" t="str">
        <f t="shared" si="63"/>
        <v>EAST_MDB_5C_3\H_C_5</v>
      </c>
      <c r="AU149" s="2" t="str">
        <f t="shared" si="63"/>
        <v>EAST_MDB_5C_3\H_C_7</v>
      </c>
      <c r="AV149" s="2" t="str">
        <f t="shared" si="64"/>
        <v>EAST_MDB_5C_3\PV1</v>
      </c>
      <c r="AW149" s="2" t="str">
        <f t="shared" si="64"/>
        <v>EAST_MDB_5C_3\PV2</v>
      </c>
      <c r="AX149" s="2" t="str">
        <f t="shared" si="64"/>
        <v>EAST_MDB_5C_3\PV3</v>
      </c>
      <c r="AY149" s="2" t="str">
        <f t="shared" si="64"/>
        <v>EAST_MDB_5C_3\PI1</v>
      </c>
      <c r="AZ149" s="2" t="str">
        <f t="shared" si="64"/>
        <v>EAST_MDB_5C_3\PI2</v>
      </c>
      <c r="BA149" s="2" t="str">
        <f t="shared" si="64"/>
        <v>EAST_MDB_5C_3\PI3</v>
      </c>
    </row>
    <row r="150" spans="1:53" x14ac:dyDescent="0.25">
      <c r="A150" s="3">
        <v>64</v>
      </c>
      <c r="B150" s="3" t="s">
        <v>336</v>
      </c>
      <c r="C150" s="3" t="s">
        <v>158</v>
      </c>
      <c r="D150" s="3" t="s">
        <v>331</v>
      </c>
      <c r="E150" s="4"/>
      <c r="F150" s="2" t="str">
        <f t="shared" si="62"/>
        <v>EAST_MDB_5C_4\ST</v>
      </c>
      <c r="G150" s="2" t="str">
        <f t="shared" si="62"/>
        <v>EAST_MDB_5C_4\TRIP</v>
      </c>
      <c r="H150" s="20"/>
      <c r="I150" s="20"/>
      <c r="J150" s="20"/>
      <c r="K150" s="20"/>
      <c r="L150" s="20"/>
      <c r="M150" s="20"/>
      <c r="N150" s="20"/>
      <c r="O150" s="20"/>
      <c r="P150" s="20"/>
      <c r="Q150" s="24"/>
      <c r="R150" s="2" t="str">
        <f t="shared" si="63"/>
        <v>EAST_MDB_5C_4\V12</v>
      </c>
      <c r="S150" s="2" t="str">
        <f t="shared" si="63"/>
        <v>EAST_MDB_5C_4\V23</v>
      </c>
      <c r="T150" s="2" t="str">
        <f t="shared" si="63"/>
        <v>EAST_MDB_5C_4\V31</v>
      </c>
      <c r="U150" s="2" t="str">
        <f t="shared" si="63"/>
        <v>EAST_MDB_5C_4\V1N</v>
      </c>
      <c r="V150" s="2" t="str">
        <f t="shared" si="63"/>
        <v>EAST_MDB_5C_4\V2N</v>
      </c>
      <c r="W150" s="2" t="str">
        <f t="shared" si="63"/>
        <v>EAST_MDB_5C_4\V3N</v>
      </c>
      <c r="X150" s="2" t="str">
        <f t="shared" si="63"/>
        <v>EAST_MDB_5C_4\VA</v>
      </c>
      <c r="Y150" s="2" t="str">
        <f t="shared" si="63"/>
        <v>EAST_MDB_5C_4\A1</v>
      </c>
      <c r="Z150" s="2" t="str">
        <f t="shared" si="63"/>
        <v>EAST_MDB_5C_4\A2</v>
      </c>
      <c r="AA150" s="2" t="str">
        <f t="shared" si="63"/>
        <v>EAST_MDB_5C_4\A3</v>
      </c>
      <c r="AB150" s="2" t="str">
        <f t="shared" si="63"/>
        <v>EAST_MDB_5C_4\AA</v>
      </c>
      <c r="AC150" s="2" t="str">
        <f t="shared" si="63"/>
        <v>EAST_MDB_5C_4\PF</v>
      </c>
      <c r="AD150" s="2" t="str">
        <f t="shared" si="63"/>
        <v>EAST_MDB_5C_4\HZ</v>
      </c>
      <c r="AE150" s="2" t="str">
        <f t="shared" si="63"/>
        <v>EAST_MDB_5C_4\KW</v>
      </c>
      <c r="AF150" s="2" t="str">
        <f t="shared" si="63"/>
        <v>EAST_MDB_5C_4\KHh</v>
      </c>
      <c r="AG150" s="2" t="str">
        <f t="shared" si="63"/>
        <v>EAST_MDB_5C_4\VA</v>
      </c>
      <c r="AH150" s="2" t="str">
        <f t="shared" si="63"/>
        <v>EAST_MDB_5C_4\VAH</v>
      </c>
      <c r="AI150" s="2" t="str">
        <f t="shared" si="63"/>
        <v>EAST_MDB_5C_4\PEAK</v>
      </c>
      <c r="AJ150" s="2" t="str">
        <f t="shared" si="63"/>
        <v>EAST_MDB_5C_4\H_A_1</v>
      </c>
      <c r="AK150" s="2" t="str">
        <f t="shared" si="63"/>
        <v>EAST_MDB_5C_4\H_A_3</v>
      </c>
      <c r="AL150" s="2" t="str">
        <f t="shared" si="63"/>
        <v>EAST_MDB_5C_4\H_A_5</v>
      </c>
      <c r="AM150" s="2" t="str">
        <f t="shared" si="63"/>
        <v>EAST_MDB_5C_4\H_A_7</v>
      </c>
      <c r="AN150" s="2" t="str">
        <f t="shared" si="63"/>
        <v>EAST_MDB_5C_4\H_B_1</v>
      </c>
      <c r="AO150" s="2" t="str">
        <f t="shared" si="63"/>
        <v>EAST_MDB_5C_4\H_B_3</v>
      </c>
      <c r="AP150" s="2" t="str">
        <f t="shared" si="63"/>
        <v>EAST_MDB_5C_4\H_B_5</v>
      </c>
      <c r="AQ150" s="2" t="str">
        <f t="shared" si="63"/>
        <v>EAST_MDB_5C_4\H_B_7</v>
      </c>
      <c r="AR150" s="2" t="str">
        <f t="shared" si="63"/>
        <v>EAST_MDB_5C_4\H_C_1</v>
      </c>
      <c r="AS150" s="2" t="str">
        <f t="shared" si="63"/>
        <v>EAST_MDB_5C_4\H_C_3</v>
      </c>
      <c r="AT150" s="2" t="str">
        <f t="shared" si="63"/>
        <v>EAST_MDB_5C_4\H_C_5</v>
      </c>
      <c r="AU150" s="2" t="str">
        <f t="shared" si="63"/>
        <v>EAST_MDB_5C_4\H_C_7</v>
      </c>
      <c r="AV150" s="2" t="str">
        <f t="shared" si="64"/>
        <v>EAST_MDB_5C_4\PV1</v>
      </c>
      <c r="AW150" s="2" t="str">
        <f t="shared" si="64"/>
        <v>EAST_MDB_5C_4\PV2</v>
      </c>
      <c r="AX150" s="2" t="str">
        <f t="shared" si="64"/>
        <v>EAST_MDB_5C_4\PV3</v>
      </c>
      <c r="AY150" s="2" t="str">
        <f t="shared" si="64"/>
        <v>EAST_MDB_5C_4\PI1</v>
      </c>
      <c r="AZ150" s="2" t="str">
        <f t="shared" si="64"/>
        <v>EAST_MDB_5C_4\PI2</v>
      </c>
      <c r="BA150" s="2" t="str">
        <f t="shared" si="64"/>
        <v>EAST_MDB_5C_4\PI3</v>
      </c>
    </row>
    <row r="151" spans="1:53" x14ac:dyDescent="0.25">
      <c r="A151" s="3">
        <v>65</v>
      </c>
      <c r="B151" s="3" t="s">
        <v>336</v>
      </c>
      <c r="C151" s="3" t="s">
        <v>159</v>
      </c>
      <c r="D151" s="3" t="s">
        <v>331</v>
      </c>
      <c r="E151" s="4"/>
      <c r="F151" s="2" t="str">
        <f t="shared" si="62"/>
        <v>EAST_MDB_5C_5\ST</v>
      </c>
      <c r="G151" s="2" t="str">
        <f t="shared" si="62"/>
        <v>EAST_MDB_5C_5\TRIP</v>
      </c>
      <c r="H151" s="20"/>
      <c r="I151" s="20"/>
      <c r="J151" s="20"/>
      <c r="K151" s="20"/>
      <c r="L151" s="20"/>
      <c r="M151" s="20"/>
      <c r="N151" s="20"/>
      <c r="O151" s="20"/>
      <c r="P151" s="20"/>
      <c r="Q151" s="24"/>
      <c r="R151" s="2" t="str">
        <f t="shared" si="63"/>
        <v>EAST_MDB_5C_5\V12</v>
      </c>
      <c r="S151" s="2" t="str">
        <f t="shared" si="63"/>
        <v>EAST_MDB_5C_5\V23</v>
      </c>
      <c r="T151" s="2" t="str">
        <f t="shared" si="63"/>
        <v>EAST_MDB_5C_5\V31</v>
      </c>
      <c r="U151" s="2" t="str">
        <f t="shared" si="63"/>
        <v>EAST_MDB_5C_5\V1N</v>
      </c>
      <c r="V151" s="2" t="str">
        <f t="shared" si="63"/>
        <v>EAST_MDB_5C_5\V2N</v>
      </c>
      <c r="W151" s="2" t="str">
        <f t="shared" si="63"/>
        <v>EAST_MDB_5C_5\V3N</v>
      </c>
      <c r="X151" s="2" t="str">
        <f t="shared" si="63"/>
        <v>EAST_MDB_5C_5\VA</v>
      </c>
      <c r="Y151" s="2" t="str">
        <f t="shared" si="63"/>
        <v>EAST_MDB_5C_5\A1</v>
      </c>
      <c r="Z151" s="2" t="str">
        <f t="shared" si="63"/>
        <v>EAST_MDB_5C_5\A2</v>
      </c>
      <c r="AA151" s="2" t="str">
        <f t="shared" si="63"/>
        <v>EAST_MDB_5C_5\A3</v>
      </c>
      <c r="AB151" s="2" t="str">
        <f t="shared" si="63"/>
        <v>EAST_MDB_5C_5\AA</v>
      </c>
      <c r="AC151" s="2" t="str">
        <f t="shared" si="63"/>
        <v>EAST_MDB_5C_5\PF</v>
      </c>
      <c r="AD151" s="2" t="str">
        <f t="shared" si="63"/>
        <v>EAST_MDB_5C_5\HZ</v>
      </c>
      <c r="AE151" s="2" t="str">
        <f t="shared" si="63"/>
        <v>EAST_MDB_5C_5\KW</v>
      </c>
      <c r="AF151" s="2" t="str">
        <f t="shared" si="63"/>
        <v>EAST_MDB_5C_5\KHh</v>
      </c>
      <c r="AG151" s="2" t="str">
        <f t="shared" si="63"/>
        <v>EAST_MDB_5C_5\VA</v>
      </c>
      <c r="AH151" s="2" t="str">
        <f t="shared" si="63"/>
        <v>EAST_MDB_5C_5\VAH</v>
      </c>
      <c r="AI151" s="2" t="str">
        <f t="shared" si="63"/>
        <v>EAST_MDB_5C_5\PEAK</v>
      </c>
      <c r="AJ151" s="2" t="str">
        <f t="shared" si="63"/>
        <v>EAST_MDB_5C_5\H_A_1</v>
      </c>
      <c r="AK151" s="2" t="str">
        <f t="shared" si="63"/>
        <v>EAST_MDB_5C_5\H_A_3</v>
      </c>
      <c r="AL151" s="2" t="str">
        <f t="shared" si="63"/>
        <v>EAST_MDB_5C_5\H_A_5</v>
      </c>
      <c r="AM151" s="2" t="str">
        <f t="shared" si="63"/>
        <v>EAST_MDB_5C_5\H_A_7</v>
      </c>
      <c r="AN151" s="2" t="str">
        <f t="shared" si="63"/>
        <v>EAST_MDB_5C_5\H_B_1</v>
      </c>
      <c r="AO151" s="2" t="str">
        <f t="shared" si="63"/>
        <v>EAST_MDB_5C_5\H_B_3</v>
      </c>
      <c r="AP151" s="2" t="str">
        <f t="shared" si="63"/>
        <v>EAST_MDB_5C_5\H_B_5</v>
      </c>
      <c r="AQ151" s="2" t="str">
        <f t="shared" ref="AJ151:AU156" si="65">$C151&amp;AQ$7</f>
        <v>EAST_MDB_5C_5\H_B_7</v>
      </c>
      <c r="AR151" s="2" t="str">
        <f t="shared" si="65"/>
        <v>EAST_MDB_5C_5\H_C_1</v>
      </c>
      <c r="AS151" s="2" t="str">
        <f t="shared" si="65"/>
        <v>EAST_MDB_5C_5\H_C_3</v>
      </c>
      <c r="AT151" s="2" t="str">
        <f t="shared" si="65"/>
        <v>EAST_MDB_5C_5\H_C_5</v>
      </c>
      <c r="AU151" s="2" t="str">
        <f t="shared" si="65"/>
        <v>EAST_MDB_5C_5\H_C_7</v>
      </c>
      <c r="AV151" s="2" t="str">
        <f t="shared" si="64"/>
        <v>EAST_MDB_5C_5\PV1</v>
      </c>
      <c r="AW151" s="2" t="str">
        <f t="shared" si="64"/>
        <v>EAST_MDB_5C_5\PV2</v>
      </c>
      <c r="AX151" s="2" t="str">
        <f t="shared" si="64"/>
        <v>EAST_MDB_5C_5\PV3</v>
      </c>
      <c r="AY151" s="2" t="str">
        <f t="shared" si="64"/>
        <v>EAST_MDB_5C_5\PI1</v>
      </c>
      <c r="AZ151" s="2" t="str">
        <f t="shared" si="64"/>
        <v>EAST_MDB_5C_5\PI2</v>
      </c>
      <c r="BA151" s="2" t="str">
        <f t="shared" si="64"/>
        <v>EAST_MDB_5C_5\PI3</v>
      </c>
    </row>
    <row r="152" spans="1:53" x14ac:dyDescent="0.25">
      <c r="A152" s="3">
        <v>66</v>
      </c>
      <c r="B152" s="3" t="s">
        <v>336</v>
      </c>
      <c r="C152" s="3" t="s">
        <v>160</v>
      </c>
      <c r="D152" s="3" t="s">
        <v>331</v>
      </c>
      <c r="E152" s="4"/>
      <c r="F152" s="2" t="str">
        <f t="shared" si="62"/>
        <v>EAST_MDB_5C_6\ST</v>
      </c>
      <c r="G152" s="2" t="str">
        <f t="shared" si="62"/>
        <v>EAST_MDB_5C_6\TRIP</v>
      </c>
      <c r="H152" s="20"/>
      <c r="I152" s="20"/>
      <c r="J152" s="20"/>
      <c r="K152" s="20"/>
      <c r="L152" s="20"/>
      <c r="M152" s="20"/>
      <c r="N152" s="20"/>
      <c r="O152" s="20"/>
      <c r="P152" s="20"/>
      <c r="Q152" s="24"/>
      <c r="R152" s="2" t="str">
        <f t="shared" si="63"/>
        <v>EAST_MDB_5C_6\V12</v>
      </c>
      <c r="S152" s="2" t="str">
        <f t="shared" si="63"/>
        <v>EAST_MDB_5C_6\V23</v>
      </c>
      <c r="T152" s="2" t="str">
        <f t="shared" si="63"/>
        <v>EAST_MDB_5C_6\V31</v>
      </c>
      <c r="U152" s="2" t="str">
        <f t="shared" si="63"/>
        <v>EAST_MDB_5C_6\V1N</v>
      </c>
      <c r="V152" s="2" t="str">
        <f t="shared" si="63"/>
        <v>EAST_MDB_5C_6\V2N</v>
      </c>
      <c r="W152" s="2" t="str">
        <f t="shared" si="63"/>
        <v>EAST_MDB_5C_6\V3N</v>
      </c>
      <c r="X152" s="2" t="str">
        <f t="shared" si="63"/>
        <v>EAST_MDB_5C_6\VA</v>
      </c>
      <c r="Y152" s="2" t="str">
        <f t="shared" si="63"/>
        <v>EAST_MDB_5C_6\A1</v>
      </c>
      <c r="Z152" s="2" t="str">
        <f t="shared" si="63"/>
        <v>EAST_MDB_5C_6\A2</v>
      </c>
      <c r="AA152" s="2" t="str">
        <f t="shared" si="63"/>
        <v>EAST_MDB_5C_6\A3</v>
      </c>
      <c r="AB152" s="2" t="str">
        <f t="shared" si="63"/>
        <v>EAST_MDB_5C_6\AA</v>
      </c>
      <c r="AC152" s="2" t="str">
        <f t="shared" si="63"/>
        <v>EAST_MDB_5C_6\PF</v>
      </c>
      <c r="AD152" s="2" t="str">
        <f t="shared" si="63"/>
        <v>EAST_MDB_5C_6\HZ</v>
      </c>
      <c r="AE152" s="2" t="str">
        <f t="shared" si="63"/>
        <v>EAST_MDB_5C_6\KW</v>
      </c>
      <c r="AF152" s="2" t="str">
        <f t="shared" si="63"/>
        <v>EAST_MDB_5C_6\KHh</v>
      </c>
      <c r="AG152" s="2" t="str">
        <f t="shared" si="63"/>
        <v>EAST_MDB_5C_6\VA</v>
      </c>
      <c r="AH152" s="2" t="str">
        <f t="shared" si="63"/>
        <v>EAST_MDB_5C_6\VAH</v>
      </c>
      <c r="AI152" s="2" t="str">
        <f t="shared" si="63"/>
        <v>EAST_MDB_5C_6\PEAK</v>
      </c>
      <c r="AJ152" s="2" t="str">
        <f t="shared" si="65"/>
        <v>EAST_MDB_5C_6\H_A_1</v>
      </c>
      <c r="AK152" s="2" t="str">
        <f t="shared" si="65"/>
        <v>EAST_MDB_5C_6\H_A_3</v>
      </c>
      <c r="AL152" s="2" t="str">
        <f t="shared" si="65"/>
        <v>EAST_MDB_5C_6\H_A_5</v>
      </c>
      <c r="AM152" s="2" t="str">
        <f t="shared" si="65"/>
        <v>EAST_MDB_5C_6\H_A_7</v>
      </c>
      <c r="AN152" s="2" t="str">
        <f t="shared" si="65"/>
        <v>EAST_MDB_5C_6\H_B_1</v>
      </c>
      <c r="AO152" s="2" t="str">
        <f t="shared" si="65"/>
        <v>EAST_MDB_5C_6\H_B_3</v>
      </c>
      <c r="AP152" s="2" t="str">
        <f t="shared" si="65"/>
        <v>EAST_MDB_5C_6\H_B_5</v>
      </c>
      <c r="AQ152" s="2" t="str">
        <f t="shared" si="65"/>
        <v>EAST_MDB_5C_6\H_B_7</v>
      </c>
      <c r="AR152" s="2" t="str">
        <f t="shared" si="65"/>
        <v>EAST_MDB_5C_6\H_C_1</v>
      </c>
      <c r="AS152" s="2" t="str">
        <f t="shared" si="65"/>
        <v>EAST_MDB_5C_6\H_C_3</v>
      </c>
      <c r="AT152" s="2" t="str">
        <f t="shared" si="65"/>
        <v>EAST_MDB_5C_6\H_C_5</v>
      </c>
      <c r="AU152" s="2" t="str">
        <f t="shared" si="65"/>
        <v>EAST_MDB_5C_6\H_C_7</v>
      </c>
      <c r="AV152" s="2" t="str">
        <f t="shared" si="64"/>
        <v>EAST_MDB_5C_6\PV1</v>
      </c>
      <c r="AW152" s="2" t="str">
        <f t="shared" si="64"/>
        <v>EAST_MDB_5C_6\PV2</v>
      </c>
      <c r="AX152" s="2" t="str">
        <f t="shared" si="64"/>
        <v>EAST_MDB_5C_6\PV3</v>
      </c>
      <c r="AY152" s="2" t="str">
        <f t="shared" si="64"/>
        <v>EAST_MDB_5C_6\PI1</v>
      </c>
      <c r="AZ152" s="2" t="str">
        <f t="shared" si="64"/>
        <v>EAST_MDB_5C_6\PI2</v>
      </c>
      <c r="BA152" s="2" t="str">
        <f t="shared" si="64"/>
        <v>EAST_MDB_5C_6\PI3</v>
      </c>
    </row>
    <row r="153" spans="1:53" x14ac:dyDescent="0.25">
      <c r="A153" s="3">
        <v>67</v>
      </c>
      <c r="B153" s="3" t="s">
        <v>336</v>
      </c>
      <c r="C153" s="3" t="s">
        <v>161</v>
      </c>
      <c r="D153" s="3" t="s">
        <v>331</v>
      </c>
      <c r="E153" s="4"/>
      <c r="F153" s="2" t="str">
        <f t="shared" si="62"/>
        <v>EAST_MDB_5C_7\ST</v>
      </c>
      <c r="G153" s="2" t="str">
        <f t="shared" si="62"/>
        <v>EAST_MDB_5C_7\TRIP</v>
      </c>
      <c r="H153" s="20"/>
      <c r="I153" s="20"/>
      <c r="J153" s="20"/>
      <c r="K153" s="20"/>
      <c r="L153" s="20"/>
      <c r="M153" s="20"/>
      <c r="N153" s="20"/>
      <c r="O153" s="20"/>
      <c r="P153" s="20"/>
      <c r="Q153" s="24"/>
      <c r="R153" s="2" t="str">
        <f t="shared" si="63"/>
        <v>EAST_MDB_5C_7\V12</v>
      </c>
      <c r="S153" s="2" t="str">
        <f t="shared" si="63"/>
        <v>EAST_MDB_5C_7\V23</v>
      </c>
      <c r="T153" s="2" t="str">
        <f t="shared" si="63"/>
        <v>EAST_MDB_5C_7\V31</v>
      </c>
      <c r="U153" s="2" t="str">
        <f t="shared" si="63"/>
        <v>EAST_MDB_5C_7\V1N</v>
      </c>
      <c r="V153" s="2" t="str">
        <f t="shared" si="63"/>
        <v>EAST_MDB_5C_7\V2N</v>
      </c>
      <c r="W153" s="2" t="str">
        <f t="shared" si="63"/>
        <v>EAST_MDB_5C_7\V3N</v>
      </c>
      <c r="X153" s="2" t="str">
        <f t="shared" si="63"/>
        <v>EAST_MDB_5C_7\VA</v>
      </c>
      <c r="Y153" s="2" t="str">
        <f t="shared" si="63"/>
        <v>EAST_MDB_5C_7\A1</v>
      </c>
      <c r="Z153" s="2" t="str">
        <f t="shared" si="63"/>
        <v>EAST_MDB_5C_7\A2</v>
      </c>
      <c r="AA153" s="2" t="str">
        <f t="shared" si="63"/>
        <v>EAST_MDB_5C_7\A3</v>
      </c>
      <c r="AB153" s="2" t="str">
        <f t="shared" si="63"/>
        <v>EAST_MDB_5C_7\AA</v>
      </c>
      <c r="AC153" s="2" t="str">
        <f t="shared" si="63"/>
        <v>EAST_MDB_5C_7\PF</v>
      </c>
      <c r="AD153" s="2" t="str">
        <f t="shared" si="63"/>
        <v>EAST_MDB_5C_7\HZ</v>
      </c>
      <c r="AE153" s="2" t="str">
        <f t="shared" si="63"/>
        <v>EAST_MDB_5C_7\KW</v>
      </c>
      <c r="AF153" s="2" t="str">
        <f t="shared" si="63"/>
        <v>EAST_MDB_5C_7\KHh</v>
      </c>
      <c r="AG153" s="2" t="str">
        <f t="shared" si="63"/>
        <v>EAST_MDB_5C_7\VA</v>
      </c>
      <c r="AH153" s="2" t="str">
        <f t="shared" si="63"/>
        <v>EAST_MDB_5C_7\VAH</v>
      </c>
      <c r="AI153" s="2" t="str">
        <f t="shared" si="63"/>
        <v>EAST_MDB_5C_7\PEAK</v>
      </c>
      <c r="AJ153" s="2" t="str">
        <f t="shared" si="65"/>
        <v>EAST_MDB_5C_7\H_A_1</v>
      </c>
      <c r="AK153" s="2" t="str">
        <f t="shared" si="65"/>
        <v>EAST_MDB_5C_7\H_A_3</v>
      </c>
      <c r="AL153" s="2" t="str">
        <f t="shared" si="65"/>
        <v>EAST_MDB_5C_7\H_A_5</v>
      </c>
      <c r="AM153" s="2" t="str">
        <f t="shared" si="65"/>
        <v>EAST_MDB_5C_7\H_A_7</v>
      </c>
      <c r="AN153" s="2" t="str">
        <f t="shared" si="65"/>
        <v>EAST_MDB_5C_7\H_B_1</v>
      </c>
      <c r="AO153" s="2" t="str">
        <f t="shared" si="65"/>
        <v>EAST_MDB_5C_7\H_B_3</v>
      </c>
      <c r="AP153" s="2" t="str">
        <f t="shared" si="65"/>
        <v>EAST_MDB_5C_7\H_B_5</v>
      </c>
      <c r="AQ153" s="2" t="str">
        <f t="shared" si="65"/>
        <v>EAST_MDB_5C_7\H_B_7</v>
      </c>
      <c r="AR153" s="2" t="str">
        <f t="shared" si="65"/>
        <v>EAST_MDB_5C_7\H_C_1</v>
      </c>
      <c r="AS153" s="2" t="str">
        <f t="shared" si="65"/>
        <v>EAST_MDB_5C_7\H_C_3</v>
      </c>
      <c r="AT153" s="2" t="str">
        <f t="shared" si="65"/>
        <v>EAST_MDB_5C_7\H_C_5</v>
      </c>
      <c r="AU153" s="2" t="str">
        <f t="shared" si="65"/>
        <v>EAST_MDB_5C_7\H_C_7</v>
      </c>
      <c r="AV153" s="2" t="str">
        <f t="shared" si="64"/>
        <v>EAST_MDB_5C_7\PV1</v>
      </c>
      <c r="AW153" s="2" t="str">
        <f t="shared" si="64"/>
        <v>EAST_MDB_5C_7\PV2</v>
      </c>
      <c r="AX153" s="2" t="str">
        <f t="shared" si="64"/>
        <v>EAST_MDB_5C_7\PV3</v>
      </c>
      <c r="AY153" s="2" t="str">
        <f t="shared" si="64"/>
        <v>EAST_MDB_5C_7\PI1</v>
      </c>
      <c r="AZ153" s="2" t="str">
        <f t="shared" si="64"/>
        <v>EAST_MDB_5C_7\PI2</v>
      </c>
      <c r="BA153" s="2" t="str">
        <f t="shared" si="64"/>
        <v>EAST_MDB_5C_7\PI3</v>
      </c>
    </row>
    <row r="154" spans="1:53" x14ac:dyDescent="0.25">
      <c r="A154" s="3">
        <v>68</v>
      </c>
      <c r="B154" s="3" t="s">
        <v>336</v>
      </c>
      <c r="C154" s="3" t="s">
        <v>162</v>
      </c>
      <c r="D154" s="3" t="s">
        <v>331</v>
      </c>
      <c r="E154" s="4"/>
      <c r="F154" s="2" t="str">
        <f t="shared" si="62"/>
        <v>EAST_MDB_5C_8\ST</v>
      </c>
      <c r="G154" s="2" t="str">
        <f t="shared" si="62"/>
        <v>EAST_MDB_5C_8\TRIP</v>
      </c>
      <c r="H154" s="20"/>
      <c r="I154" s="20"/>
      <c r="J154" s="20"/>
      <c r="K154" s="20"/>
      <c r="L154" s="20"/>
      <c r="M154" s="20"/>
      <c r="N154" s="20"/>
      <c r="O154" s="20"/>
      <c r="P154" s="20"/>
      <c r="Q154" s="24"/>
      <c r="R154" s="2" t="str">
        <f t="shared" si="63"/>
        <v>EAST_MDB_5C_8\V12</v>
      </c>
      <c r="S154" s="2" t="str">
        <f t="shared" si="63"/>
        <v>EAST_MDB_5C_8\V23</v>
      </c>
      <c r="T154" s="2" t="str">
        <f t="shared" si="63"/>
        <v>EAST_MDB_5C_8\V31</v>
      </c>
      <c r="U154" s="2" t="str">
        <f t="shared" si="63"/>
        <v>EAST_MDB_5C_8\V1N</v>
      </c>
      <c r="V154" s="2" t="str">
        <f t="shared" si="63"/>
        <v>EAST_MDB_5C_8\V2N</v>
      </c>
      <c r="W154" s="2" t="str">
        <f t="shared" si="63"/>
        <v>EAST_MDB_5C_8\V3N</v>
      </c>
      <c r="X154" s="2" t="str">
        <f t="shared" si="63"/>
        <v>EAST_MDB_5C_8\VA</v>
      </c>
      <c r="Y154" s="2" t="str">
        <f t="shared" si="63"/>
        <v>EAST_MDB_5C_8\A1</v>
      </c>
      <c r="Z154" s="2" t="str">
        <f t="shared" si="63"/>
        <v>EAST_MDB_5C_8\A2</v>
      </c>
      <c r="AA154" s="2" t="str">
        <f t="shared" si="63"/>
        <v>EAST_MDB_5C_8\A3</v>
      </c>
      <c r="AB154" s="2" t="str">
        <f t="shared" si="63"/>
        <v>EAST_MDB_5C_8\AA</v>
      </c>
      <c r="AC154" s="2" t="str">
        <f t="shared" si="63"/>
        <v>EAST_MDB_5C_8\PF</v>
      </c>
      <c r="AD154" s="2" t="str">
        <f t="shared" si="63"/>
        <v>EAST_MDB_5C_8\HZ</v>
      </c>
      <c r="AE154" s="2" t="str">
        <f t="shared" si="63"/>
        <v>EAST_MDB_5C_8\KW</v>
      </c>
      <c r="AF154" s="2" t="str">
        <f t="shared" si="63"/>
        <v>EAST_MDB_5C_8\KHh</v>
      </c>
      <c r="AG154" s="2" t="str">
        <f t="shared" si="63"/>
        <v>EAST_MDB_5C_8\VA</v>
      </c>
      <c r="AH154" s="2" t="str">
        <f t="shared" si="63"/>
        <v>EAST_MDB_5C_8\VAH</v>
      </c>
      <c r="AI154" s="2" t="str">
        <f t="shared" si="63"/>
        <v>EAST_MDB_5C_8\PEAK</v>
      </c>
      <c r="AJ154" s="2" t="str">
        <f t="shared" si="65"/>
        <v>EAST_MDB_5C_8\H_A_1</v>
      </c>
      <c r="AK154" s="2" t="str">
        <f t="shared" si="65"/>
        <v>EAST_MDB_5C_8\H_A_3</v>
      </c>
      <c r="AL154" s="2" t="str">
        <f t="shared" si="65"/>
        <v>EAST_MDB_5C_8\H_A_5</v>
      </c>
      <c r="AM154" s="2" t="str">
        <f t="shared" si="65"/>
        <v>EAST_MDB_5C_8\H_A_7</v>
      </c>
      <c r="AN154" s="2" t="str">
        <f t="shared" si="65"/>
        <v>EAST_MDB_5C_8\H_B_1</v>
      </c>
      <c r="AO154" s="2" t="str">
        <f t="shared" si="65"/>
        <v>EAST_MDB_5C_8\H_B_3</v>
      </c>
      <c r="AP154" s="2" t="str">
        <f t="shared" si="65"/>
        <v>EAST_MDB_5C_8\H_B_5</v>
      </c>
      <c r="AQ154" s="2" t="str">
        <f t="shared" si="65"/>
        <v>EAST_MDB_5C_8\H_B_7</v>
      </c>
      <c r="AR154" s="2" t="str">
        <f t="shared" si="65"/>
        <v>EAST_MDB_5C_8\H_C_1</v>
      </c>
      <c r="AS154" s="2" t="str">
        <f t="shared" si="65"/>
        <v>EAST_MDB_5C_8\H_C_3</v>
      </c>
      <c r="AT154" s="2" t="str">
        <f t="shared" si="65"/>
        <v>EAST_MDB_5C_8\H_C_5</v>
      </c>
      <c r="AU154" s="2" t="str">
        <f t="shared" si="65"/>
        <v>EAST_MDB_5C_8\H_C_7</v>
      </c>
      <c r="AV154" s="2" t="str">
        <f t="shared" si="64"/>
        <v>EAST_MDB_5C_8\PV1</v>
      </c>
      <c r="AW154" s="2" t="str">
        <f t="shared" si="64"/>
        <v>EAST_MDB_5C_8\PV2</v>
      </c>
      <c r="AX154" s="2" t="str">
        <f t="shared" si="64"/>
        <v>EAST_MDB_5C_8\PV3</v>
      </c>
      <c r="AY154" s="2" t="str">
        <f t="shared" si="64"/>
        <v>EAST_MDB_5C_8\PI1</v>
      </c>
      <c r="AZ154" s="2" t="str">
        <f t="shared" si="64"/>
        <v>EAST_MDB_5C_8\PI2</v>
      </c>
      <c r="BA154" s="2" t="str">
        <f t="shared" si="64"/>
        <v>EAST_MDB_5C_8\PI3</v>
      </c>
    </row>
    <row r="155" spans="1:53" x14ac:dyDescent="0.25">
      <c r="A155" s="3">
        <v>69</v>
      </c>
      <c r="B155" s="3" t="s">
        <v>336</v>
      </c>
      <c r="C155" s="3" t="s">
        <v>163</v>
      </c>
      <c r="D155" s="3" t="s">
        <v>331</v>
      </c>
      <c r="E155" s="4"/>
      <c r="F155" s="2" t="str">
        <f t="shared" si="62"/>
        <v>EAST_MDB_5C_9\ST</v>
      </c>
      <c r="G155" s="2" t="str">
        <f t="shared" si="62"/>
        <v>EAST_MDB_5C_9\TRIP</v>
      </c>
      <c r="H155" s="20"/>
      <c r="I155" s="20"/>
      <c r="J155" s="20"/>
      <c r="K155" s="20"/>
      <c r="L155" s="20"/>
      <c r="M155" s="20"/>
      <c r="N155" s="20"/>
      <c r="O155" s="20"/>
      <c r="P155" s="20"/>
      <c r="Q155" s="24"/>
      <c r="R155" s="2" t="str">
        <f t="shared" si="63"/>
        <v>EAST_MDB_5C_9\V12</v>
      </c>
      <c r="S155" s="2" t="str">
        <f t="shared" si="63"/>
        <v>EAST_MDB_5C_9\V23</v>
      </c>
      <c r="T155" s="2" t="str">
        <f t="shared" si="63"/>
        <v>EAST_MDB_5C_9\V31</v>
      </c>
      <c r="U155" s="2" t="str">
        <f t="shared" si="63"/>
        <v>EAST_MDB_5C_9\V1N</v>
      </c>
      <c r="V155" s="2" t="str">
        <f t="shared" si="63"/>
        <v>EAST_MDB_5C_9\V2N</v>
      </c>
      <c r="W155" s="2" t="str">
        <f t="shared" si="63"/>
        <v>EAST_MDB_5C_9\V3N</v>
      </c>
      <c r="X155" s="2" t="str">
        <f t="shared" si="63"/>
        <v>EAST_MDB_5C_9\VA</v>
      </c>
      <c r="Y155" s="2" t="str">
        <f t="shared" si="63"/>
        <v>EAST_MDB_5C_9\A1</v>
      </c>
      <c r="Z155" s="2" t="str">
        <f t="shared" si="63"/>
        <v>EAST_MDB_5C_9\A2</v>
      </c>
      <c r="AA155" s="2" t="str">
        <f t="shared" si="63"/>
        <v>EAST_MDB_5C_9\A3</v>
      </c>
      <c r="AB155" s="2" t="str">
        <f t="shared" si="63"/>
        <v>EAST_MDB_5C_9\AA</v>
      </c>
      <c r="AC155" s="2" t="str">
        <f t="shared" si="63"/>
        <v>EAST_MDB_5C_9\PF</v>
      </c>
      <c r="AD155" s="2" t="str">
        <f t="shared" si="63"/>
        <v>EAST_MDB_5C_9\HZ</v>
      </c>
      <c r="AE155" s="2" t="str">
        <f t="shared" si="63"/>
        <v>EAST_MDB_5C_9\KW</v>
      </c>
      <c r="AF155" s="2" t="str">
        <f t="shared" si="63"/>
        <v>EAST_MDB_5C_9\KHh</v>
      </c>
      <c r="AG155" s="2" t="str">
        <f t="shared" si="63"/>
        <v>EAST_MDB_5C_9\VA</v>
      </c>
      <c r="AH155" s="2" t="str">
        <f t="shared" si="63"/>
        <v>EAST_MDB_5C_9\VAH</v>
      </c>
      <c r="AI155" s="2" t="str">
        <f t="shared" si="63"/>
        <v>EAST_MDB_5C_9\PEAK</v>
      </c>
      <c r="AJ155" s="2" t="str">
        <f t="shared" si="65"/>
        <v>EAST_MDB_5C_9\H_A_1</v>
      </c>
      <c r="AK155" s="2" t="str">
        <f t="shared" si="65"/>
        <v>EAST_MDB_5C_9\H_A_3</v>
      </c>
      <c r="AL155" s="2" t="str">
        <f t="shared" si="65"/>
        <v>EAST_MDB_5C_9\H_A_5</v>
      </c>
      <c r="AM155" s="2" t="str">
        <f t="shared" si="65"/>
        <v>EAST_MDB_5C_9\H_A_7</v>
      </c>
      <c r="AN155" s="2" t="str">
        <f t="shared" si="65"/>
        <v>EAST_MDB_5C_9\H_B_1</v>
      </c>
      <c r="AO155" s="2" t="str">
        <f t="shared" si="65"/>
        <v>EAST_MDB_5C_9\H_B_3</v>
      </c>
      <c r="AP155" s="2" t="str">
        <f t="shared" si="65"/>
        <v>EAST_MDB_5C_9\H_B_5</v>
      </c>
      <c r="AQ155" s="2" t="str">
        <f t="shared" si="65"/>
        <v>EAST_MDB_5C_9\H_B_7</v>
      </c>
      <c r="AR155" s="2" t="str">
        <f t="shared" si="65"/>
        <v>EAST_MDB_5C_9\H_C_1</v>
      </c>
      <c r="AS155" s="2" t="str">
        <f t="shared" si="65"/>
        <v>EAST_MDB_5C_9\H_C_3</v>
      </c>
      <c r="AT155" s="2" t="str">
        <f t="shared" si="65"/>
        <v>EAST_MDB_5C_9\H_C_5</v>
      </c>
      <c r="AU155" s="2" t="str">
        <f t="shared" si="65"/>
        <v>EAST_MDB_5C_9\H_C_7</v>
      </c>
      <c r="AV155" s="2" t="str">
        <f t="shared" si="64"/>
        <v>EAST_MDB_5C_9\PV1</v>
      </c>
      <c r="AW155" s="2" t="str">
        <f t="shared" si="64"/>
        <v>EAST_MDB_5C_9\PV2</v>
      </c>
      <c r="AX155" s="2" t="str">
        <f t="shared" si="64"/>
        <v>EAST_MDB_5C_9\PV3</v>
      </c>
      <c r="AY155" s="2" t="str">
        <f t="shared" si="64"/>
        <v>EAST_MDB_5C_9\PI1</v>
      </c>
      <c r="AZ155" s="2" t="str">
        <f t="shared" si="64"/>
        <v>EAST_MDB_5C_9\PI2</v>
      </c>
      <c r="BA155" s="2" t="str">
        <f t="shared" si="64"/>
        <v>EAST_MDB_5C_9\PI3</v>
      </c>
    </row>
    <row r="156" spans="1:53" x14ac:dyDescent="0.25">
      <c r="A156" s="3">
        <v>70</v>
      </c>
      <c r="B156" s="3" t="s">
        <v>336</v>
      </c>
      <c r="C156" s="3" t="s">
        <v>164</v>
      </c>
      <c r="D156" s="3" t="s">
        <v>331</v>
      </c>
      <c r="E156" s="4"/>
      <c r="F156" s="2" t="str">
        <f t="shared" si="62"/>
        <v>EAST_MDB_5C_10\ST</v>
      </c>
      <c r="G156" s="2" t="str">
        <f t="shared" si="62"/>
        <v>EAST_MDB_5C_10\TRIP</v>
      </c>
      <c r="H156" s="20"/>
      <c r="I156" s="20"/>
      <c r="J156" s="20"/>
      <c r="K156" s="20"/>
      <c r="L156" s="20"/>
      <c r="M156" s="20"/>
      <c r="N156" s="20"/>
      <c r="O156" s="20"/>
      <c r="P156" s="20"/>
      <c r="Q156" s="24"/>
      <c r="R156" s="2" t="str">
        <f t="shared" si="63"/>
        <v>EAST_MDB_5C_10\V12</v>
      </c>
      <c r="S156" s="2" t="str">
        <f t="shared" si="63"/>
        <v>EAST_MDB_5C_10\V23</v>
      </c>
      <c r="T156" s="2" t="str">
        <f t="shared" si="63"/>
        <v>EAST_MDB_5C_10\V31</v>
      </c>
      <c r="U156" s="2" t="str">
        <f t="shared" si="63"/>
        <v>EAST_MDB_5C_10\V1N</v>
      </c>
      <c r="V156" s="2" t="str">
        <f t="shared" si="63"/>
        <v>EAST_MDB_5C_10\V2N</v>
      </c>
      <c r="W156" s="2" t="str">
        <f t="shared" si="63"/>
        <v>EAST_MDB_5C_10\V3N</v>
      </c>
      <c r="X156" s="2" t="str">
        <f t="shared" si="63"/>
        <v>EAST_MDB_5C_10\VA</v>
      </c>
      <c r="Y156" s="2" t="str">
        <f t="shared" si="63"/>
        <v>EAST_MDB_5C_10\A1</v>
      </c>
      <c r="Z156" s="2" t="str">
        <f t="shared" si="63"/>
        <v>EAST_MDB_5C_10\A2</v>
      </c>
      <c r="AA156" s="2" t="str">
        <f t="shared" si="63"/>
        <v>EAST_MDB_5C_10\A3</v>
      </c>
      <c r="AB156" s="2" t="str">
        <f t="shared" si="63"/>
        <v>EAST_MDB_5C_10\AA</v>
      </c>
      <c r="AC156" s="2" t="str">
        <f t="shared" si="63"/>
        <v>EAST_MDB_5C_10\PF</v>
      </c>
      <c r="AD156" s="2" t="str">
        <f t="shared" si="63"/>
        <v>EAST_MDB_5C_10\HZ</v>
      </c>
      <c r="AE156" s="2" t="str">
        <f t="shared" si="63"/>
        <v>EAST_MDB_5C_10\KW</v>
      </c>
      <c r="AF156" s="2" t="str">
        <f t="shared" si="63"/>
        <v>EAST_MDB_5C_10\KHh</v>
      </c>
      <c r="AG156" s="2" t="str">
        <f t="shared" si="63"/>
        <v>EAST_MDB_5C_10\VA</v>
      </c>
      <c r="AH156" s="2" t="str">
        <f t="shared" si="63"/>
        <v>EAST_MDB_5C_10\VAH</v>
      </c>
      <c r="AI156" s="2" t="str">
        <f t="shared" si="63"/>
        <v>EAST_MDB_5C_10\PEAK</v>
      </c>
      <c r="AJ156" s="2" t="str">
        <f t="shared" si="65"/>
        <v>EAST_MDB_5C_10\H_A_1</v>
      </c>
      <c r="AK156" s="2" t="str">
        <f t="shared" si="65"/>
        <v>EAST_MDB_5C_10\H_A_3</v>
      </c>
      <c r="AL156" s="2" t="str">
        <f t="shared" si="65"/>
        <v>EAST_MDB_5C_10\H_A_5</v>
      </c>
      <c r="AM156" s="2" t="str">
        <f t="shared" si="65"/>
        <v>EAST_MDB_5C_10\H_A_7</v>
      </c>
      <c r="AN156" s="2" t="str">
        <f t="shared" si="65"/>
        <v>EAST_MDB_5C_10\H_B_1</v>
      </c>
      <c r="AO156" s="2" t="str">
        <f t="shared" si="65"/>
        <v>EAST_MDB_5C_10\H_B_3</v>
      </c>
      <c r="AP156" s="2" t="str">
        <f t="shared" si="65"/>
        <v>EAST_MDB_5C_10\H_B_5</v>
      </c>
      <c r="AQ156" s="2" t="str">
        <f t="shared" si="65"/>
        <v>EAST_MDB_5C_10\H_B_7</v>
      </c>
      <c r="AR156" s="2" t="str">
        <f t="shared" si="65"/>
        <v>EAST_MDB_5C_10\H_C_1</v>
      </c>
      <c r="AS156" s="2" t="str">
        <f t="shared" si="65"/>
        <v>EAST_MDB_5C_10\H_C_3</v>
      </c>
      <c r="AT156" s="2" t="str">
        <f t="shared" si="65"/>
        <v>EAST_MDB_5C_10\H_C_5</v>
      </c>
      <c r="AU156" s="2" t="str">
        <f t="shared" si="65"/>
        <v>EAST_MDB_5C_10\H_C_7</v>
      </c>
      <c r="AV156" s="2" t="str">
        <f t="shared" si="64"/>
        <v>EAST_MDB_5C_10\PV1</v>
      </c>
      <c r="AW156" s="2" t="str">
        <f t="shared" si="64"/>
        <v>EAST_MDB_5C_10\PV2</v>
      </c>
      <c r="AX156" s="2" t="str">
        <f t="shared" si="64"/>
        <v>EAST_MDB_5C_10\PV3</v>
      </c>
      <c r="AY156" s="2" t="str">
        <f t="shared" si="64"/>
        <v>EAST_MDB_5C_10\PI1</v>
      </c>
      <c r="AZ156" s="2" t="str">
        <f t="shared" si="64"/>
        <v>EAST_MDB_5C_10\PI2</v>
      </c>
      <c r="BA156" s="2" t="str">
        <f t="shared" si="64"/>
        <v>EAST_MDB_5C_10\PI3</v>
      </c>
    </row>
    <row r="157" spans="1:53" x14ac:dyDescent="0.25">
      <c r="A157" s="3">
        <v>71</v>
      </c>
      <c r="B157" s="3" t="s">
        <v>336</v>
      </c>
      <c r="C157" s="3" t="s">
        <v>238</v>
      </c>
      <c r="D157" s="3" t="s">
        <v>293</v>
      </c>
      <c r="E157" s="4"/>
      <c r="F157" s="2"/>
      <c r="G157" s="2"/>
      <c r="H157" s="2" t="str">
        <f>$C157&amp;H$7</f>
        <v>EAST_MDB_6A\ELD</v>
      </c>
      <c r="I157" s="20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</row>
    <row r="158" spans="1:53" x14ac:dyDescent="0.25">
      <c r="A158" s="3">
        <v>72</v>
      </c>
      <c r="B158" s="3" t="s">
        <v>336</v>
      </c>
      <c r="C158" s="3" t="s">
        <v>165</v>
      </c>
      <c r="D158" s="3" t="s">
        <v>293</v>
      </c>
      <c r="E158" s="4"/>
      <c r="F158" s="2" t="str">
        <f t="shared" ref="F158:G161" si="66">$C158&amp;F$7</f>
        <v>EAST_MDB_6A_1\ST</v>
      </c>
      <c r="G158" s="2" t="str">
        <f t="shared" si="66"/>
        <v>EAST_MDB_6A_1\TRIP</v>
      </c>
      <c r="H158" s="20"/>
      <c r="I158" s="20"/>
      <c r="J158" s="20"/>
      <c r="K158" s="20"/>
      <c r="L158" s="20"/>
      <c r="M158" s="20"/>
      <c r="N158" s="20"/>
      <c r="O158" s="20"/>
      <c r="P158" s="20"/>
      <c r="Q158" s="24"/>
      <c r="R158" s="2" t="str">
        <f t="shared" ref="R158:AU161" si="67">$C158&amp;R$7</f>
        <v>EAST_MDB_6A_1\V12</v>
      </c>
      <c r="S158" s="2" t="str">
        <f t="shared" si="67"/>
        <v>EAST_MDB_6A_1\V23</v>
      </c>
      <c r="T158" s="2" t="str">
        <f t="shared" si="67"/>
        <v>EAST_MDB_6A_1\V31</v>
      </c>
      <c r="U158" s="2" t="str">
        <f t="shared" si="67"/>
        <v>EAST_MDB_6A_1\V1N</v>
      </c>
      <c r="V158" s="2" t="str">
        <f t="shared" si="67"/>
        <v>EAST_MDB_6A_1\V2N</v>
      </c>
      <c r="W158" s="2" t="str">
        <f t="shared" si="67"/>
        <v>EAST_MDB_6A_1\V3N</v>
      </c>
      <c r="X158" s="2" t="str">
        <f t="shared" si="67"/>
        <v>EAST_MDB_6A_1\VA</v>
      </c>
      <c r="Y158" s="2" t="str">
        <f t="shared" si="67"/>
        <v>EAST_MDB_6A_1\A1</v>
      </c>
      <c r="Z158" s="2" t="str">
        <f t="shared" si="67"/>
        <v>EAST_MDB_6A_1\A2</v>
      </c>
      <c r="AA158" s="2" t="str">
        <f t="shared" si="67"/>
        <v>EAST_MDB_6A_1\A3</v>
      </c>
      <c r="AB158" s="2" t="str">
        <f t="shared" si="67"/>
        <v>EAST_MDB_6A_1\AA</v>
      </c>
      <c r="AC158" s="2" t="str">
        <f t="shared" si="67"/>
        <v>EAST_MDB_6A_1\PF</v>
      </c>
      <c r="AD158" s="2" t="str">
        <f t="shared" si="67"/>
        <v>EAST_MDB_6A_1\HZ</v>
      </c>
      <c r="AE158" s="2" t="str">
        <f t="shared" si="67"/>
        <v>EAST_MDB_6A_1\KW</v>
      </c>
      <c r="AF158" s="2" t="str">
        <f t="shared" si="67"/>
        <v>EAST_MDB_6A_1\KHh</v>
      </c>
      <c r="AG158" s="2" t="str">
        <f t="shared" si="67"/>
        <v>EAST_MDB_6A_1\VA</v>
      </c>
      <c r="AH158" s="2" t="str">
        <f t="shared" si="67"/>
        <v>EAST_MDB_6A_1\VAH</v>
      </c>
      <c r="AI158" s="2" t="str">
        <f t="shared" si="67"/>
        <v>EAST_MDB_6A_1\PEAK</v>
      </c>
      <c r="AJ158" s="2" t="str">
        <f t="shared" si="67"/>
        <v>EAST_MDB_6A_1\H_A_1</v>
      </c>
      <c r="AK158" s="2" t="str">
        <f t="shared" si="67"/>
        <v>EAST_MDB_6A_1\H_A_3</v>
      </c>
      <c r="AL158" s="2" t="str">
        <f t="shared" si="67"/>
        <v>EAST_MDB_6A_1\H_A_5</v>
      </c>
      <c r="AM158" s="2" t="str">
        <f t="shared" si="67"/>
        <v>EAST_MDB_6A_1\H_A_7</v>
      </c>
      <c r="AN158" s="2" t="str">
        <f t="shared" si="67"/>
        <v>EAST_MDB_6A_1\H_B_1</v>
      </c>
      <c r="AO158" s="2" t="str">
        <f t="shared" si="67"/>
        <v>EAST_MDB_6A_1\H_B_3</v>
      </c>
      <c r="AP158" s="2" t="str">
        <f t="shared" si="67"/>
        <v>EAST_MDB_6A_1\H_B_5</v>
      </c>
      <c r="AQ158" s="2" t="str">
        <f t="shared" si="67"/>
        <v>EAST_MDB_6A_1\H_B_7</v>
      </c>
      <c r="AR158" s="2" t="str">
        <f t="shared" si="67"/>
        <v>EAST_MDB_6A_1\H_C_1</v>
      </c>
      <c r="AS158" s="2" t="str">
        <f t="shared" si="67"/>
        <v>EAST_MDB_6A_1\H_C_3</v>
      </c>
      <c r="AT158" s="2" t="str">
        <f t="shared" si="67"/>
        <v>EAST_MDB_6A_1\H_C_5</v>
      </c>
      <c r="AU158" s="2" t="str">
        <f t="shared" si="67"/>
        <v>EAST_MDB_6A_1\H_C_7</v>
      </c>
      <c r="AV158" s="2" t="str">
        <f t="shared" ref="AV158:BA161" si="68">$C158&amp;AV$7</f>
        <v>EAST_MDB_6A_1\PV1</v>
      </c>
      <c r="AW158" s="2" t="str">
        <f t="shared" si="68"/>
        <v>EAST_MDB_6A_1\PV2</v>
      </c>
      <c r="AX158" s="2" t="str">
        <f t="shared" si="68"/>
        <v>EAST_MDB_6A_1\PV3</v>
      </c>
      <c r="AY158" s="2" t="str">
        <f t="shared" si="68"/>
        <v>EAST_MDB_6A_1\PI1</v>
      </c>
      <c r="AZ158" s="2" t="str">
        <f t="shared" si="68"/>
        <v>EAST_MDB_6A_1\PI2</v>
      </c>
      <c r="BA158" s="2" t="str">
        <f t="shared" si="68"/>
        <v>EAST_MDB_6A_1\PI3</v>
      </c>
    </row>
    <row r="159" spans="1:53" x14ac:dyDescent="0.25">
      <c r="A159" s="3">
        <v>73</v>
      </c>
      <c r="B159" s="3" t="s">
        <v>336</v>
      </c>
      <c r="C159" s="3" t="s">
        <v>166</v>
      </c>
      <c r="D159" s="3" t="s">
        <v>293</v>
      </c>
      <c r="E159" s="4"/>
      <c r="F159" s="2" t="str">
        <f t="shared" si="66"/>
        <v>EAST_MDB_6A_2\ST</v>
      </c>
      <c r="G159" s="2" t="str">
        <f t="shared" si="66"/>
        <v>EAST_MDB_6A_2\TRIP</v>
      </c>
      <c r="H159" s="20"/>
      <c r="I159" s="20"/>
      <c r="J159" s="20"/>
      <c r="K159" s="20"/>
      <c r="L159" s="20"/>
      <c r="M159" s="20"/>
      <c r="N159" s="20"/>
      <c r="O159" s="20"/>
      <c r="P159" s="20"/>
      <c r="Q159" s="24"/>
      <c r="R159" s="2" t="str">
        <f t="shared" si="67"/>
        <v>EAST_MDB_6A_2\V12</v>
      </c>
      <c r="S159" s="2" t="str">
        <f t="shared" si="67"/>
        <v>EAST_MDB_6A_2\V23</v>
      </c>
      <c r="T159" s="2" t="str">
        <f t="shared" si="67"/>
        <v>EAST_MDB_6A_2\V31</v>
      </c>
      <c r="U159" s="2" t="str">
        <f t="shared" si="67"/>
        <v>EAST_MDB_6A_2\V1N</v>
      </c>
      <c r="V159" s="2" t="str">
        <f t="shared" si="67"/>
        <v>EAST_MDB_6A_2\V2N</v>
      </c>
      <c r="W159" s="2" t="str">
        <f t="shared" si="67"/>
        <v>EAST_MDB_6A_2\V3N</v>
      </c>
      <c r="X159" s="2" t="str">
        <f t="shared" si="67"/>
        <v>EAST_MDB_6A_2\VA</v>
      </c>
      <c r="Y159" s="2" t="str">
        <f t="shared" si="67"/>
        <v>EAST_MDB_6A_2\A1</v>
      </c>
      <c r="Z159" s="2" t="str">
        <f t="shared" si="67"/>
        <v>EAST_MDB_6A_2\A2</v>
      </c>
      <c r="AA159" s="2" t="str">
        <f t="shared" si="67"/>
        <v>EAST_MDB_6A_2\A3</v>
      </c>
      <c r="AB159" s="2" t="str">
        <f t="shared" si="67"/>
        <v>EAST_MDB_6A_2\AA</v>
      </c>
      <c r="AC159" s="2" t="str">
        <f t="shared" si="67"/>
        <v>EAST_MDB_6A_2\PF</v>
      </c>
      <c r="AD159" s="2" t="str">
        <f t="shared" si="67"/>
        <v>EAST_MDB_6A_2\HZ</v>
      </c>
      <c r="AE159" s="2" t="str">
        <f t="shared" si="67"/>
        <v>EAST_MDB_6A_2\KW</v>
      </c>
      <c r="AF159" s="2" t="str">
        <f t="shared" si="67"/>
        <v>EAST_MDB_6A_2\KHh</v>
      </c>
      <c r="AG159" s="2" t="str">
        <f t="shared" si="67"/>
        <v>EAST_MDB_6A_2\VA</v>
      </c>
      <c r="AH159" s="2" t="str">
        <f t="shared" si="67"/>
        <v>EAST_MDB_6A_2\VAH</v>
      </c>
      <c r="AI159" s="2" t="str">
        <f t="shared" si="67"/>
        <v>EAST_MDB_6A_2\PEAK</v>
      </c>
      <c r="AJ159" s="2" t="str">
        <f t="shared" si="67"/>
        <v>EAST_MDB_6A_2\H_A_1</v>
      </c>
      <c r="AK159" s="2" t="str">
        <f t="shared" si="67"/>
        <v>EAST_MDB_6A_2\H_A_3</v>
      </c>
      <c r="AL159" s="2" t="str">
        <f t="shared" si="67"/>
        <v>EAST_MDB_6A_2\H_A_5</v>
      </c>
      <c r="AM159" s="2" t="str">
        <f t="shared" si="67"/>
        <v>EAST_MDB_6A_2\H_A_7</v>
      </c>
      <c r="AN159" s="2" t="str">
        <f t="shared" si="67"/>
        <v>EAST_MDB_6A_2\H_B_1</v>
      </c>
      <c r="AO159" s="2" t="str">
        <f t="shared" si="67"/>
        <v>EAST_MDB_6A_2\H_B_3</v>
      </c>
      <c r="AP159" s="2" t="str">
        <f t="shared" si="67"/>
        <v>EAST_MDB_6A_2\H_B_5</v>
      </c>
      <c r="AQ159" s="2" t="str">
        <f t="shared" si="67"/>
        <v>EAST_MDB_6A_2\H_B_7</v>
      </c>
      <c r="AR159" s="2" t="str">
        <f t="shared" si="67"/>
        <v>EAST_MDB_6A_2\H_C_1</v>
      </c>
      <c r="AS159" s="2" t="str">
        <f t="shared" si="67"/>
        <v>EAST_MDB_6A_2\H_C_3</v>
      </c>
      <c r="AT159" s="2" t="str">
        <f t="shared" si="67"/>
        <v>EAST_MDB_6A_2\H_C_5</v>
      </c>
      <c r="AU159" s="2" t="str">
        <f t="shared" si="67"/>
        <v>EAST_MDB_6A_2\H_C_7</v>
      </c>
      <c r="AV159" s="2" t="str">
        <f t="shared" si="68"/>
        <v>EAST_MDB_6A_2\PV1</v>
      </c>
      <c r="AW159" s="2" t="str">
        <f t="shared" si="68"/>
        <v>EAST_MDB_6A_2\PV2</v>
      </c>
      <c r="AX159" s="2" t="str">
        <f t="shared" si="68"/>
        <v>EAST_MDB_6A_2\PV3</v>
      </c>
      <c r="AY159" s="2" t="str">
        <f t="shared" si="68"/>
        <v>EAST_MDB_6A_2\PI1</v>
      </c>
      <c r="AZ159" s="2" t="str">
        <f t="shared" si="68"/>
        <v>EAST_MDB_6A_2\PI2</v>
      </c>
      <c r="BA159" s="2" t="str">
        <f t="shared" si="68"/>
        <v>EAST_MDB_6A_2\PI3</v>
      </c>
    </row>
    <row r="160" spans="1:53" x14ac:dyDescent="0.25">
      <c r="A160" s="3">
        <v>74</v>
      </c>
      <c r="B160" s="3" t="s">
        <v>336</v>
      </c>
      <c r="C160" s="3" t="s">
        <v>167</v>
      </c>
      <c r="D160" s="3" t="s">
        <v>293</v>
      </c>
      <c r="E160" s="4"/>
      <c r="F160" s="2" t="str">
        <f t="shared" si="66"/>
        <v>EAST_MDB_6A_3\ST</v>
      </c>
      <c r="G160" s="2" t="str">
        <f t="shared" si="66"/>
        <v>EAST_MDB_6A_3\TRIP</v>
      </c>
      <c r="H160" s="20"/>
      <c r="I160" s="20"/>
      <c r="J160" s="20"/>
      <c r="K160" s="20"/>
      <c r="L160" s="20"/>
      <c r="M160" s="20"/>
      <c r="N160" s="20"/>
      <c r="O160" s="20"/>
      <c r="P160" s="20"/>
      <c r="Q160" s="24"/>
      <c r="R160" s="2" t="str">
        <f t="shared" si="67"/>
        <v>EAST_MDB_6A_3\V12</v>
      </c>
      <c r="S160" s="2" t="str">
        <f t="shared" si="67"/>
        <v>EAST_MDB_6A_3\V23</v>
      </c>
      <c r="T160" s="2" t="str">
        <f t="shared" si="67"/>
        <v>EAST_MDB_6A_3\V31</v>
      </c>
      <c r="U160" s="2" t="str">
        <f t="shared" si="67"/>
        <v>EAST_MDB_6A_3\V1N</v>
      </c>
      <c r="V160" s="2" t="str">
        <f t="shared" si="67"/>
        <v>EAST_MDB_6A_3\V2N</v>
      </c>
      <c r="W160" s="2" t="str">
        <f t="shared" si="67"/>
        <v>EAST_MDB_6A_3\V3N</v>
      </c>
      <c r="X160" s="2" t="str">
        <f t="shared" si="67"/>
        <v>EAST_MDB_6A_3\VA</v>
      </c>
      <c r="Y160" s="2" t="str">
        <f t="shared" si="67"/>
        <v>EAST_MDB_6A_3\A1</v>
      </c>
      <c r="Z160" s="2" t="str">
        <f t="shared" si="67"/>
        <v>EAST_MDB_6A_3\A2</v>
      </c>
      <c r="AA160" s="2" t="str">
        <f t="shared" si="67"/>
        <v>EAST_MDB_6A_3\A3</v>
      </c>
      <c r="AB160" s="2" t="str">
        <f t="shared" si="67"/>
        <v>EAST_MDB_6A_3\AA</v>
      </c>
      <c r="AC160" s="2" t="str">
        <f t="shared" si="67"/>
        <v>EAST_MDB_6A_3\PF</v>
      </c>
      <c r="AD160" s="2" t="str">
        <f t="shared" si="67"/>
        <v>EAST_MDB_6A_3\HZ</v>
      </c>
      <c r="AE160" s="2" t="str">
        <f t="shared" si="67"/>
        <v>EAST_MDB_6A_3\KW</v>
      </c>
      <c r="AF160" s="2" t="str">
        <f t="shared" si="67"/>
        <v>EAST_MDB_6A_3\KHh</v>
      </c>
      <c r="AG160" s="2" t="str">
        <f t="shared" si="67"/>
        <v>EAST_MDB_6A_3\VA</v>
      </c>
      <c r="AH160" s="2" t="str">
        <f t="shared" si="67"/>
        <v>EAST_MDB_6A_3\VAH</v>
      </c>
      <c r="AI160" s="2" t="str">
        <f t="shared" si="67"/>
        <v>EAST_MDB_6A_3\PEAK</v>
      </c>
      <c r="AJ160" s="2" t="str">
        <f t="shared" si="67"/>
        <v>EAST_MDB_6A_3\H_A_1</v>
      </c>
      <c r="AK160" s="2" t="str">
        <f t="shared" si="67"/>
        <v>EAST_MDB_6A_3\H_A_3</v>
      </c>
      <c r="AL160" s="2" t="str">
        <f t="shared" si="67"/>
        <v>EAST_MDB_6A_3\H_A_5</v>
      </c>
      <c r="AM160" s="2" t="str">
        <f t="shared" si="67"/>
        <v>EAST_MDB_6A_3\H_A_7</v>
      </c>
      <c r="AN160" s="2" t="str">
        <f t="shared" si="67"/>
        <v>EAST_MDB_6A_3\H_B_1</v>
      </c>
      <c r="AO160" s="2" t="str">
        <f t="shared" si="67"/>
        <v>EAST_MDB_6A_3\H_B_3</v>
      </c>
      <c r="AP160" s="2" t="str">
        <f t="shared" si="67"/>
        <v>EAST_MDB_6A_3\H_B_5</v>
      </c>
      <c r="AQ160" s="2" t="str">
        <f t="shared" si="67"/>
        <v>EAST_MDB_6A_3\H_B_7</v>
      </c>
      <c r="AR160" s="2" t="str">
        <f t="shared" si="67"/>
        <v>EAST_MDB_6A_3\H_C_1</v>
      </c>
      <c r="AS160" s="2" t="str">
        <f t="shared" si="67"/>
        <v>EAST_MDB_6A_3\H_C_3</v>
      </c>
      <c r="AT160" s="2" t="str">
        <f t="shared" si="67"/>
        <v>EAST_MDB_6A_3\H_C_5</v>
      </c>
      <c r="AU160" s="2" t="str">
        <f t="shared" si="67"/>
        <v>EAST_MDB_6A_3\H_C_7</v>
      </c>
      <c r="AV160" s="2" t="str">
        <f t="shared" si="68"/>
        <v>EAST_MDB_6A_3\PV1</v>
      </c>
      <c r="AW160" s="2" t="str">
        <f t="shared" si="68"/>
        <v>EAST_MDB_6A_3\PV2</v>
      </c>
      <c r="AX160" s="2" t="str">
        <f t="shared" si="68"/>
        <v>EAST_MDB_6A_3\PV3</v>
      </c>
      <c r="AY160" s="2" t="str">
        <f t="shared" si="68"/>
        <v>EAST_MDB_6A_3\PI1</v>
      </c>
      <c r="AZ160" s="2" t="str">
        <f t="shared" si="68"/>
        <v>EAST_MDB_6A_3\PI2</v>
      </c>
      <c r="BA160" s="2" t="str">
        <f t="shared" si="68"/>
        <v>EAST_MDB_6A_3\PI3</v>
      </c>
    </row>
    <row r="161" spans="1:53" x14ac:dyDescent="0.25">
      <c r="A161" s="3">
        <v>75</v>
      </c>
      <c r="B161" s="3" t="s">
        <v>336</v>
      </c>
      <c r="C161" s="3" t="s">
        <v>168</v>
      </c>
      <c r="D161" s="3" t="s">
        <v>293</v>
      </c>
      <c r="E161" s="4"/>
      <c r="F161" s="2" t="str">
        <f t="shared" si="66"/>
        <v>EAST_MDB_6A_4\ST</v>
      </c>
      <c r="G161" s="2" t="str">
        <f t="shared" si="66"/>
        <v>EAST_MDB_6A_4\TRIP</v>
      </c>
      <c r="H161" s="20"/>
      <c r="I161" s="20"/>
      <c r="J161" s="20"/>
      <c r="K161" s="20"/>
      <c r="L161" s="20"/>
      <c r="M161" s="20"/>
      <c r="N161" s="20"/>
      <c r="O161" s="20"/>
      <c r="P161" s="20"/>
      <c r="Q161" s="24"/>
      <c r="R161" s="2" t="str">
        <f t="shared" si="67"/>
        <v>EAST_MDB_6A_4\V12</v>
      </c>
      <c r="S161" s="2" t="str">
        <f t="shared" si="67"/>
        <v>EAST_MDB_6A_4\V23</v>
      </c>
      <c r="T161" s="2" t="str">
        <f t="shared" si="67"/>
        <v>EAST_MDB_6A_4\V31</v>
      </c>
      <c r="U161" s="2" t="str">
        <f t="shared" si="67"/>
        <v>EAST_MDB_6A_4\V1N</v>
      </c>
      <c r="V161" s="2" t="str">
        <f t="shared" si="67"/>
        <v>EAST_MDB_6A_4\V2N</v>
      </c>
      <c r="W161" s="2" t="str">
        <f t="shared" si="67"/>
        <v>EAST_MDB_6A_4\V3N</v>
      </c>
      <c r="X161" s="2" t="str">
        <f t="shared" si="67"/>
        <v>EAST_MDB_6A_4\VA</v>
      </c>
      <c r="Y161" s="2" t="str">
        <f t="shared" si="67"/>
        <v>EAST_MDB_6A_4\A1</v>
      </c>
      <c r="Z161" s="2" t="str">
        <f t="shared" si="67"/>
        <v>EAST_MDB_6A_4\A2</v>
      </c>
      <c r="AA161" s="2" t="str">
        <f t="shared" si="67"/>
        <v>EAST_MDB_6A_4\A3</v>
      </c>
      <c r="AB161" s="2" t="str">
        <f t="shared" si="67"/>
        <v>EAST_MDB_6A_4\AA</v>
      </c>
      <c r="AC161" s="2" t="str">
        <f t="shared" si="67"/>
        <v>EAST_MDB_6A_4\PF</v>
      </c>
      <c r="AD161" s="2" t="str">
        <f t="shared" si="67"/>
        <v>EAST_MDB_6A_4\HZ</v>
      </c>
      <c r="AE161" s="2" t="str">
        <f t="shared" si="67"/>
        <v>EAST_MDB_6A_4\KW</v>
      </c>
      <c r="AF161" s="2" t="str">
        <f t="shared" si="67"/>
        <v>EAST_MDB_6A_4\KHh</v>
      </c>
      <c r="AG161" s="2" t="str">
        <f t="shared" si="67"/>
        <v>EAST_MDB_6A_4\VA</v>
      </c>
      <c r="AH161" s="2" t="str">
        <f t="shared" si="67"/>
        <v>EAST_MDB_6A_4\VAH</v>
      </c>
      <c r="AI161" s="2" t="str">
        <f t="shared" si="67"/>
        <v>EAST_MDB_6A_4\PEAK</v>
      </c>
      <c r="AJ161" s="2" t="str">
        <f t="shared" si="67"/>
        <v>EAST_MDB_6A_4\H_A_1</v>
      </c>
      <c r="AK161" s="2" t="str">
        <f t="shared" si="67"/>
        <v>EAST_MDB_6A_4\H_A_3</v>
      </c>
      <c r="AL161" s="2" t="str">
        <f t="shared" si="67"/>
        <v>EAST_MDB_6A_4\H_A_5</v>
      </c>
      <c r="AM161" s="2" t="str">
        <f t="shared" si="67"/>
        <v>EAST_MDB_6A_4\H_A_7</v>
      </c>
      <c r="AN161" s="2" t="str">
        <f t="shared" si="67"/>
        <v>EAST_MDB_6A_4\H_B_1</v>
      </c>
      <c r="AO161" s="2" t="str">
        <f t="shared" si="67"/>
        <v>EAST_MDB_6A_4\H_B_3</v>
      </c>
      <c r="AP161" s="2" t="str">
        <f t="shared" si="67"/>
        <v>EAST_MDB_6A_4\H_B_5</v>
      </c>
      <c r="AQ161" s="2" t="str">
        <f t="shared" si="67"/>
        <v>EAST_MDB_6A_4\H_B_7</v>
      </c>
      <c r="AR161" s="2" t="str">
        <f t="shared" si="67"/>
        <v>EAST_MDB_6A_4\H_C_1</v>
      </c>
      <c r="AS161" s="2" t="str">
        <f t="shared" si="67"/>
        <v>EAST_MDB_6A_4\H_C_3</v>
      </c>
      <c r="AT161" s="2" t="str">
        <f t="shared" si="67"/>
        <v>EAST_MDB_6A_4\H_C_5</v>
      </c>
      <c r="AU161" s="2" t="str">
        <f t="shared" si="67"/>
        <v>EAST_MDB_6A_4\H_C_7</v>
      </c>
      <c r="AV161" s="2" t="str">
        <f t="shared" si="68"/>
        <v>EAST_MDB_6A_4\PV1</v>
      </c>
      <c r="AW161" s="2" t="str">
        <f t="shared" si="68"/>
        <v>EAST_MDB_6A_4\PV2</v>
      </c>
      <c r="AX161" s="2" t="str">
        <f t="shared" si="68"/>
        <v>EAST_MDB_6A_4\PV3</v>
      </c>
      <c r="AY161" s="2" t="str">
        <f t="shared" si="68"/>
        <v>EAST_MDB_6A_4\PI1</v>
      </c>
      <c r="AZ161" s="2" t="str">
        <f t="shared" si="68"/>
        <v>EAST_MDB_6A_4\PI2</v>
      </c>
      <c r="BA161" s="2" t="str">
        <f t="shared" si="68"/>
        <v>EAST_MDB_6A_4\PI3</v>
      </c>
    </row>
    <row r="162" spans="1:53" x14ac:dyDescent="0.25">
      <c r="A162" s="3">
        <v>76</v>
      </c>
      <c r="B162" s="3" t="s">
        <v>336</v>
      </c>
      <c r="C162" s="3" t="s">
        <v>239</v>
      </c>
      <c r="D162" s="3" t="s">
        <v>332</v>
      </c>
      <c r="E162" s="4"/>
      <c r="F162" s="2"/>
      <c r="G162" s="2"/>
      <c r="H162" s="2" t="str">
        <f>$C162&amp;H$7</f>
        <v>EAST_MDB_6B\ELD</v>
      </c>
      <c r="I162" s="20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</row>
    <row r="163" spans="1:53" x14ac:dyDescent="0.25">
      <c r="A163" s="3">
        <v>77</v>
      </c>
      <c r="B163" s="3" t="s">
        <v>336</v>
      </c>
      <c r="C163" s="3" t="s">
        <v>169</v>
      </c>
      <c r="D163" s="3" t="s">
        <v>332</v>
      </c>
      <c r="E163" s="4"/>
      <c r="F163" s="2" t="str">
        <f t="shared" ref="F163:G173" si="69">$C163&amp;F$7</f>
        <v>EAST_MDB_6B_1\ST</v>
      </c>
      <c r="G163" s="2" t="str">
        <f t="shared" si="69"/>
        <v>EAST_MDB_6B_1\TRIP</v>
      </c>
      <c r="H163" s="20"/>
      <c r="I163" s="20"/>
      <c r="J163" s="20"/>
      <c r="K163" s="20"/>
      <c r="L163" s="20"/>
      <c r="M163" s="20"/>
      <c r="N163" s="20"/>
      <c r="O163" s="20"/>
      <c r="P163" s="20"/>
      <c r="Q163" s="24"/>
      <c r="R163" s="2" t="str">
        <f t="shared" ref="R163:AU173" si="70">$C163&amp;R$7</f>
        <v>EAST_MDB_6B_1\V12</v>
      </c>
      <c r="S163" s="2" t="str">
        <f t="shared" si="70"/>
        <v>EAST_MDB_6B_1\V23</v>
      </c>
      <c r="T163" s="2" t="str">
        <f t="shared" si="70"/>
        <v>EAST_MDB_6B_1\V31</v>
      </c>
      <c r="U163" s="2" t="str">
        <f t="shared" si="70"/>
        <v>EAST_MDB_6B_1\V1N</v>
      </c>
      <c r="V163" s="2" t="str">
        <f t="shared" si="70"/>
        <v>EAST_MDB_6B_1\V2N</v>
      </c>
      <c r="W163" s="2" t="str">
        <f t="shared" si="70"/>
        <v>EAST_MDB_6B_1\V3N</v>
      </c>
      <c r="X163" s="2" t="str">
        <f t="shared" si="70"/>
        <v>EAST_MDB_6B_1\VA</v>
      </c>
      <c r="Y163" s="2" t="str">
        <f t="shared" si="70"/>
        <v>EAST_MDB_6B_1\A1</v>
      </c>
      <c r="Z163" s="2" t="str">
        <f t="shared" si="70"/>
        <v>EAST_MDB_6B_1\A2</v>
      </c>
      <c r="AA163" s="2" t="str">
        <f t="shared" si="70"/>
        <v>EAST_MDB_6B_1\A3</v>
      </c>
      <c r="AB163" s="2" t="str">
        <f t="shared" si="70"/>
        <v>EAST_MDB_6B_1\AA</v>
      </c>
      <c r="AC163" s="2" t="str">
        <f t="shared" si="70"/>
        <v>EAST_MDB_6B_1\PF</v>
      </c>
      <c r="AD163" s="2" t="str">
        <f t="shared" si="70"/>
        <v>EAST_MDB_6B_1\HZ</v>
      </c>
      <c r="AE163" s="2" t="str">
        <f t="shared" si="70"/>
        <v>EAST_MDB_6B_1\KW</v>
      </c>
      <c r="AF163" s="2" t="str">
        <f t="shared" si="70"/>
        <v>EAST_MDB_6B_1\KHh</v>
      </c>
      <c r="AG163" s="2" t="str">
        <f t="shared" si="70"/>
        <v>EAST_MDB_6B_1\VA</v>
      </c>
      <c r="AH163" s="2" t="str">
        <f t="shared" si="70"/>
        <v>EAST_MDB_6B_1\VAH</v>
      </c>
      <c r="AI163" s="2" t="str">
        <f t="shared" si="70"/>
        <v>EAST_MDB_6B_1\PEAK</v>
      </c>
      <c r="AJ163" s="2" t="str">
        <f t="shared" si="70"/>
        <v>EAST_MDB_6B_1\H_A_1</v>
      </c>
      <c r="AK163" s="2" t="str">
        <f t="shared" si="70"/>
        <v>EAST_MDB_6B_1\H_A_3</v>
      </c>
      <c r="AL163" s="2" t="str">
        <f t="shared" si="70"/>
        <v>EAST_MDB_6B_1\H_A_5</v>
      </c>
      <c r="AM163" s="2" t="str">
        <f t="shared" si="70"/>
        <v>EAST_MDB_6B_1\H_A_7</v>
      </c>
      <c r="AN163" s="2" t="str">
        <f t="shared" si="70"/>
        <v>EAST_MDB_6B_1\H_B_1</v>
      </c>
      <c r="AO163" s="2" t="str">
        <f t="shared" si="70"/>
        <v>EAST_MDB_6B_1\H_B_3</v>
      </c>
      <c r="AP163" s="2" t="str">
        <f t="shared" si="70"/>
        <v>EAST_MDB_6B_1\H_B_5</v>
      </c>
      <c r="AQ163" s="2" t="str">
        <f t="shared" si="70"/>
        <v>EAST_MDB_6B_1\H_B_7</v>
      </c>
      <c r="AR163" s="2" t="str">
        <f t="shared" si="70"/>
        <v>EAST_MDB_6B_1\H_C_1</v>
      </c>
      <c r="AS163" s="2" t="str">
        <f t="shared" si="70"/>
        <v>EAST_MDB_6B_1\H_C_3</v>
      </c>
      <c r="AT163" s="2" t="str">
        <f t="shared" si="70"/>
        <v>EAST_MDB_6B_1\H_C_5</v>
      </c>
      <c r="AU163" s="2" t="str">
        <f t="shared" si="70"/>
        <v>EAST_MDB_6B_1\H_C_7</v>
      </c>
      <c r="AV163" s="2" t="str">
        <f t="shared" ref="AV163:BA173" si="71">$C163&amp;AV$7</f>
        <v>EAST_MDB_6B_1\PV1</v>
      </c>
      <c r="AW163" s="2" t="str">
        <f t="shared" si="71"/>
        <v>EAST_MDB_6B_1\PV2</v>
      </c>
      <c r="AX163" s="2" t="str">
        <f t="shared" si="71"/>
        <v>EAST_MDB_6B_1\PV3</v>
      </c>
      <c r="AY163" s="2" t="str">
        <f t="shared" si="71"/>
        <v>EAST_MDB_6B_1\PI1</v>
      </c>
      <c r="AZ163" s="2" t="str">
        <f t="shared" si="71"/>
        <v>EAST_MDB_6B_1\PI2</v>
      </c>
      <c r="BA163" s="2" t="str">
        <f t="shared" si="71"/>
        <v>EAST_MDB_6B_1\PI3</v>
      </c>
    </row>
    <row r="164" spans="1:53" x14ac:dyDescent="0.25">
      <c r="A164" s="3">
        <v>78</v>
      </c>
      <c r="B164" s="3" t="s">
        <v>336</v>
      </c>
      <c r="C164" s="3" t="s">
        <v>170</v>
      </c>
      <c r="D164" s="3" t="s">
        <v>332</v>
      </c>
      <c r="E164" s="4"/>
      <c r="F164" s="2" t="str">
        <f t="shared" si="69"/>
        <v>EAST_MDB_6B_2\ST</v>
      </c>
      <c r="G164" s="2" t="str">
        <f t="shared" si="69"/>
        <v>EAST_MDB_6B_2\TRIP</v>
      </c>
      <c r="H164" s="20"/>
      <c r="I164" s="20"/>
      <c r="J164" s="20"/>
      <c r="K164" s="20"/>
      <c r="L164" s="20"/>
      <c r="M164" s="20"/>
      <c r="N164" s="20"/>
      <c r="O164" s="20"/>
      <c r="P164" s="20"/>
      <c r="Q164" s="24"/>
      <c r="R164" s="2" t="str">
        <f t="shared" si="70"/>
        <v>EAST_MDB_6B_2\V12</v>
      </c>
      <c r="S164" s="2" t="str">
        <f t="shared" si="70"/>
        <v>EAST_MDB_6B_2\V23</v>
      </c>
      <c r="T164" s="2" t="str">
        <f t="shared" si="70"/>
        <v>EAST_MDB_6B_2\V31</v>
      </c>
      <c r="U164" s="2" t="str">
        <f t="shared" si="70"/>
        <v>EAST_MDB_6B_2\V1N</v>
      </c>
      <c r="V164" s="2" t="str">
        <f t="shared" si="70"/>
        <v>EAST_MDB_6B_2\V2N</v>
      </c>
      <c r="W164" s="2" t="str">
        <f t="shared" si="70"/>
        <v>EAST_MDB_6B_2\V3N</v>
      </c>
      <c r="X164" s="2" t="str">
        <f t="shared" si="70"/>
        <v>EAST_MDB_6B_2\VA</v>
      </c>
      <c r="Y164" s="2" t="str">
        <f t="shared" si="70"/>
        <v>EAST_MDB_6B_2\A1</v>
      </c>
      <c r="Z164" s="2" t="str">
        <f t="shared" si="70"/>
        <v>EAST_MDB_6B_2\A2</v>
      </c>
      <c r="AA164" s="2" t="str">
        <f t="shared" si="70"/>
        <v>EAST_MDB_6B_2\A3</v>
      </c>
      <c r="AB164" s="2" t="str">
        <f t="shared" si="70"/>
        <v>EAST_MDB_6B_2\AA</v>
      </c>
      <c r="AC164" s="2" t="str">
        <f t="shared" si="70"/>
        <v>EAST_MDB_6B_2\PF</v>
      </c>
      <c r="AD164" s="2" t="str">
        <f t="shared" si="70"/>
        <v>EAST_MDB_6B_2\HZ</v>
      </c>
      <c r="AE164" s="2" t="str">
        <f t="shared" si="70"/>
        <v>EAST_MDB_6B_2\KW</v>
      </c>
      <c r="AF164" s="2" t="str">
        <f t="shared" si="70"/>
        <v>EAST_MDB_6B_2\KHh</v>
      </c>
      <c r="AG164" s="2" t="str">
        <f t="shared" si="70"/>
        <v>EAST_MDB_6B_2\VA</v>
      </c>
      <c r="AH164" s="2" t="str">
        <f t="shared" si="70"/>
        <v>EAST_MDB_6B_2\VAH</v>
      </c>
      <c r="AI164" s="2" t="str">
        <f t="shared" si="70"/>
        <v>EAST_MDB_6B_2\PEAK</v>
      </c>
      <c r="AJ164" s="2" t="str">
        <f t="shared" si="70"/>
        <v>EAST_MDB_6B_2\H_A_1</v>
      </c>
      <c r="AK164" s="2" t="str">
        <f t="shared" si="70"/>
        <v>EAST_MDB_6B_2\H_A_3</v>
      </c>
      <c r="AL164" s="2" t="str">
        <f t="shared" si="70"/>
        <v>EAST_MDB_6B_2\H_A_5</v>
      </c>
      <c r="AM164" s="2" t="str">
        <f t="shared" si="70"/>
        <v>EAST_MDB_6B_2\H_A_7</v>
      </c>
      <c r="AN164" s="2" t="str">
        <f t="shared" si="70"/>
        <v>EAST_MDB_6B_2\H_B_1</v>
      </c>
      <c r="AO164" s="2" t="str">
        <f t="shared" si="70"/>
        <v>EAST_MDB_6B_2\H_B_3</v>
      </c>
      <c r="AP164" s="2" t="str">
        <f t="shared" si="70"/>
        <v>EAST_MDB_6B_2\H_B_5</v>
      </c>
      <c r="AQ164" s="2" t="str">
        <f t="shared" si="70"/>
        <v>EAST_MDB_6B_2\H_B_7</v>
      </c>
      <c r="AR164" s="2" t="str">
        <f t="shared" si="70"/>
        <v>EAST_MDB_6B_2\H_C_1</v>
      </c>
      <c r="AS164" s="2" t="str">
        <f t="shared" si="70"/>
        <v>EAST_MDB_6B_2\H_C_3</v>
      </c>
      <c r="AT164" s="2" t="str">
        <f t="shared" si="70"/>
        <v>EAST_MDB_6B_2\H_C_5</v>
      </c>
      <c r="AU164" s="2" t="str">
        <f t="shared" si="70"/>
        <v>EAST_MDB_6B_2\H_C_7</v>
      </c>
      <c r="AV164" s="2" t="str">
        <f t="shared" si="71"/>
        <v>EAST_MDB_6B_2\PV1</v>
      </c>
      <c r="AW164" s="2" t="str">
        <f t="shared" si="71"/>
        <v>EAST_MDB_6B_2\PV2</v>
      </c>
      <c r="AX164" s="2" t="str">
        <f t="shared" si="71"/>
        <v>EAST_MDB_6B_2\PV3</v>
      </c>
      <c r="AY164" s="2" t="str">
        <f t="shared" si="71"/>
        <v>EAST_MDB_6B_2\PI1</v>
      </c>
      <c r="AZ164" s="2" t="str">
        <f t="shared" si="71"/>
        <v>EAST_MDB_6B_2\PI2</v>
      </c>
      <c r="BA164" s="2" t="str">
        <f t="shared" si="71"/>
        <v>EAST_MDB_6B_2\PI3</v>
      </c>
    </row>
    <row r="165" spans="1:53" x14ac:dyDescent="0.25">
      <c r="A165" s="3">
        <v>79</v>
      </c>
      <c r="B165" s="3" t="s">
        <v>336</v>
      </c>
      <c r="C165" s="3" t="s">
        <v>171</v>
      </c>
      <c r="D165" s="3" t="s">
        <v>332</v>
      </c>
      <c r="E165" s="4"/>
      <c r="F165" s="2" t="str">
        <f t="shared" si="69"/>
        <v>EAST_MDB_6B_3\ST</v>
      </c>
      <c r="G165" s="2" t="str">
        <f t="shared" si="69"/>
        <v>EAST_MDB_6B_3\TRIP</v>
      </c>
      <c r="H165" s="20"/>
      <c r="I165" s="20"/>
      <c r="J165" s="20"/>
      <c r="K165" s="20"/>
      <c r="L165" s="20"/>
      <c r="M165" s="20"/>
      <c r="N165" s="20"/>
      <c r="O165" s="20"/>
      <c r="P165" s="20"/>
      <c r="Q165" s="24"/>
      <c r="R165" s="2" t="str">
        <f t="shared" si="70"/>
        <v>EAST_MDB_6B_3\V12</v>
      </c>
      <c r="S165" s="2" t="str">
        <f t="shared" si="70"/>
        <v>EAST_MDB_6B_3\V23</v>
      </c>
      <c r="T165" s="2" t="str">
        <f t="shared" si="70"/>
        <v>EAST_MDB_6B_3\V31</v>
      </c>
      <c r="U165" s="2" t="str">
        <f t="shared" si="70"/>
        <v>EAST_MDB_6B_3\V1N</v>
      </c>
      <c r="V165" s="2" t="str">
        <f t="shared" si="70"/>
        <v>EAST_MDB_6B_3\V2N</v>
      </c>
      <c r="W165" s="2" t="str">
        <f t="shared" si="70"/>
        <v>EAST_MDB_6B_3\V3N</v>
      </c>
      <c r="X165" s="2" t="str">
        <f t="shared" si="70"/>
        <v>EAST_MDB_6B_3\VA</v>
      </c>
      <c r="Y165" s="2" t="str">
        <f t="shared" si="70"/>
        <v>EAST_MDB_6B_3\A1</v>
      </c>
      <c r="Z165" s="2" t="str">
        <f t="shared" si="70"/>
        <v>EAST_MDB_6B_3\A2</v>
      </c>
      <c r="AA165" s="2" t="str">
        <f t="shared" si="70"/>
        <v>EAST_MDB_6B_3\A3</v>
      </c>
      <c r="AB165" s="2" t="str">
        <f t="shared" si="70"/>
        <v>EAST_MDB_6B_3\AA</v>
      </c>
      <c r="AC165" s="2" t="str">
        <f t="shared" si="70"/>
        <v>EAST_MDB_6B_3\PF</v>
      </c>
      <c r="AD165" s="2" t="str">
        <f t="shared" si="70"/>
        <v>EAST_MDB_6B_3\HZ</v>
      </c>
      <c r="AE165" s="2" t="str">
        <f t="shared" si="70"/>
        <v>EAST_MDB_6B_3\KW</v>
      </c>
      <c r="AF165" s="2" t="str">
        <f t="shared" si="70"/>
        <v>EAST_MDB_6B_3\KHh</v>
      </c>
      <c r="AG165" s="2" t="str">
        <f t="shared" si="70"/>
        <v>EAST_MDB_6B_3\VA</v>
      </c>
      <c r="AH165" s="2" t="str">
        <f t="shared" si="70"/>
        <v>EAST_MDB_6B_3\VAH</v>
      </c>
      <c r="AI165" s="2" t="str">
        <f t="shared" si="70"/>
        <v>EAST_MDB_6B_3\PEAK</v>
      </c>
      <c r="AJ165" s="2" t="str">
        <f t="shared" si="70"/>
        <v>EAST_MDB_6B_3\H_A_1</v>
      </c>
      <c r="AK165" s="2" t="str">
        <f t="shared" si="70"/>
        <v>EAST_MDB_6B_3\H_A_3</v>
      </c>
      <c r="AL165" s="2" t="str">
        <f t="shared" si="70"/>
        <v>EAST_MDB_6B_3\H_A_5</v>
      </c>
      <c r="AM165" s="2" t="str">
        <f t="shared" si="70"/>
        <v>EAST_MDB_6B_3\H_A_7</v>
      </c>
      <c r="AN165" s="2" t="str">
        <f t="shared" si="70"/>
        <v>EAST_MDB_6B_3\H_B_1</v>
      </c>
      <c r="AO165" s="2" t="str">
        <f t="shared" si="70"/>
        <v>EAST_MDB_6B_3\H_B_3</v>
      </c>
      <c r="AP165" s="2" t="str">
        <f t="shared" si="70"/>
        <v>EAST_MDB_6B_3\H_B_5</v>
      </c>
      <c r="AQ165" s="2" t="str">
        <f t="shared" si="70"/>
        <v>EAST_MDB_6B_3\H_B_7</v>
      </c>
      <c r="AR165" s="2" t="str">
        <f t="shared" si="70"/>
        <v>EAST_MDB_6B_3\H_C_1</v>
      </c>
      <c r="AS165" s="2" t="str">
        <f t="shared" si="70"/>
        <v>EAST_MDB_6B_3\H_C_3</v>
      </c>
      <c r="AT165" s="2" t="str">
        <f t="shared" si="70"/>
        <v>EAST_MDB_6B_3\H_C_5</v>
      </c>
      <c r="AU165" s="2" t="str">
        <f t="shared" ref="AJ165:AU173" si="72">$C165&amp;AU$7</f>
        <v>EAST_MDB_6B_3\H_C_7</v>
      </c>
      <c r="AV165" s="2" t="str">
        <f t="shared" si="71"/>
        <v>EAST_MDB_6B_3\PV1</v>
      </c>
      <c r="AW165" s="2" t="str">
        <f t="shared" si="71"/>
        <v>EAST_MDB_6B_3\PV2</v>
      </c>
      <c r="AX165" s="2" t="str">
        <f t="shared" si="71"/>
        <v>EAST_MDB_6B_3\PV3</v>
      </c>
      <c r="AY165" s="2" t="str">
        <f t="shared" si="71"/>
        <v>EAST_MDB_6B_3\PI1</v>
      </c>
      <c r="AZ165" s="2" t="str">
        <f t="shared" si="71"/>
        <v>EAST_MDB_6B_3\PI2</v>
      </c>
      <c r="BA165" s="2" t="str">
        <f t="shared" si="71"/>
        <v>EAST_MDB_6B_3\PI3</v>
      </c>
    </row>
    <row r="166" spans="1:53" x14ac:dyDescent="0.25">
      <c r="A166" s="3">
        <v>80</v>
      </c>
      <c r="B166" s="3" t="s">
        <v>336</v>
      </c>
      <c r="C166" s="3" t="s">
        <v>172</v>
      </c>
      <c r="D166" s="3" t="s">
        <v>332</v>
      </c>
      <c r="E166" s="4"/>
      <c r="F166" s="2" t="str">
        <f t="shared" si="69"/>
        <v>EAST_MDB_6B_4\ST</v>
      </c>
      <c r="G166" s="2" t="str">
        <f t="shared" si="69"/>
        <v>EAST_MDB_6B_4\TRIP</v>
      </c>
      <c r="H166" s="20"/>
      <c r="I166" s="20"/>
      <c r="J166" s="20"/>
      <c r="K166" s="20"/>
      <c r="L166" s="20"/>
      <c r="M166" s="20"/>
      <c r="N166" s="20"/>
      <c r="O166" s="20"/>
      <c r="P166" s="20"/>
      <c r="Q166" s="24"/>
      <c r="R166" s="2" t="str">
        <f t="shared" si="70"/>
        <v>EAST_MDB_6B_4\V12</v>
      </c>
      <c r="S166" s="2" t="str">
        <f t="shared" si="70"/>
        <v>EAST_MDB_6B_4\V23</v>
      </c>
      <c r="T166" s="2" t="str">
        <f t="shared" si="70"/>
        <v>EAST_MDB_6B_4\V31</v>
      </c>
      <c r="U166" s="2" t="str">
        <f t="shared" si="70"/>
        <v>EAST_MDB_6B_4\V1N</v>
      </c>
      <c r="V166" s="2" t="str">
        <f t="shared" si="70"/>
        <v>EAST_MDB_6B_4\V2N</v>
      </c>
      <c r="W166" s="2" t="str">
        <f t="shared" si="70"/>
        <v>EAST_MDB_6B_4\V3N</v>
      </c>
      <c r="X166" s="2" t="str">
        <f t="shared" si="70"/>
        <v>EAST_MDB_6B_4\VA</v>
      </c>
      <c r="Y166" s="2" t="str">
        <f t="shared" si="70"/>
        <v>EAST_MDB_6B_4\A1</v>
      </c>
      <c r="Z166" s="2" t="str">
        <f t="shared" si="70"/>
        <v>EAST_MDB_6B_4\A2</v>
      </c>
      <c r="AA166" s="2" t="str">
        <f t="shared" si="70"/>
        <v>EAST_MDB_6B_4\A3</v>
      </c>
      <c r="AB166" s="2" t="str">
        <f t="shared" si="70"/>
        <v>EAST_MDB_6B_4\AA</v>
      </c>
      <c r="AC166" s="2" t="str">
        <f t="shared" si="70"/>
        <v>EAST_MDB_6B_4\PF</v>
      </c>
      <c r="AD166" s="2" t="str">
        <f t="shared" si="70"/>
        <v>EAST_MDB_6B_4\HZ</v>
      </c>
      <c r="AE166" s="2" t="str">
        <f t="shared" si="70"/>
        <v>EAST_MDB_6B_4\KW</v>
      </c>
      <c r="AF166" s="2" t="str">
        <f t="shared" si="70"/>
        <v>EAST_MDB_6B_4\KHh</v>
      </c>
      <c r="AG166" s="2" t="str">
        <f t="shared" si="70"/>
        <v>EAST_MDB_6B_4\VA</v>
      </c>
      <c r="AH166" s="2" t="str">
        <f t="shared" si="70"/>
        <v>EAST_MDB_6B_4\VAH</v>
      </c>
      <c r="AI166" s="2" t="str">
        <f t="shared" si="70"/>
        <v>EAST_MDB_6B_4\PEAK</v>
      </c>
      <c r="AJ166" s="2" t="str">
        <f t="shared" si="72"/>
        <v>EAST_MDB_6B_4\H_A_1</v>
      </c>
      <c r="AK166" s="2" t="str">
        <f t="shared" si="72"/>
        <v>EAST_MDB_6B_4\H_A_3</v>
      </c>
      <c r="AL166" s="2" t="str">
        <f t="shared" si="72"/>
        <v>EAST_MDB_6B_4\H_A_5</v>
      </c>
      <c r="AM166" s="2" t="str">
        <f t="shared" si="72"/>
        <v>EAST_MDB_6B_4\H_A_7</v>
      </c>
      <c r="AN166" s="2" t="str">
        <f t="shared" si="72"/>
        <v>EAST_MDB_6B_4\H_B_1</v>
      </c>
      <c r="AO166" s="2" t="str">
        <f t="shared" si="72"/>
        <v>EAST_MDB_6B_4\H_B_3</v>
      </c>
      <c r="AP166" s="2" t="str">
        <f t="shared" si="72"/>
        <v>EAST_MDB_6B_4\H_B_5</v>
      </c>
      <c r="AQ166" s="2" t="str">
        <f t="shared" si="72"/>
        <v>EAST_MDB_6B_4\H_B_7</v>
      </c>
      <c r="AR166" s="2" t="str">
        <f t="shared" si="72"/>
        <v>EAST_MDB_6B_4\H_C_1</v>
      </c>
      <c r="AS166" s="2" t="str">
        <f t="shared" si="72"/>
        <v>EAST_MDB_6B_4\H_C_3</v>
      </c>
      <c r="AT166" s="2" t="str">
        <f t="shared" si="72"/>
        <v>EAST_MDB_6B_4\H_C_5</v>
      </c>
      <c r="AU166" s="2" t="str">
        <f t="shared" si="72"/>
        <v>EAST_MDB_6B_4\H_C_7</v>
      </c>
      <c r="AV166" s="2" t="str">
        <f t="shared" si="71"/>
        <v>EAST_MDB_6B_4\PV1</v>
      </c>
      <c r="AW166" s="2" t="str">
        <f t="shared" si="71"/>
        <v>EAST_MDB_6B_4\PV2</v>
      </c>
      <c r="AX166" s="2" t="str">
        <f t="shared" si="71"/>
        <v>EAST_MDB_6B_4\PV3</v>
      </c>
      <c r="AY166" s="2" t="str">
        <f t="shared" si="71"/>
        <v>EAST_MDB_6B_4\PI1</v>
      </c>
      <c r="AZ166" s="2" t="str">
        <f t="shared" si="71"/>
        <v>EAST_MDB_6B_4\PI2</v>
      </c>
      <c r="BA166" s="2" t="str">
        <f t="shared" si="71"/>
        <v>EAST_MDB_6B_4\PI3</v>
      </c>
    </row>
    <row r="167" spans="1:53" x14ac:dyDescent="0.25">
      <c r="A167" s="3">
        <v>81</v>
      </c>
      <c r="B167" s="3" t="s">
        <v>336</v>
      </c>
      <c r="C167" s="3" t="s">
        <v>173</v>
      </c>
      <c r="D167" s="3" t="s">
        <v>332</v>
      </c>
      <c r="E167" s="4"/>
      <c r="F167" s="2" t="str">
        <f t="shared" si="69"/>
        <v>EAST_MDB_6B_5\ST</v>
      </c>
      <c r="G167" s="2" t="str">
        <f t="shared" si="69"/>
        <v>EAST_MDB_6B_5\TRIP</v>
      </c>
      <c r="H167" s="20"/>
      <c r="I167" s="20"/>
      <c r="J167" s="20"/>
      <c r="K167" s="20"/>
      <c r="L167" s="20"/>
      <c r="M167" s="20"/>
      <c r="N167" s="20"/>
      <c r="O167" s="20"/>
      <c r="P167" s="20"/>
      <c r="Q167" s="24"/>
      <c r="R167" s="2" t="str">
        <f t="shared" si="70"/>
        <v>EAST_MDB_6B_5\V12</v>
      </c>
      <c r="S167" s="2" t="str">
        <f t="shared" si="70"/>
        <v>EAST_MDB_6B_5\V23</v>
      </c>
      <c r="T167" s="2" t="str">
        <f t="shared" si="70"/>
        <v>EAST_MDB_6B_5\V31</v>
      </c>
      <c r="U167" s="2" t="str">
        <f t="shared" si="70"/>
        <v>EAST_MDB_6B_5\V1N</v>
      </c>
      <c r="V167" s="2" t="str">
        <f t="shared" si="70"/>
        <v>EAST_MDB_6B_5\V2N</v>
      </c>
      <c r="W167" s="2" t="str">
        <f t="shared" si="70"/>
        <v>EAST_MDB_6B_5\V3N</v>
      </c>
      <c r="X167" s="2" t="str">
        <f t="shared" si="70"/>
        <v>EAST_MDB_6B_5\VA</v>
      </c>
      <c r="Y167" s="2" t="str">
        <f t="shared" si="70"/>
        <v>EAST_MDB_6B_5\A1</v>
      </c>
      <c r="Z167" s="2" t="str">
        <f t="shared" si="70"/>
        <v>EAST_MDB_6B_5\A2</v>
      </c>
      <c r="AA167" s="2" t="str">
        <f t="shared" si="70"/>
        <v>EAST_MDB_6B_5\A3</v>
      </c>
      <c r="AB167" s="2" t="str">
        <f t="shared" si="70"/>
        <v>EAST_MDB_6B_5\AA</v>
      </c>
      <c r="AC167" s="2" t="str">
        <f t="shared" si="70"/>
        <v>EAST_MDB_6B_5\PF</v>
      </c>
      <c r="AD167" s="2" t="str">
        <f t="shared" si="70"/>
        <v>EAST_MDB_6B_5\HZ</v>
      </c>
      <c r="AE167" s="2" t="str">
        <f t="shared" si="70"/>
        <v>EAST_MDB_6B_5\KW</v>
      </c>
      <c r="AF167" s="2" t="str">
        <f t="shared" si="70"/>
        <v>EAST_MDB_6B_5\KHh</v>
      </c>
      <c r="AG167" s="2" t="str">
        <f t="shared" si="70"/>
        <v>EAST_MDB_6B_5\VA</v>
      </c>
      <c r="AH167" s="2" t="str">
        <f t="shared" si="70"/>
        <v>EAST_MDB_6B_5\VAH</v>
      </c>
      <c r="AI167" s="2" t="str">
        <f t="shared" si="70"/>
        <v>EAST_MDB_6B_5\PEAK</v>
      </c>
      <c r="AJ167" s="2" t="str">
        <f t="shared" si="72"/>
        <v>EAST_MDB_6B_5\H_A_1</v>
      </c>
      <c r="AK167" s="2" t="str">
        <f t="shared" si="72"/>
        <v>EAST_MDB_6B_5\H_A_3</v>
      </c>
      <c r="AL167" s="2" t="str">
        <f t="shared" si="72"/>
        <v>EAST_MDB_6B_5\H_A_5</v>
      </c>
      <c r="AM167" s="2" t="str">
        <f t="shared" si="72"/>
        <v>EAST_MDB_6B_5\H_A_7</v>
      </c>
      <c r="AN167" s="2" t="str">
        <f t="shared" si="72"/>
        <v>EAST_MDB_6B_5\H_B_1</v>
      </c>
      <c r="AO167" s="2" t="str">
        <f t="shared" si="72"/>
        <v>EAST_MDB_6B_5\H_B_3</v>
      </c>
      <c r="AP167" s="2" t="str">
        <f t="shared" si="72"/>
        <v>EAST_MDB_6B_5\H_B_5</v>
      </c>
      <c r="AQ167" s="2" t="str">
        <f t="shared" si="72"/>
        <v>EAST_MDB_6B_5\H_B_7</v>
      </c>
      <c r="AR167" s="2" t="str">
        <f t="shared" si="72"/>
        <v>EAST_MDB_6B_5\H_C_1</v>
      </c>
      <c r="AS167" s="2" t="str">
        <f t="shared" si="72"/>
        <v>EAST_MDB_6B_5\H_C_3</v>
      </c>
      <c r="AT167" s="2" t="str">
        <f t="shared" si="72"/>
        <v>EAST_MDB_6B_5\H_C_5</v>
      </c>
      <c r="AU167" s="2" t="str">
        <f t="shared" si="72"/>
        <v>EAST_MDB_6B_5\H_C_7</v>
      </c>
      <c r="AV167" s="2" t="str">
        <f t="shared" si="71"/>
        <v>EAST_MDB_6B_5\PV1</v>
      </c>
      <c r="AW167" s="2" t="str">
        <f t="shared" si="71"/>
        <v>EAST_MDB_6B_5\PV2</v>
      </c>
      <c r="AX167" s="2" t="str">
        <f t="shared" si="71"/>
        <v>EAST_MDB_6B_5\PV3</v>
      </c>
      <c r="AY167" s="2" t="str">
        <f t="shared" si="71"/>
        <v>EAST_MDB_6B_5\PI1</v>
      </c>
      <c r="AZ167" s="2" t="str">
        <f t="shared" si="71"/>
        <v>EAST_MDB_6B_5\PI2</v>
      </c>
      <c r="BA167" s="2" t="str">
        <f t="shared" si="71"/>
        <v>EAST_MDB_6B_5\PI3</v>
      </c>
    </row>
    <row r="168" spans="1:53" x14ac:dyDescent="0.25">
      <c r="A168" s="3">
        <v>82</v>
      </c>
      <c r="B168" s="3" t="s">
        <v>336</v>
      </c>
      <c r="C168" s="3" t="s">
        <v>174</v>
      </c>
      <c r="D168" s="3" t="s">
        <v>332</v>
      </c>
      <c r="E168" s="4"/>
      <c r="F168" s="2" t="str">
        <f t="shared" si="69"/>
        <v>EAST_MDB_6B_6\ST</v>
      </c>
      <c r="G168" s="2" t="str">
        <f t="shared" si="69"/>
        <v>EAST_MDB_6B_6\TRIP</v>
      </c>
      <c r="H168" s="20"/>
      <c r="I168" s="20"/>
      <c r="J168" s="20"/>
      <c r="K168" s="20"/>
      <c r="L168" s="20"/>
      <c r="M168" s="20"/>
      <c r="N168" s="20"/>
      <c r="O168" s="20"/>
      <c r="P168" s="20"/>
      <c r="Q168" s="24"/>
      <c r="R168" s="2" t="str">
        <f t="shared" si="70"/>
        <v>EAST_MDB_6B_6\V12</v>
      </c>
      <c r="S168" s="2" t="str">
        <f t="shared" si="70"/>
        <v>EAST_MDB_6B_6\V23</v>
      </c>
      <c r="T168" s="2" t="str">
        <f t="shared" si="70"/>
        <v>EAST_MDB_6B_6\V31</v>
      </c>
      <c r="U168" s="2" t="str">
        <f t="shared" si="70"/>
        <v>EAST_MDB_6B_6\V1N</v>
      </c>
      <c r="V168" s="2" t="str">
        <f t="shared" si="70"/>
        <v>EAST_MDB_6B_6\V2N</v>
      </c>
      <c r="W168" s="2" t="str">
        <f t="shared" si="70"/>
        <v>EAST_MDB_6B_6\V3N</v>
      </c>
      <c r="X168" s="2" t="str">
        <f t="shared" si="70"/>
        <v>EAST_MDB_6B_6\VA</v>
      </c>
      <c r="Y168" s="2" t="str">
        <f t="shared" si="70"/>
        <v>EAST_MDB_6B_6\A1</v>
      </c>
      <c r="Z168" s="2" t="str">
        <f t="shared" si="70"/>
        <v>EAST_MDB_6B_6\A2</v>
      </c>
      <c r="AA168" s="2" t="str">
        <f t="shared" si="70"/>
        <v>EAST_MDB_6B_6\A3</v>
      </c>
      <c r="AB168" s="2" t="str">
        <f t="shared" si="70"/>
        <v>EAST_MDB_6B_6\AA</v>
      </c>
      <c r="AC168" s="2" t="str">
        <f t="shared" si="70"/>
        <v>EAST_MDB_6B_6\PF</v>
      </c>
      <c r="AD168" s="2" t="str">
        <f t="shared" si="70"/>
        <v>EAST_MDB_6B_6\HZ</v>
      </c>
      <c r="AE168" s="2" t="str">
        <f t="shared" si="70"/>
        <v>EAST_MDB_6B_6\KW</v>
      </c>
      <c r="AF168" s="2" t="str">
        <f t="shared" si="70"/>
        <v>EAST_MDB_6B_6\KHh</v>
      </c>
      <c r="AG168" s="2" t="str">
        <f t="shared" si="70"/>
        <v>EAST_MDB_6B_6\VA</v>
      </c>
      <c r="AH168" s="2" t="str">
        <f t="shared" si="70"/>
        <v>EAST_MDB_6B_6\VAH</v>
      </c>
      <c r="AI168" s="2" t="str">
        <f t="shared" si="70"/>
        <v>EAST_MDB_6B_6\PEAK</v>
      </c>
      <c r="AJ168" s="2" t="str">
        <f t="shared" si="72"/>
        <v>EAST_MDB_6B_6\H_A_1</v>
      </c>
      <c r="AK168" s="2" t="str">
        <f t="shared" si="72"/>
        <v>EAST_MDB_6B_6\H_A_3</v>
      </c>
      <c r="AL168" s="2" t="str">
        <f t="shared" si="72"/>
        <v>EAST_MDB_6B_6\H_A_5</v>
      </c>
      <c r="AM168" s="2" t="str">
        <f t="shared" si="72"/>
        <v>EAST_MDB_6B_6\H_A_7</v>
      </c>
      <c r="AN168" s="2" t="str">
        <f t="shared" si="72"/>
        <v>EAST_MDB_6B_6\H_B_1</v>
      </c>
      <c r="AO168" s="2" t="str">
        <f t="shared" si="72"/>
        <v>EAST_MDB_6B_6\H_B_3</v>
      </c>
      <c r="AP168" s="2" t="str">
        <f t="shared" si="72"/>
        <v>EAST_MDB_6B_6\H_B_5</v>
      </c>
      <c r="AQ168" s="2" t="str">
        <f t="shared" si="72"/>
        <v>EAST_MDB_6B_6\H_B_7</v>
      </c>
      <c r="AR168" s="2" t="str">
        <f t="shared" si="72"/>
        <v>EAST_MDB_6B_6\H_C_1</v>
      </c>
      <c r="AS168" s="2" t="str">
        <f t="shared" si="72"/>
        <v>EAST_MDB_6B_6\H_C_3</v>
      </c>
      <c r="AT168" s="2" t="str">
        <f t="shared" si="72"/>
        <v>EAST_MDB_6B_6\H_C_5</v>
      </c>
      <c r="AU168" s="2" t="str">
        <f t="shared" si="72"/>
        <v>EAST_MDB_6B_6\H_C_7</v>
      </c>
      <c r="AV168" s="2" t="str">
        <f t="shared" si="71"/>
        <v>EAST_MDB_6B_6\PV1</v>
      </c>
      <c r="AW168" s="2" t="str">
        <f t="shared" si="71"/>
        <v>EAST_MDB_6B_6\PV2</v>
      </c>
      <c r="AX168" s="2" t="str">
        <f t="shared" si="71"/>
        <v>EAST_MDB_6B_6\PV3</v>
      </c>
      <c r="AY168" s="2" t="str">
        <f t="shared" si="71"/>
        <v>EAST_MDB_6B_6\PI1</v>
      </c>
      <c r="AZ168" s="2" t="str">
        <f t="shared" si="71"/>
        <v>EAST_MDB_6B_6\PI2</v>
      </c>
      <c r="BA168" s="2" t="str">
        <f t="shared" si="71"/>
        <v>EAST_MDB_6B_6\PI3</v>
      </c>
    </row>
    <row r="169" spans="1:53" x14ac:dyDescent="0.25">
      <c r="A169" s="3">
        <v>83</v>
      </c>
      <c r="B169" s="3" t="s">
        <v>336</v>
      </c>
      <c r="C169" s="3" t="s">
        <v>175</v>
      </c>
      <c r="D169" s="3" t="s">
        <v>332</v>
      </c>
      <c r="E169" s="4"/>
      <c r="F169" s="2" t="str">
        <f t="shared" si="69"/>
        <v>EAST_MDB_6B_7\ST</v>
      </c>
      <c r="G169" s="2" t="str">
        <f t="shared" si="69"/>
        <v>EAST_MDB_6B_7\TRIP</v>
      </c>
      <c r="H169" s="20"/>
      <c r="I169" s="20"/>
      <c r="J169" s="20"/>
      <c r="K169" s="20"/>
      <c r="L169" s="20"/>
      <c r="M169" s="20"/>
      <c r="N169" s="20"/>
      <c r="O169" s="20"/>
      <c r="P169" s="20"/>
      <c r="Q169" s="24"/>
      <c r="R169" s="2" t="str">
        <f t="shared" si="70"/>
        <v>EAST_MDB_6B_7\V12</v>
      </c>
      <c r="S169" s="2" t="str">
        <f t="shared" si="70"/>
        <v>EAST_MDB_6B_7\V23</v>
      </c>
      <c r="T169" s="2" t="str">
        <f t="shared" si="70"/>
        <v>EAST_MDB_6B_7\V31</v>
      </c>
      <c r="U169" s="2" t="str">
        <f t="shared" si="70"/>
        <v>EAST_MDB_6B_7\V1N</v>
      </c>
      <c r="V169" s="2" t="str">
        <f t="shared" si="70"/>
        <v>EAST_MDB_6B_7\V2N</v>
      </c>
      <c r="W169" s="2" t="str">
        <f t="shared" si="70"/>
        <v>EAST_MDB_6B_7\V3N</v>
      </c>
      <c r="X169" s="2" t="str">
        <f t="shared" si="70"/>
        <v>EAST_MDB_6B_7\VA</v>
      </c>
      <c r="Y169" s="2" t="str">
        <f t="shared" si="70"/>
        <v>EAST_MDB_6B_7\A1</v>
      </c>
      <c r="Z169" s="2" t="str">
        <f t="shared" si="70"/>
        <v>EAST_MDB_6B_7\A2</v>
      </c>
      <c r="AA169" s="2" t="str">
        <f t="shared" si="70"/>
        <v>EAST_MDB_6B_7\A3</v>
      </c>
      <c r="AB169" s="2" t="str">
        <f t="shared" si="70"/>
        <v>EAST_MDB_6B_7\AA</v>
      </c>
      <c r="AC169" s="2" t="str">
        <f t="shared" si="70"/>
        <v>EAST_MDB_6B_7\PF</v>
      </c>
      <c r="AD169" s="2" t="str">
        <f t="shared" si="70"/>
        <v>EAST_MDB_6B_7\HZ</v>
      </c>
      <c r="AE169" s="2" t="str">
        <f t="shared" si="70"/>
        <v>EAST_MDB_6B_7\KW</v>
      </c>
      <c r="AF169" s="2" t="str">
        <f t="shared" si="70"/>
        <v>EAST_MDB_6B_7\KHh</v>
      </c>
      <c r="AG169" s="2" t="str">
        <f t="shared" si="70"/>
        <v>EAST_MDB_6B_7\VA</v>
      </c>
      <c r="AH169" s="2" t="str">
        <f t="shared" si="70"/>
        <v>EAST_MDB_6B_7\VAH</v>
      </c>
      <c r="AI169" s="2" t="str">
        <f t="shared" si="70"/>
        <v>EAST_MDB_6B_7\PEAK</v>
      </c>
      <c r="AJ169" s="2" t="str">
        <f t="shared" si="72"/>
        <v>EAST_MDB_6B_7\H_A_1</v>
      </c>
      <c r="AK169" s="2" t="str">
        <f t="shared" si="72"/>
        <v>EAST_MDB_6B_7\H_A_3</v>
      </c>
      <c r="AL169" s="2" t="str">
        <f t="shared" si="72"/>
        <v>EAST_MDB_6B_7\H_A_5</v>
      </c>
      <c r="AM169" s="2" t="str">
        <f t="shared" si="72"/>
        <v>EAST_MDB_6B_7\H_A_7</v>
      </c>
      <c r="AN169" s="2" t="str">
        <f t="shared" si="72"/>
        <v>EAST_MDB_6B_7\H_B_1</v>
      </c>
      <c r="AO169" s="2" t="str">
        <f t="shared" si="72"/>
        <v>EAST_MDB_6B_7\H_B_3</v>
      </c>
      <c r="AP169" s="2" t="str">
        <f t="shared" si="72"/>
        <v>EAST_MDB_6B_7\H_B_5</v>
      </c>
      <c r="AQ169" s="2" t="str">
        <f t="shared" si="72"/>
        <v>EAST_MDB_6B_7\H_B_7</v>
      </c>
      <c r="AR169" s="2" t="str">
        <f t="shared" si="72"/>
        <v>EAST_MDB_6B_7\H_C_1</v>
      </c>
      <c r="AS169" s="2" t="str">
        <f t="shared" si="72"/>
        <v>EAST_MDB_6B_7\H_C_3</v>
      </c>
      <c r="AT169" s="2" t="str">
        <f t="shared" si="72"/>
        <v>EAST_MDB_6B_7\H_C_5</v>
      </c>
      <c r="AU169" s="2" t="str">
        <f t="shared" si="72"/>
        <v>EAST_MDB_6B_7\H_C_7</v>
      </c>
      <c r="AV169" s="2" t="str">
        <f t="shared" si="71"/>
        <v>EAST_MDB_6B_7\PV1</v>
      </c>
      <c r="AW169" s="2" t="str">
        <f t="shared" si="71"/>
        <v>EAST_MDB_6B_7\PV2</v>
      </c>
      <c r="AX169" s="2" t="str">
        <f t="shared" si="71"/>
        <v>EAST_MDB_6B_7\PV3</v>
      </c>
      <c r="AY169" s="2" t="str">
        <f t="shared" si="71"/>
        <v>EAST_MDB_6B_7\PI1</v>
      </c>
      <c r="AZ169" s="2" t="str">
        <f t="shared" si="71"/>
        <v>EAST_MDB_6B_7\PI2</v>
      </c>
      <c r="BA169" s="2" t="str">
        <f t="shared" si="71"/>
        <v>EAST_MDB_6B_7\PI3</v>
      </c>
    </row>
    <row r="170" spans="1:53" x14ac:dyDescent="0.25">
      <c r="A170" s="3">
        <v>84</v>
      </c>
      <c r="B170" s="3" t="s">
        <v>336</v>
      </c>
      <c r="C170" s="3" t="s">
        <v>176</v>
      </c>
      <c r="D170" s="3" t="s">
        <v>332</v>
      </c>
      <c r="E170" s="4"/>
      <c r="F170" s="2" t="str">
        <f t="shared" si="69"/>
        <v>EAST_MDB_6B_8\ST</v>
      </c>
      <c r="G170" s="2" t="str">
        <f t="shared" si="69"/>
        <v>EAST_MDB_6B_8\TRIP</v>
      </c>
      <c r="H170" s="20"/>
      <c r="I170" s="20"/>
      <c r="J170" s="20"/>
      <c r="K170" s="20"/>
      <c r="L170" s="20"/>
      <c r="M170" s="20"/>
      <c r="N170" s="20"/>
      <c r="O170" s="20"/>
      <c r="P170" s="20"/>
      <c r="Q170" s="24"/>
      <c r="R170" s="2" t="str">
        <f t="shared" si="70"/>
        <v>EAST_MDB_6B_8\V12</v>
      </c>
      <c r="S170" s="2" t="str">
        <f t="shared" si="70"/>
        <v>EAST_MDB_6B_8\V23</v>
      </c>
      <c r="T170" s="2" t="str">
        <f t="shared" si="70"/>
        <v>EAST_MDB_6B_8\V31</v>
      </c>
      <c r="U170" s="2" t="str">
        <f t="shared" si="70"/>
        <v>EAST_MDB_6B_8\V1N</v>
      </c>
      <c r="V170" s="2" t="str">
        <f t="shared" si="70"/>
        <v>EAST_MDB_6B_8\V2N</v>
      </c>
      <c r="W170" s="2" t="str">
        <f t="shared" si="70"/>
        <v>EAST_MDB_6B_8\V3N</v>
      </c>
      <c r="X170" s="2" t="str">
        <f t="shared" si="70"/>
        <v>EAST_MDB_6B_8\VA</v>
      </c>
      <c r="Y170" s="2" t="str">
        <f t="shared" si="70"/>
        <v>EAST_MDB_6B_8\A1</v>
      </c>
      <c r="Z170" s="2" t="str">
        <f t="shared" si="70"/>
        <v>EAST_MDB_6B_8\A2</v>
      </c>
      <c r="AA170" s="2" t="str">
        <f t="shared" si="70"/>
        <v>EAST_MDB_6B_8\A3</v>
      </c>
      <c r="AB170" s="2" t="str">
        <f t="shared" si="70"/>
        <v>EAST_MDB_6B_8\AA</v>
      </c>
      <c r="AC170" s="2" t="str">
        <f t="shared" si="70"/>
        <v>EAST_MDB_6B_8\PF</v>
      </c>
      <c r="AD170" s="2" t="str">
        <f t="shared" si="70"/>
        <v>EAST_MDB_6B_8\HZ</v>
      </c>
      <c r="AE170" s="2" t="str">
        <f t="shared" si="70"/>
        <v>EAST_MDB_6B_8\KW</v>
      </c>
      <c r="AF170" s="2" t="str">
        <f t="shared" si="70"/>
        <v>EAST_MDB_6B_8\KHh</v>
      </c>
      <c r="AG170" s="2" t="str">
        <f t="shared" si="70"/>
        <v>EAST_MDB_6B_8\VA</v>
      </c>
      <c r="AH170" s="2" t="str">
        <f t="shared" si="70"/>
        <v>EAST_MDB_6B_8\VAH</v>
      </c>
      <c r="AI170" s="2" t="str">
        <f t="shared" si="70"/>
        <v>EAST_MDB_6B_8\PEAK</v>
      </c>
      <c r="AJ170" s="2" t="str">
        <f t="shared" si="72"/>
        <v>EAST_MDB_6B_8\H_A_1</v>
      </c>
      <c r="AK170" s="2" t="str">
        <f t="shared" si="72"/>
        <v>EAST_MDB_6B_8\H_A_3</v>
      </c>
      <c r="AL170" s="2" t="str">
        <f t="shared" si="72"/>
        <v>EAST_MDB_6B_8\H_A_5</v>
      </c>
      <c r="AM170" s="2" t="str">
        <f t="shared" si="72"/>
        <v>EAST_MDB_6B_8\H_A_7</v>
      </c>
      <c r="AN170" s="2" t="str">
        <f t="shared" si="72"/>
        <v>EAST_MDB_6B_8\H_B_1</v>
      </c>
      <c r="AO170" s="2" t="str">
        <f t="shared" si="72"/>
        <v>EAST_MDB_6B_8\H_B_3</v>
      </c>
      <c r="AP170" s="2" t="str">
        <f t="shared" si="72"/>
        <v>EAST_MDB_6B_8\H_B_5</v>
      </c>
      <c r="AQ170" s="2" t="str">
        <f t="shared" si="72"/>
        <v>EAST_MDB_6B_8\H_B_7</v>
      </c>
      <c r="AR170" s="2" t="str">
        <f t="shared" si="72"/>
        <v>EAST_MDB_6B_8\H_C_1</v>
      </c>
      <c r="AS170" s="2" t="str">
        <f t="shared" si="72"/>
        <v>EAST_MDB_6B_8\H_C_3</v>
      </c>
      <c r="AT170" s="2" t="str">
        <f t="shared" si="72"/>
        <v>EAST_MDB_6B_8\H_C_5</v>
      </c>
      <c r="AU170" s="2" t="str">
        <f t="shared" si="72"/>
        <v>EAST_MDB_6B_8\H_C_7</v>
      </c>
      <c r="AV170" s="2" t="str">
        <f t="shared" si="71"/>
        <v>EAST_MDB_6B_8\PV1</v>
      </c>
      <c r="AW170" s="2" t="str">
        <f t="shared" si="71"/>
        <v>EAST_MDB_6B_8\PV2</v>
      </c>
      <c r="AX170" s="2" t="str">
        <f t="shared" si="71"/>
        <v>EAST_MDB_6B_8\PV3</v>
      </c>
      <c r="AY170" s="2" t="str">
        <f t="shared" si="71"/>
        <v>EAST_MDB_6B_8\PI1</v>
      </c>
      <c r="AZ170" s="2" t="str">
        <f t="shared" si="71"/>
        <v>EAST_MDB_6B_8\PI2</v>
      </c>
      <c r="BA170" s="2" t="str">
        <f t="shared" si="71"/>
        <v>EAST_MDB_6B_8\PI3</v>
      </c>
    </row>
    <row r="171" spans="1:53" x14ac:dyDescent="0.25">
      <c r="A171" s="3">
        <v>85</v>
      </c>
      <c r="B171" s="3" t="s">
        <v>336</v>
      </c>
      <c r="C171" s="3" t="s">
        <v>177</v>
      </c>
      <c r="D171" s="3" t="s">
        <v>332</v>
      </c>
      <c r="E171" s="4"/>
      <c r="F171" s="2" t="str">
        <f t="shared" si="69"/>
        <v>EAST_MDB_6B_9\ST</v>
      </c>
      <c r="G171" s="2" t="str">
        <f t="shared" si="69"/>
        <v>EAST_MDB_6B_9\TRIP</v>
      </c>
      <c r="H171" s="20"/>
      <c r="I171" s="20"/>
      <c r="J171" s="20"/>
      <c r="K171" s="20"/>
      <c r="L171" s="20"/>
      <c r="M171" s="20"/>
      <c r="N171" s="20"/>
      <c r="O171" s="20"/>
      <c r="P171" s="20"/>
      <c r="Q171" s="24"/>
      <c r="R171" s="2" t="str">
        <f t="shared" si="70"/>
        <v>EAST_MDB_6B_9\V12</v>
      </c>
      <c r="S171" s="2" t="str">
        <f t="shared" si="70"/>
        <v>EAST_MDB_6B_9\V23</v>
      </c>
      <c r="T171" s="2" t="str">
        <f t="shared" si="70"/>
        <v>EAST_MDB_6B_9\V31</v>
      </c>
      <c r="U171" s="2" t="str">
        <f t="shared" si="70"/>
        <v>EAST_MDB_6B_9\V1N</v>
      </c>
      <c r="V171" s="2" t="str">
        <f t="shared" si="70"/>
        <v>EAST_MDB_6B_9\V2N</v>
      </c>
      <c r="W171" s="2" t="str">
        <f t="shared" si="70"/>
        <v>EAST_MDB_6B_9\V3N</v>
      </c>
      <c r="X171" s="2" t="str">
        <f t="shared" si="70"/>
        <v>EAST_MDB_6B_9\VA</v>
      </c>
      <c r="Y171" s="2" t="str">
        <f t="shared" si="70"/>
        <v>EAST_MDB_6B_9\A1</v>
      </c>
      <c r="Z171" s="2" t="str">
        <f t="shared" si="70"/>
        <v>EAST_MDB_6B_9\A2</v>
      </c>
      <c r="AA171" s="2" t="str">
        <f t="shared" si="70"/>
        <v>EAST_MDB_6B_9\A3</v>
      </c>
      <c r="AB171" s="2" t="str">
        <f t="shared" si="70"/>
        <v>EAST_MDB_6B_9\AA</v>
      </c>
      <c r="AC171" s="2" t="str">
        <f t="shared" si="70"/>
        <v>EAST_MDB_6B_9\PF</v>
      </c>
      <c r="AD171" s="2" t="str">
        <f t="shared" si="70"/>
        <v>EAST_MDB_6B_9\HZ</v>
      </c>
      <c r="AE171" s="2" t="str">
        <f t="shared" si="70"/>
        <v>EAST_MDB_6B_9\KW</v>
      </c>
      <c r="AF171" s="2" t="str">
        <f t="shared" si="70"/>
        <v>EAST_MDB_6B_9\KHh</v>
      </c>
      <c r="AG171" s="2" t="str">
        <f t="shared" si="70"/>
        <v>EAST_MDB_6B_9\VA</v>
      </c>
      <c r="AH171" s="2" t="str">
        <f t="shared" si="70"/>
        <v>EAST_MDB_6B_9\VAH</v>
      </c>
      <c r="AI171" s="2" t="str">
        <f t="shared" si="70"/>
        <v>EAST_MDB_6B_9\PEAK</v>
      </c>
      <c r="AJ171" s="2" t="str">
        <f t="shared" si="72"/>
        <v>EAST_MDB_6B_9\H_A_1</v>
      </c>
      <c r="AK171" s="2" t="str">
        <f t="shared" si="72"/>
        <v>EAST_MDB_6B_9\H_A_3</v>
      </c>
      <c r="AL171" s="2" t="str">
        <f t="shared" si="72"/>
        <v>EAST_MDB_6B_9\H_A_5</v>
      </c>
      <c r="AM171" s="2" t="str">
        <f t="shared" si="72"/>
        <v>EAST_MDB_6B_9\H_A_7</v>
      </c>
      <c r="AN171" s="2" t="str">
        <f t="shared" si="72"/>
        <v>EAST_MDB_6B_9\H_B_1</v>
      </c>
      <c r="AO171" s="2" t="str">
        <f t="shared" si="72"/>
        <v>EAST_MDB_6B_9\H_B_3</v>
      </c>
      <c r="AP171" s="2" t="str">
        <f t="shared" si="72"/>
        <v>EAST_MDB_6B_9\H_B_5</v>
      </c>
      <c r="AQ171" s="2" t="str">
        <f t="shared" si="72"/>
        <v>EAST_MDB_6B_9\H_B_7</v>
      </c>
      <c r="AR171" s="2" t="str">
        <f t="shared" si="72"/>
        <v>EAST_MDB_6B_9\H_C_1</v>
      </c>
      <c r="AS171" s="2" t="str">
        <f t="shared" si="72"/>
        <v>EAST_MDB_6B_9\H_C_3</v>
      </c>
      <c r="AT171" s="2" t="str">
        <f t="shared" si="72"/>
        <v>EAST_MDB_6B_9\H_C_5</v>
      </c>
      <c r="AU171" s="2" t="str">
        <f t="shared" si="72"/>
        <v>EAST_MDB_6B_9\H_C_7</v>
      </c>
      <c r="AV171" s="2" t="str">
        <f t="shared" si="71"/>
        <v>EAST_MDB_6B_9\PV1</v>
      </c>
      <c r="AW171" s="2" t="str">
        <f t="shared" si="71"/>
        <v>EAST_MDB_6B_9\PV2</v>
      </c>
      <c r="AX171" s="2" t="str">
        <f t="shared" si="71"/>
        <v>EAST_MDB_6B_9\PV3</v>
      </c>
      <c r="AY171" s="2" t="str">
        <f t="shared" si="71"/>
        <v>EAST_MDB_6B_9\PI1</v>
      </c>
      <c r="AZ171" s="2" t="str">
        <f t="shared" si="71"/>
        <v>EAST_MDB_6B_9\PI2</v>
      </c>
      <c r="BA171" s="2" t="str">
        <f t="shared" si="71"/>
        <v>EAST_MDB_6B_9\PI3</v>
      </c>
    </row>
    <row r="172" spans="1:53" x14ac:dyDescent="0.25">
      <c r="A172" s="3">
        <v>86</v>
      </c>
      <c r="B172" s="3" t="s">
        <v>336</v>
      </c>
      <c r="C172" s="3" t="s">
        <v>178</v>
      </c>
      <c r="D172" s="3" t="s">
        <v>332</v>
      </c>
      <c r="E172" s="4"/>
      <c r="F172" s="2" t="str">
        <f t="shared" si="69"/>
        <v>EAST_MDB_6B_10\ST</v>
      </c>
      <c r="G172" s="2" t="str">
        <f t="shared" si="69"/>
        <v>EAST_MDB_6B_10\TRIP</v>
      </c>
      <c r="H172" s="20"/>
      <c r="I172" s="20"/>
      <c r="J172" s="20"/>
      <c r="K172" s="20"/>
      <c r="L172" s="20"/>
      <c r="M172" s="20"/>
      <c r="N172" s="20"/>
      <c r="O172" s="20"/>
      <c r="P172" s="20"/>
      <c r="Q172" s="24"/>
      <c r="R172" s="2" t="str">
        <f t="shared" si="70"/>
        <v>EAST_MDB_6B_10\V12</v>
      </c>
      <c r="S172" s="2" t="str">
        <f t="shared" si="70"/>
        <v>EAST_MDB_6B_10\V23</v>
      </c>
      <c r="T172" s="2" t="str">
        <f t="shared" si="70"/>
        <v>EAST_MDB_6B_10\V31</v>
      </c>
      <c r="U172" s="2" t="str">
        <f t="shared" si="70"/>
        <v>EAST_MDB_6B_10\V1N</v>
      </c>
      <c r="V172" s="2" t="str">
        <f t="shared" si="70"/>
        <v>EAST_MDB_6B_10\V2N</v>
      </c>
      <c r="W172" s="2" t="str">
        <f t="shared" si="70"/>
        <v>EAST_MDB_6B_10\V3N</v>
      </c>
      <c r="X172" s="2" t="str">
        <f t="shared" si="70"/>
        <v>EAST_MDB_6B_10\VA</v>
      </c>
      <c r="Y172" s="2" t="str">
        <f t="shared" si="70"/>
        <v>EAST_MDB_6B_10\A1</v>
      </c>
      <c r="Z172" s="2" t="str">
        <f t="shared" si="70"/>
        <v>EAST_MDB_6B_10\A2</v>
      </c>
      <c r="AA172" s="2" t="str">
        <f t="shared" si="70"/>
        <v>EAST_MDB_6B_10\A3</v>
      </c>
      <c r="AB172" s="2" t="str">
        <f t="shared" si="70"/>
        <v>EAST_MDB_6B_10\AA</v>
      </c>
      <c r="AC172" s="2" t="str">
        <f t="shared" si="70"/>
        <v>EAST_MDB_6B_10\PF</v>
      </c>
      <c r="AD172" s="2" t="str">
        <f t="shared" si="70"/>
        <v>EAST_MDB_6B_10\HZ</v>
      </c>
      <c r="AE172" s="2" t="str">
        <f t="shared" si="70"/>
        <v>EAST_MDB_6B_10\KW</v>
      </c>
      <c r="AF172" s="2" t="str">
        <f t="shared" si="70"/>
        <v>EAST_MDB_6B_10\KHh</v>
      </c>
      <c r="AG172" s="2" t="str">
        <f t="shared" si="70"/>
        <v>EAST_MDB_6B_10\VA</v>
      </c>
      <c r="AH172" s="2" t="str">
        <f t="shared" si="70"/>
        <v>EAST_MDB_6B_10\VAH</v>
      </c>
      <c r="AI172" s="2" t="str">
        <f t="shared" si="70"/>
        <v>EAST_MDB_6B_10\PEAK</v>
      </c>
      <c r="AJ172" s="2" t="str">
        <f t="shared" si="72"/>
        <v>EAST_MDB_6B_10\H_A_1</v>
      </c>
      <c r="AK172" s="2" t="str">
        <f t="shared" si="72"/>
        <v>EAST_MDB_6B_10\H_A_3</v>
      </c>
      <c r="AL172" s="2" t="str">
        <f t="shared" si="72"/>
        <v>EAST_MDB_6B_10\H_A_5</v>
      </c>
      <c r="AM172" s="2" t="str">
        <f t="shared" si="72"/>
        <v>EAST_MDB_6B_10\H_A_7</v>
      </c>
      <c r="AN172" s="2" t="str">
        <f t="shared" si="72"/>
        <v>EAST_MDB_6B_10\H_B_1</v>
      </c>
      <c r="AO172" s="2" t="str">
        <f t="shared" si="72"/>
        <v>EAST_MDB_6B_10\H_B_3</v>
      </c>
      <c r="AP172" s="2" t="str">
        <f t="shared" si="72"/>
        <v>EAST_MDB_6B_10\H_B_5</v>
      </c>
      <c r="AQ172" s="2" t="str">
        <f t="shared" si="72"/>
        <v>EAST_MDB_6B_10\H_B_7</v>
      </c>
      <c r="AR172" s="2" t="str">
        <f t="shared" si="72"/>
        <v>EAST_MDB_6B_10\H_C_1</v>
      </c>
      <c r="AS172" s="2" t="str">
        <f t="shared" si="72"/>
        <v>EAST_MDB_6B_10\H_C_3</v>
      </c>
      <c r="AT172" s="2" t="str">
        <f t="shared" si="72"/>
        <v>EAST_MDB_6B_10\H_C_5</v>
      </c>
      <c r="AU172" s="2" t="str">
        <f t="shared" si="72"/>
        <v>EAST_MDB_6B_10\H_C_7</v>
      </c>
      <c r="AV172" s="2" t="str">
        <f t="shared" si="71"/>
        <v>EAST_MDB_6B_10\PV1</v>
      </c>
      <c r="AW172" s="2" t="str">
        <f t="shared" si="71"/>
        <v>EAST_MDB_6B_10\PV2</v>
      </c>
      <c r="AX172" s="2" t="str">
        <f t="shared" si="71"/>
        <v>EAST_MDB_6B_10\PV3</v>
      </c>
      <c r="AY172" s="2" t="str">
        <f t="shared" si="71"/>
        <v>EAST_MDB_6B_10\PI1</v>
      </c>
      <c r="AZ172" s="2" t="str">
        <f t="shared" si="71"/>
        <v>EAST_MDB_6B_10\PI2</v>
      </c>
      <c r="BA172" s="2" t="str">
        <f t="shared" si="71"/>
        <v>EAST_MDB_6B_10\PI3</v>
      </c>
    </row>
    <row r="173" spans="1:53" x14ac:dyDescent="0.25">
      <c r="A173" s="3">
        <v>87</v>
      </c>
      <c r="B173" s="3" t="s">
        <v>336</v>
      </c>
      <c r="C173" s="3" t="s">
        <v>179</v>
      </c>
      <c r="D173" s="3" t="s">
        <v>332</v>
      </c>
      <c r="E173" s="4"/>
      <c r="F173" s="2" t="str">
        <f t="shared" si="69"/>
        <v>EAST_MDB_6B_11\ST</v>
      </c>
      <c r="G173" s="2" t="str">
        <f t="shared" si="69"/>
        <v>EAST_MDB_6B_11\TRIP</v>
      </c>
      <c r="H173" s="20"/>
      <c r="I173" s="20"/>
      <c r="J173" s="20"/>
      <c r="K173" s="20"/>
      <c r="L173" s="20"/>
      <c r="M173" s="20"/>
      <c r="N173" s="20"/>
      <c r="O173" s="20"/>
      <c r="P173" s="20"/>
      <c r="Q173" s="24"/>
      <c r="R173" s="2" t="str">
        <f t="shared" si="70"/>
        <v>EAST_MDB_6B_11\V12</v>
      </c>
      <c r="S173" s="2" t="str">
        <f t="shared" si="70"/>
        <v>EAST_MDB_6B_11\V23</v>
      </c>
      <c r="T173" s="2" t="str">
        <f t="shared" si="70"/>
        <v>EAST_MDB_6B_11\V31</v>
      </c>
      <c r="U173" s="2" t="str">
        <f t="shared" si="70"/>
        <v>EAST_MDB_6B_11\V1N</v>
      </c>
      <c r="V173" s="2" t="str">
        <f t="shared" si="70"/>
        <v>EAST_MDB_6B_11\V2N</v>
      </c>
      <c r="W173" s="2" t="str">
        <f t="shared" si="70"/>
        <v>EAST_MDB_6B_11\V3N</v>
      </c>
      <c r="X173" s="2" t="str">
        <f t="shared" si="70"/>
        <v>EAST_MDB_6B_11\VA</v>
      </c>
      <c r="Y173" s="2" t="str">
        <f t="shared" si="70"/>
        <v>EAST_MDB_6B_11\A1</v>
      </c>
      <c r="Z173" s="2" t="str">
        <f t="shared" si="70"/>
        <v>EAST_MDB_6B_11\A2</v>
      </c>
      <c r="AA173" s="2" t="str">
        <f t="shared" si="70"/>
        <v>EAST_MDB_6B_11\A3</v>
      </c>
      <c r="AB173" s="2" t="str">
        <f t="shared" si="70"/>
        <v>EAST_MDB_6B_11\AA</v>
      </c>
      <c r="AC173" s="2" t="str">
        <f t="shared" si="70"/>
        <v>EAST_MDB_6B_11\PF</v>
      </c>
      <c r="AD173" s="2" t="str">
        <f t="shared" si="70"/>
        <v>EAST_MDB_6B_11\HZ</v>
      </c>
      <c r="AE173" s="2" t="str">
        <f t="shared" si="70"/>
        <v>EAST_MDB_6B_11\KW</v>
      </c>
      <c r="AF173" s="2" t="str">
        <f t="shared" si="70"/>
        <v>EAST_MDB_6B_11\KHh</v>
      </c>
      <c r="AG173" s="2" t="str">
        <f t="shared" si="70"/>
        <v>EAST_MDB_6B_11\VA</v>
      </c>
      <c r="AH173" s="2" t="str">
        <f t="shared" si="70"/>
        <v>EAST_MDB_6B_11\VAH</v>
      </c>
      <c r="AI173" s="2" t="str">
        <f t="shared" si="70"/>
        <v>EAST_MDB_6B_11\PEAK</v>
      </c>
      <c r="AJ173" s="2" t="str">
        <f t="shared" si="72"/>
        <v>EAST_MDB_6B_11\H_A_1</v>
      </c>
      <c r="AK173" s="2" t="str">
        <f t="shared" si="72"/>
        <v>EAST_MDB_6B_11\H_A_3</v>
      </c>
      <c r="AL173" s="2" t="str">
        <f t="shared" si="72"/>
        <v>EAST_MDB_6B_11\H_A_5</v>
      </c>
      <c r="AM173" s="2" t="str">
        <f t="shared" si="72"/>
        <v>EAST_MDB_6B_11\H_A_7</v>
      </c>
      <c r="AN173" s="2" t="str">
        <f t="shared" si="72"/>
        <v>EAST_MDB_6B_11\H_B_1</v>
      </c>
      <c r="AO173" s="2" t="str">
        <f t="shared" si="72"/>
        <v>EAST_MDB_6B_11\H_B_3</v>
      </c>
      <c r="AP173" s="2" t="str">
        <f t="shared" si="72"/>
        <v>EAST_MDB_6B_11\H_B_5</v>
      </c>
      <c r="AQ173" s="2" t="str">
        <f t="shared" si="72"/>
        <v>EAST_MDB_6B_11\H_B_7</v>
      </c>
      <c r="AR173" s="2" t="str">
        <f t="shared" si="72"/>
        <v>EAST_MDB_6B_11\H_C_1</v>
      </c>
      <c r="AS173" s="2" t="str">
        <f t="shared" si="72"/>
        <v>EAST_MDB_6B_11\H_C_3</v>
      </c>
      <c r="AT173" s="2" t="str">
        <f t="shared" si="72"/>
        <v>EAST_MDB_6B_11\H_C_5</v>
      </c>
      <c r="AU173" s="2" t="str">
        <f t="shared" si="72"/>
        <v>EAST_MDB_6B_11\H_C_7</v>
      </c>
      <c r="AV173" s="2" t="str">
        <f t="shared" si="71"/>
        <v>EAST_MDB_6B_11\PV1</v>
      </c>
      <c r="AW173" s="2" t="str">
        <f t="shared" si="71"/>
        <v>EAST_MDB_6B_11\PV2</v>
      </c>
      <c r="AX173" s="2" t="str">
        <f t="shared" si="71"/>
        <v>EAST_MDB_6B_11\PV3</v>
      </c>
      <c r="AY173" s="2" t="str">
        <f t="shared" si="71"/>
        <v>EAST_MDB_6B_11\PI1</v>
      </c>
      <c r="AZ173" s="2" t="str">
        <f t="shared" si="71"/>
        <v>EAST_MDB_6B_11\PI2</v>
      </c>
      <c r="BA173" s="2" t="str">
        <f t="shared" si="71"/>
        <v>EAST_MDB_6B_11\PI3</v>
      </c>
    </row>
    <row r="174" spans="1:53" x14ac:dyDescent="0.25">
      <c r="A174" s="3">
        <v>88</v>
      </c>
      <c r="B174" s="3" t="s">
        <v>336</v>
      </c>
      <c r="C174" s="3" t="s">
        <v>240</v>
      </c>
      <c r="D174" s="3" t="s">
        <v>322</v>
      </c>
      <c r="E174" s="4"/>
      <c r="F174" s="2"/>
      <c r="G174" s="2"/>
      <c r="H174" s="2" t="str">
        <f>$C174&amp;H$7</f>
        <v>EAST_MDB_6C\ELD</v>
      </c>
      <c r="I174" s="20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</row>
    <row r="175" spans="1:53" x14ac:dyDescent="0.25">
      <c r="A175" s="3">
        <v>89</v>
      </c>
      <c r="B175" s="3" t="s">
        <v>336</v>
      </c>
      <c r="C175" s="10" t="s">
        <v>270</v>
      </c>
      <c r="D175" s="10" t="s">
        <v>322</v>
      </c>
      <c r="E175" s="4"/>
      <c r="F175" s="2" t="str">
        <f t="shared" ref="F175:G180" si="73">$C175&amp;F$7</f>
        <v>EAST_TIE_56\ST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</row>
    <row r="176" spans="1:53" x14ac:dyDescent="0.25">
      <c r="A176" s="3">
        <v>90</v>
      </c>
      <c r="B176" s="3" t="s">
        <v>336</v>
      </c>
      <c r="C176" s="3" t="s">
        <v>180</v>
      </c>
      <c r="D176" s="3" t="s">
        <v>322</v>
      </c>
      <c r="E176" s="4"/>
      <c r="F176" s="2" t="str">
        <f t="shared" si="73"/>
        <v>EAST_MDB_6C_1\ST</v>
      </c>
      <c r="G176" s="2" t="str">
        <f t="shared" si="73"/>
        <v>EAST_MDB_6C_1\TRIP</v>
      </c>
      <c r="H176" s="20"/>
      <c r="I176" s="20"/>
      <c r="J176" s="20"/>
      <c r="K176" s="20"/>
      <c r="L176" s="20"/>
      <c r="M176" s="20"/>
      <c r="N176" s="20"/>
      <c r="O176" s="20"/>
      <c r="P176" s="20"/>
      <c r="Q176" s="24"/>
      <c r="R176" s="2" t="str">
        <f t="shared" ref="R176:AU181" si="74">$C176&amp;R$7</f>
        <v>EAST_MDB_6C_1\V12</v>
      </c>
      <c r="S176" s="2" t="str">
        <f t="shared" si="74"/>
        <v>EAST_MDB_6C_1\V23</v>
      </c>
      <c r="T176" s="2" t="str">
        <f t="shared" si="74"/>
        <v>EAST_MDB_6C_1\V31</v>
      </c>
      <c r="U176" s="2" t="str">
        <f t="shared" si="74"/>
        <v>EAST_MDB_6C_1\V1N</v>
      </c>
      <c r="V176" s="2" t="str">
        <f t="shared" si="74"/>
        <v>EAST_MDB_6C_1\V2N</v>
      </c>
      <c r="W176" s="2" t="str">
        <f t="shared" si="74"/>
        <v>EAST_MDB_6C_1\V3N</v>
      </c>
      <c r="X176" s="2" t="str">
        <f t="shared" si="74"/>
        <v>EAST_MDB_6C_1\VA</v>
      </c>
      <c r="Y176" s="2" t="str">
        <f t="shared" si="74"/>
        <v>EAST_MDB_6C_1\A1</v>
      </c>
      <c r="Z176" s="2" t="str">
        <f t="shared" si="74"/>
        <v>EAST_MDB_6C_1\A2</v>
      </c>
      <c r="AA176" s="2" t="str">
        <f t="shared" si="74"/>
        <v>EAST_MDB_6C_1\A3</v>
      </c>
      <c r="AB176" s="2" t="str">
        <f t="shared" si="74"/>
        <v>EAST_MDB_6C_1\AA</v>
      </c>
      <c r="AC176" s="2" t="str">
        <f t="shared" si="74"/>
        <v>EAST_MDB_6C_1\PF</v>
      </c>
      <c r="AD176" s="2" t="str">
        <f t="shared" si="74"/>
        <v>EAST_MDB_6C_1\HZ</v>
      </c>
      <c r="AE176" s="2" t="str">
        <f t="shared" si="74"/>
        <v>EAST_MDB_6C_1\KW</v>
      </c>
      <c r="AF176" s="2" t="str">
        <f t="shared" si="74"/>
        <v>EAST_MDB_6C_1\KHh</v>
      </c>
      <c r="AG176" s="2" t="str">
        <f t="shared" si="74"/>
        <v>EAST_MDB_6C_1\VA</v>
      </c>
      <c r="AH176" s="2" t="str">
        <f t="shared" si="74"/>
        <v>EAST_MDB_6C_1\VAH</v>
      </c>
      <c r="AI176" s="2" t="str">
        <f t="shared" si="74"/>
        <v>EAST_MDB_6C_1\PEAK</v>
      </c>
      <c r="AJ176" s="2" t="str">
        <f t="shared" si="74"/>
        <v>EAST_MDB_6C_1\H_A_1</v>
      </c>
      <c r="AK176" s="2" t="str">
        <f t="shared" si="74"/>
        <v>EAST_MDB_6C_1\H_A_3</v>
      </c>
      <c r="AL176" s="2" t="str">
        <f t="shared" si="74"/>
        <v>EAST_MDB_6C_1\H_A_5</v>
      </c>
      <c r="AM176" s="2" t="str">
        <f t="shared" si="74"/>
        <v>EAST_MDB_6C_1\H_A_7</v>
      </c>
      <c r="AN176" s="2" t="str">
        <f t="shared" si="74"/>
        <v>EAST_MDB_6C_1\H_B_1</v>
      </c>
      <c r="AO176" s="2" t="str">
        <f t="shared" si="74"/>
        <v>EAST_MDB_6C_1\H_B_3</v>
      </c>
      <c r="AP176" s="2" t="str">
        <f t="shared" si="74"/>
        <v>EAST_MDB_6C_1\H_B_5</v>
      </c>
      <c r="AQ176" s="2" t="str">
        <f t="shared" si="74"/>
        <v>EAST_MDB_6C_1\H_B_7</v>
      </c>
      <c r="AR176" s="2" t="str">
        <f t="shared" si="74"/>
        <v>EAST_MDB_6C_1\H_C_1</v>
      </c>
      <c r="AS176" s="2" t="str">
        <f t="shared" si="74"/>
        <v>EAST_MDB_6C_1\H_C_3</v>
      </c>
      <c r="AT176" s="2" t="str">
        <f t="shared" si="74"/>
        <v>EAST_MDB_6C_1\H_C_5</v>
      </c>
      <c r="AU176" s="2" t="str">
        <f t="shared" si="74"/>
        <v>EAST_MDB_6C_1\H_C_7</v>
      </c>
      <c r="AV176" s="2" t="str">
        <f t="shared" ref="AV176:BA180" si="75">$C176&amp;AV$7</f>
        <v>EAST_MDB_6C_1\PV1</v>
      </c>
      <c r="AW176" s="2" t="str">
        <f t="shared" si="75"/>
        <v>EAST_MDB_6C_1\PV2</v>
      </c>
      <c r="AX176" s="2" t="str">
        <f t="shared" si="75"/>
        <v>EAST_MDB_6C_1\PV3</v>
      </c>
      <c r="AY176" s="2" t="str">
        <f t="shared" si="75"/>
        <v>EAST_MDB_6C_1\PI1</v>
      </c>
      <c r="AZ176" s="2" t="str">
        <f t="shared" si="75"/>
        <v>EAST_MDB_6C_1\PI2</v>
      </c>
      <c r="BA176" s="2" t="str">
        <f t="shared" si="75"/>
        <v>EAST_MDB_6C_1\PI3</v>
      </c>
    </row>
    <row r="177" spans="1:53" x14ac:dyDescent="0.25">
      <c r="A177" s="3">
        <v>91</v>
      </c>
      <c r="B177" s="3" t="s">
        <v>336</v>
      </c>
      <c r="C177" s="3" t="s">
        <v>181</v>
      </c>
      <c r="D177" s="3" t="s">
        <v>322</v>
      </c>
      <c r="E177" s="4"/>
      <c r="F177" s="2" t="str">
        <f t="shared" si="73"/>
        <v>EAST_MDB_6C_2\ST</v>
      </c>
      <c r="G177" s="2" t="str">
        <f t="shared" si="73"/>
        <v>EAST_MDB_6C_2\TRIP</v>
      </c>
      <c r="H177" s="20"/>
      <c r="I177" s="20"/>
      <c r="J177" s="20"/>
      <c r="K177" s="20"/>
      <c r="L177" s="20"/>
      <c r="M177" s="20"/>
      <c r="N177" s="20"/>
      <c r="O177" s="20"/>
      <c r="P177" s="20"/>
      <c r="Q177" s="24"/>
      <c r="R177" s="2" t="str">
        <f t="shared" si="74"/>
        <v>EAST_MDB_6C_2\V12</v>
      </c>
      <c r="S177" s="2" t="str">
        <f t="shared" si="74"/>
        <v>EAST_MDB_6C_2\V23</v>
      </c>
      <c r="T177" s="2" t="str">
        <f t="shared" si="74"/>
        <v>EAST_MDB_6C_2\V31</v>
      </c>
      <c r="U177" s="2" t="str">
        <f t="shared" si="74"/>
        <v>EAST_MDB_6C_2\V1N</v>
      </c>
      <c r="V177" s="2" t="str">
        <f t="shared" si="74"/>
        <v>EAST_MDB_6C_2\V2N</v>
      </c>
      <c r="W177" s="2" t="str">
        <f t="shared" si="74"/>
        <v>EAST_MDB_6C_2\V3N</v>
      </c>
      <c r="X177" s="2" t="str">
        <f t="shared" si="74"/>
        <v>EAST_MDB_6C_2\VA</v>
      </c>
      <c r="Y177" s="2" t="str">
        <f t="shared" si="74"/>
        <v>EAST_MDB_6C_2\A1</v>
      </c>
      <c r="Z177" s="2" t="str">
        <f t="shared" si="74"/>
        <v>EAST_MDB_6C_2\A2</v>
      </c>
      <c r="AA177" s="2" t="str">
        <f t="shared" si="74"/>
        <v>EAST_MDB_6C_2\A3</v>
      </c>
      <c r="AB177" s="2" t="str">
        <f t="shared" si="74"/>
        <v>EAST_MDB_6C_2\AA</v>
      </c>
      <c r="AC177" s="2" t="str">
        <f t="shared" si="74"/>
        <v>EAST_MDB_6C_2\PF</v>
      </c>
      <c r="AD177" s="2" t="str">
        <f t="shared" si="74"/>
        <v>EAST_MDB_6C_2\HZ</v>
      </c>
      <c r="AE177" s="2" t="str">
        <f t="shared" si="74"/>
        <v>EAST_MDB_6C_2\KW</v>
      </c>
      <c r="AF177" s="2" t="str">
        <f t="shared" si="74"/>
        <v>EAST_MDB_6C_2\KHh</v>
      </c>
      <c r="AG177" s="2" t="str">
        <f t="shared" si="74"/>
        <v>EAST_MDB_6C_2\VA</v>
      </c>
      <c r="AH177" s="2" t="str">
        <f t="shared" si="74"/>
        <v>EAST_MDB_6C_2\VAH</v>
      </c>
      <c r="AI177" s="2" t="str">
        <f t="shared" si="74"/>
        <v>EAST_MDB_6C_2\PEAK</v>
      </c>
      <c r="AJ177" s="2" t="str">
        <f t="shared" si="74"/>
        <v>EAST_MDB_6C_2\H_A_1</v>
      </c>
      <c r="AK177" s="2" t="str">
        <f t="shared" si="74"/>
        <v>EAST_MDB_6C_2\H_A_3</v>
      </c>
      <c r="AL177" s="2" t="str">
        <f t="shared" si="74"/>
        <v>EAST_MDB_6C_2\H_A_5</v>
      </c>
      <c r="AM177" s="2" t="str">
        <f t="shared" si="74"/>
        <v>EAST_MDB_6C_2\H_A_7</v>
      </c>
      <c r="AN177" s="2" t="str">
        <f t="shared" si="74"/>
        <v>EAST_MDB_6C_2\H_B_1</v>
      </c>
      <c r="AO177" s="2" t="str">
        <f t="shared" si="74"/>
        <v>EAST_MDB_6C_2\H_B_3</v>
      </c>
      <c r="AP177" s="2" t="str">
        <f t="shared" si="74"/>
        <v>EAST_MDB_6C_2\H_B_5</v>
      </c>
      <c r="AQ177" s="2" t="str">
        <f t="shared" si="74"/>
        <v>EAST_MDB_6C_2\H_B_7</v>
      </c>
      <c r="AR177" s="2" t="str">
        <f t="shared" si="74"/>
        <v>EAST_MDB_6C_2\H_C_1</v>
      </c>
      <c r="AS177" s="2" t="str">
        <f t="shared" si="74"/>
        <v>EAST_MDB_6C_2\H_C_3</v>
      </c>
      <c r="AT177" s="2" t="str">
        <f t="shared" si="74"/>
        <v>EAST_MDB_6C_2\H_C_5</v>
      </c>
      <c r="AU177" s="2" t="str">
        <f t="shared" si="74"/>
        <v>EAST_MDB_6C_2\H_C_7</v>
      </c>
      <c r="AV177" s="2" t="str">
        <f t="shared" si="75"/>
        <v>EAST_MDB_6C_2\PV1</v>
      </c>
      <c r="AW177" s="2" t="str">
        <f t="shared" si="75"/>
        <v>EAST_MDB_6C_2\PV2</v>
      </c>
      <c r="AX177" s="2" t="str">
        <f t="shared" si="75"/>
        <v>EAST_MDB_6C_2\PV3</v>
      </c>
      <c r="AY177" s="2" t="str">
        <f t="shared" si="75"/>
        <v>EAST_MDB_6C_2\PI1</v>
      </c>
      <c r="AZ177" s="2" t="str">
        <f t="shared" si="75"/>
        <v>EAST_MDB_6C_2\PI2</v>
      </c>
      <c r="BA177" s="2" t="str">
        <f t="shared" si="75"/>
        <v>EAST_MDB_6C_2\PI3</v>
      </c>
    </row>
    <row r="178" spans="1:53" x14ac:dyDescent="0.25">
      <c r="A178" s="3">
        <v>92</v>
      </c>
      <c r="B178" s="3" t="s">
        <v>336</v>
      </c>
      <c r="C178" s="3" t="s">
        <v>182</v>
      </c>
      <c r="D178" s="3" t="s">
        <v>322</v>
      </c>
      <c r="E178" s="4"/>
      <c r="F178" s="2" t="str">
        <f t="shared" si="73"/>
        <v>EAST_MDB_6C_3\ST</v>
      </c>
      <c r="G178" s="2" t="str">
        <f t="shared" si="73"/>
        <v>EAST_MDB_6C_3\TRIP</v>
      </c>
      <c r="H178" s="20"/>
      <c r="I178" s="20"/>
      <c r="J178" s="20"/>
      <c r="K178" s="20"/>
      <c r="L178" s="20"/>
      <c r="M178" s="20"/>
      <c r="N178" s="20"/>
      <c r="O178" s="20"/>
      <c r="P178" s="20"/>
      <c r="Q178" s="24"/>
      <c r="R178" s="2" t="str">
        <f t="shared" si="74"/>
        <v>EAST_MDB_6C_3\V12</v>
      </c>
      <c r="S178" s="2" t="str">
        <f t="shared" si="74"/>
        <v>EAST_MDB_6C_3\V23</v>
      </c>
      <c r="T178" s="2" t="str">
        <f t="shared" si="74"/>
        <v>EAST_MDB_6C_3\V31</v>
      </c>
      <c r="U178" s="2" t="str">
        <f t="shared" si="74"/>
        <v>EAST_MDB_6C_3\V1N</v>
      </c>
      <c r="V178" s="2" t="str">
        <f t="shared" si="74"/>
        <v>EAST_MDB_6C_3\V2N</v>
      </c>
      <c r="W178" s="2" t="str">
        <f t="shared" si="74"/>
        <v>EAST_MDB_6C_3\V3N</v>
      </c>
      <c r="X178" s="2" t="str">
        <f t="shared" si="74"/>
        <v>EAST_MDB_6C_3\VA</v>
      </c>
      <c r="Y178" s="2" t="str">
        <f t="shared" si="74"/>
        <v>EAST_MDB_6C_3\A1</v>
      </c>
      <c r="Z178" s="2" t="str">
        <f t="shared" si="74"/>
        <v>EAST_MDB_6C_3\A2</v>
      </c>
      <c r="AA178" s="2" t="str">
        <f t="shared" si="74"/>
        <v>EAST_MDB_6C_3\A3</v>
      </c>
      <c r="AB178" s="2" t="str">
        <f t="shared" si="74"/>
        <v>EAST_MDB_6C_3\AA</v>
      </c>
      <c r="AC178" s="2" t="str">
        <f t="shared" si="74"/>
        <v>EAST_MDB_6C_3\PF</v>
      </c>
      <c r="AD178" s="2" t="str">
        <f t="shared" si="74"/>
        <v>EAST_MDB_6C_3\HZ</v>
      </c>
      <c r="AE178" s="2" t="str">
        <f t="shared" si="74"/>
        <v>EAST_MDB_6C_3\KW</v>
      </c>
      <c r="AF178" s="2" t="str">
        <f t="shared" si="74"/>
        <v>EAST_MDB_6C_3\KHh</v>
      </c>
      <c r="AG178" s="2" t="str">
        <f t="shared" si="74"/>
        <v>EAST_MDB_6C_3\VA</v>
      </c>
      <c r="AH178" s="2" t="str">
        <f t="shared" si="74"/>
        <v>EAST_MDB_6C_3\VAH</v>
      </c>
      <c r="AI178" s="2" t="str">
        <f t="shared" si="74"/>
        <v>EAST_MDB_6C_3\PEAK</v>
      </c>
      <c r="AJ178" s="2" t="str">
        <f t="shared" si="74"/>
        <v>EAST_MDB_6C_3\H_A_1</v>
      </c>
      <c r="AK178" s="2" t="str">
        <f t="shared" si="74"/>
        <v>EAST_MDB_6C_3\H_A_3</v>
      </c>
      <c r="AL178" s="2" t="str">
        <f t="shared" si="74"/>
        <v>EAST_MDB_6C_3\H_A_5</v>
      </c>
      <c r="AM178" s="2" t="str">
        <f t="shared" si="74"/>
        <v>EAST_MDB_6C_3\H_A_7</v>
      </c>
      <c r="AN178" s="2" t="str">
        <f t="shared" si="74"/>
        <v>EAST_MDB_6C_3\H_B_1</v>
      </c>
      <c r="AO178" s="2" t="str">
        <f t="shared" si="74"/>
        <v>EAST_MDB_6C_3\H_B_3</v>
      </c>
      <c r="AP178" s="2" t="str">
        <f t="shared" si="74"/>
        <v>EAST_MDB_6C_3\H_B_5</v>
      </c>
      <c r="AQ178" s="2" t="str">
        <f t="shared" si="74"/>
        <v>EAST_MDB_6C_3\H_B_7</v>
      </c>
      <c r="AR178" s="2" t="str">
        <f t="shared" si="74"/>
        <v>EAST_MDB_6C_3\H_C_1</v>
      </c>
      <c r="AS178" s="2" t="str">
        <f t="shared" si="74"/>
        <v>EAST_MDB_6C_3\H_C_3</v>
      </c>
      <c r="AT178" s="2" t="str">
        <f t="shared" si="74"/>
        <v>EAST_MDB_6C_3\H_C_5</v>
      </c>
      <c r="AU178" s="2" t="str">
        <f t="shared" si="74"/>
        <v>EAST_MDB_6C_3\H_C_7</v>
      </c>
      <c r="AV178" s="2" t="str">
        <f t="shared" si="75"/>
        <v>EAST_MDB_6C_3\PV1</v>
      </c>
      <c r="AW178" s="2" t="str">
        <f t="shared" si="75"/>
        <v>EAST_MDB_6C_3\PV2</v>
      </c>
      <c r="AX178" s="2" t="str">
        <f t="shared" si="75"/>
        <v>EAST_MDB_6C_3\PV3</v>
      </c>
      <c r="AY178" s="2" t="str">
        <f t="shared" si="75"/>
        <v>EAST_MDB_6C_3\PI1</v>
      </c>
      <c r="AZ178" s="2" t="str">
        <f t="shared" si="75"/>
        <v>EAST_MDB_6C_3\PI2</v>
      </c>
      <c r="BA178" s="2" t="str">
        <f t="shared" si="75"/>
        <v>EAST_MDB_6C_3\PI3</v>
      </c>
    </row>
    <row r="179" spans="1:53" x14ac:dyDescent="0.25">
      <c r="A179" s="3">
        <v>93</v>
      </c>
      <c r="B179" s="3" t="s">
        <v>336</v>
      </c>
      <c r="C179" s="3" t="s">
        <v>183</v>
      </c>
      <c r="D179" s="3" t="s">
        <v>322</v>
      </c>
      <c r="E179" s="4"/>
      <c r="F179" s="2" t="str">
        <f t="shared" si="73"/>
        <v>EAST_MDB_6C_4\ST</v>
      </c>
      <c r="G179" s="2" t="str">
        <f t="shared" si="73"/>
        <v>EAST_MDB_6C_4\TRIP</v>
      </c>
      <c r="H179" s="20"/>
      <c r="I179" s="20"/>
      <c r="J179" s="20"/>
      <c r="K179" s="20"/>
      <c r="L179" s="20"/>
      <c r="M179" s="20"/>
      <c r="N179" s="20"/>
      <c r="O179" s="20"/>
      <c r="P179" s="20"/>
      <c r="Q179" s="24"/>
      <c r="R179" s="2" t="str">
        <f t="shared" si="74"/>
        <v>EAST_MDB_6C_4\V12</v>
      </c>
      <c r="S179" s="2" t="str">
        <f t="shared" si="74"/>
        <v>EAST_MDB_6C_4\V23</v>
      </c>
      <c r="T179" s="2" t="str">
        <f t="shared" si="74"/>
        <v>EAST_MDB_6C_4\V31</v>
      </c>
      <c r="U179" s="2" t="str">
        <f t="shared" si="74"/>
        <v>EAST_MDB_6C_4\V1N</v>
      </c>
      <c r="V179" s="2" t="str">
        <f t="shared" si="74"/>
        <v>EAST_MDB_6C_4\V2N</v>
      </c>
      <c r="W179" s="2" t="str">
        <f t="shared" si="74"/>
        <v>EAST_MDB_6C_4\V3N</v>
      </c>
      <c r="X179" s="2" t="str">
        <f t="shared" si="74"/>
        <v>EAST_MDB_6C_4\VA</v>
      </c>
      <c r="Y179" s="2" t="str">
        <f t="shared" si="74"/>
        <v>EAST_MDB_6C_4\A1</v>
      </c>
      <c r="Z179" s="2" t="str">
        <f t="shared" si="74"/>
        <v>EAST_MDB_6C_4\A2</v>
      </c>
      <c r="AA179" s="2" t="str">
        <f t="shared" si="74"/>
        <v>EAST_MDB_6C_4\A3</v>
      </c>
      <c r="AB179" s="2" t="str">
        <f t="shared" si="74"/>
        <v>EAST_MDB_6C_4\AA</v>
      </c>
      <c r="AC179" s="2" t="str">
        <f t="shared" si="74"/>
        <v>EAST_MDB_6C_4\PF</v>
      </c>
      <c r="AD179" s="2" t="str">
        <f t="shared" si="74"/>
        <v>EAST_MDB_6C_4\HZ</v>
      </c>
      <c r="AE179" s="2" t="str">
        <f t="shared" si="74"/>
        <v>EAST_MDB_6C_4\KW</v>
      </c>
      <c r="AF179" s="2" t="str">
        <f t="shared" si="74"/>
        <v>EAST_MDB_6C_4\KHh</v>
      </c>
      <c r="AG179" s="2" t="str">
        <f t="shared" si="74"/>
        <v>EAST_MDB_6C_4\VA</v>
      </c>
      <c r="AH179" s="2" t="str">
        <f t="shared" si="74"/>
        <v>EAST_MDB_6C_4\VAH</v>
      </c>
      <c r="AI179" s="2" t="str">
        <f t="shared" si="74"/>
        <v>EAST_MDB_6C_4\PEAK</v>
      </c>
      <c r="AJ179" s="2" t="str">
        <f t="shared" si="74"/>
        <v>EAST_MDB_6C_4\H_A_1</v>
      </c>
      <c r="AK179" s="2" t="str">
        <f t="shared" si="74"/>
        <v>EAST_MDB_6C_4\H_A_3</v>
      </c>
      <c r="AL179" s="2" t="str">
        <f t="shared" si="74"/>
        <v>EAST_MDB_6C_4\H_A_5</v>
      </c>
      <c r="AM179" s="2" t="str">
        <f t="shared" si="74"/>
        <v>EAST_MDB_6C_4\H_A_7</v>
      </c>
      <c r="AN179" s="2" t="str">
        <f t="shared" si="74"/>
        <v>EAST_MDB_6C_4\H_B_1</v>
      </c>
      <c r="AO179" s="2" t="str">
        <f t="shared" si="74"/>
        <v>EAST_MDB_6C_4\H_B_3</v>
      </c>
      <c r="AP179" s="2" t="str">
        <f t="shared" si="74"/>
        <v>EAST_MDB_6C_4\H_B_5</v>
      </c>
      <c r="AQ179" s="2" t="str">
        <f t="shared" si="74"/>
        <v>EAST_MDB_6C_4\H_B_7</v>
      </c>
      <c r="AR179" s="2" t="str">
        <f t="shared" si="74"/>
        <v>EAST_MDB_6C_4\H_C_1</v>
      </c>
      <c r="AS179" s="2" t="str">
        <f t="shared" si="74"/>
        <v>EAST_MDB_6C_4\H_C_3</v>
      </c>
      <c r="AT179" s="2" t="str">
        <f t="shared" si="74"/>
        <v>EAST_MDB_6C_4\H_C_5</v>
      </c>
      <c r="AU179" s="2" t="str">
        <f t="shared" si="74"/>
        <v>EAST_MDB_6C_4\H_C_7</v>
      </c>
      <c r="AV179" s="2" t="str">
        <f t="shared" si="75"/>
        <v>EAST_MDB_6C_4\PV1</v>
      </c>
      <c r="AW179" s="2" t="str">
        <f t="shared" si="75"/>
        <v>EAST_MDB_6C_4\PV2</v>
      </c>
      <c r="AX179" s="2" t="str">
        <f t="shared" si="75"/>
        <v>EAST_MDB_6C_4\PV3</v>
      </c>
      <c r="AY179" s="2" t="str">
        <f t="shared" si="75"/>
        <v>EAST_MDB_6C_4\PI1</v>
      </c>
      <c r="AZ179" s="2" t="str">
        <f t="shared" si="75"/>
        <v>EAST_MDB_6C_4\PI2</v>
      </c>
      <c r="BA179" s="2" t="str">
        <f t="shared" si="75"/>
        <v>EAST_MDB_6C_4\PI3</v>
      </c>
    </row>
    <row r="180" spans="1:53" x14ac:dyDescent="0.25">
      <c r="A180" s="3">
        <v>94</v>
      </c>
      <c r="B180" s="3" t="s">
        <v>336</v>
      </c>
      <c r="C180" s="3" t="s">
        <v>184</v>
      </c>
      <c r="D180" s="3" t="s">
        <v>322</v>
      </c>
      <c r="E180" s="4"/>
      <c r="F180" s="2" t="str">
        <f t="shared" si="73"/>
        <v>EAST_MDB_6C_5\ST</v>
      </c>
      <c r="G180" s="2" t="str">
        <f t="shared" si="73"/>
        <v>EAST_MDB_6C_5\TRIP</v>
      </c>
      <c r="H180" s="20"/>
      <c r="I180" s="20"/>
      <c r="J180" s="20"/>
      <c r="K180" s="20"/>
      <c r="L180" s="20"/>
      <c r="M180" s="20"/>
      <c r="N180" s="20"/>
      <c r="O180" s="20"/>
      <c r="P180" s="20"/>
      <c r="Q180" s="24"/>
      <c r="R180" s="2" t="str">
        <f t="shared" si="74"/>
        <v>EAST_MDB_6C_5\V12</v>
      </c>
      <c r="S180" s="2" t="str">
        <f t="shared" si="74"/>
        <v>EAST_MDB_6C_5\V23</v>
      </c>
      <c r="T180" s="2" t="str">
        <f t="shared" si="74"/>
        <v>EAST_MDB_6C_5\V31</v>
      </c>
      <c r="U180" s="2" t="str">
        <f t="shared" si="74"/>
        <v>EAST_MDB_6C_5\V1N</v>
      </c>
      <c r="V180" s="2" t="str">
        <f t="shared" si="74"/>
        <v>EAST_MDB_6C_5\V2N</v>
      </c>
      <c r="W180" s="2" t="str">
        <f t="shared" si="74"/>
        <v>EAST_MDB_6C_5\V3N</v>
      </c>
      <c r="X180" s="2" t="str">
        <f t="shared" si="74"/>
        <v>EAST_MDB_6C_5\VA</v>
      </c>
      <c r="Y180" s="2" t="str">
        <f t="shared" si="74"/>
        <v>EAST_MDB_6C_5\A1</v>
      </c>
      <c r="Z180" s="2" t="str">
        <f t="shared" si="74"/>
        <v>EAST_MDB_6C_5\A2</v>
      </c>
      <c r="AA180" s="2" t="str">
        <f t="shared" si="74"/>
        <v>EAST_MDB_6C_5\A3</v>
      </c>
      <c r="AB180" s="2" t="str">
        <f t="shared" si="74"/>
        <v>EAST_MDB_6C_5\AA</v>
      </c>
      <c r="AC180" s="2" t="str">
        <f t="shared" si="74"/>
        <v>EAST_MDB_6C_5\PF</v>
      </c>
      <c r="AD180" s="2" t="str">
        <f t="shared" si="74"/>
        <v>EAST_MDB_6C_5\HZ</v>
      </c>
      <c r="AE180" s="2" t="str">
        <f t="shared" si="74"/>
        <v>EAST_MDB_6C_5\KW</v>
      </c>
      <c r="AF180" s="2" t="str">
        <f t="shared" si="74"/>
        <v>EAST_MDB_6C_5\KHh</v>
      </c>
      <c r="AG180" s="2" t="str">
        <f t="shared" si="74"/>
        <v>EAST_MDB_6C_5\VA</v>
      </c>
      <c r="AH180" s="2" t="str">
        <f t="shared" si="74"/>
        <v>EAST_MDB_6C_5\VAH</v>
      </c>
      <c r="AI180" s="2" t="str">
        <f t="shared" si="74"/>
        <v>EAST_MDB_6C_5\PEAK</v>
      </c>
      <c r="AJ180" s="2" t="str">
        <f t="shared" si="74"/>
        <v>EAST_MDB_6C_5\H_A_1</v>
      </c>
      <c r="AK180" s="2" t="str">
        <f t="shared" si="74"/>
        <v>EAST_MDB_6C_5\H_A_3</v>
      </c>
      <c r="AL180" s="2" t="str">
        <f t="shared" si="74"/>
        <v>EAST_MDB_6C_5\H_A_5</v>
      </c>
      <c r="AM180" s="2" t="str">
        <f t="shared" si="74"/>
        <v>EAST_MDB_6C_5\H_A_7</v>
      </c>
      <c r="AN180" s="2" t="str">
        <f t="shared" si="74"/>
        <v>EAST_MDB_6C_5\H_B_1</v>
      </c>
      <c r="AO180" s="2" t="str">
        <f t="shared" si="74"/>
        <v>EAST_MDB_6C_5\H_B_3</v>
      </c>
      <c r="AP180" s="2" t="str">
        <f t="shared" si="74"/>
        <v>EAST_MDB_6C_5\H_B_5</v>
      </c>
      <c r="AQ180" s="2" t="str">
        <f t="shared" si="74"/>
        <v>EAST_MDB_6C_5\H_B_7</v>
      </c>
      <c r="AR180" s="2" t="str">
        <f t="shared" si="74"/>
        <v>EAST_MDB_6C_5\H_C_1</v>
      </c>
      <c r="AS180" s="2" t="str">
        <f t="shared" si="74"/>
        <v>EAST_MDB_6C_5\H_C_3</v>
      </c>
      <c r="AT180" s="2" t="str">
        <f t="shared" si="74"/>
        <v>EAST_MDB_6C_5\H_C_5</v>
      </c>
      <c r="AU180" s="2" t="str">
        <f t="shared" si="74"/>
        <v>EAST_MDB_6C_5\H_C_7</v>
      </c>
      <c r="AV180" s="2" t="str">
        <f t="shared" si="75"/>
        <v>EAST_MDB_6C_5\PV1</v>
      </c>
      <c r="AW180" s="2" t="str">
        <f t="shared" si="75"/>
        <v>EAST_MDB_6C_5\PV2</v>
      </c>
      <c r="AX180" s="2" t="str">
        <f t="shared" si="75"/>
        <v>EAST_MDB_6C_5\PV3</v>
      </c>
      <c r="AY180" s="2" t="str">
        <f t="shared" si="75"/>
        <v>EAST_MDB_6C_5\PI1</v>
      </c>
      <c r="AZ180" s="2" t="str">
        <f t="shared" si="75"/>
        <v>EAST_MDB_6C_5\PI2</v>
      </c>
      <c r="BA180" s="2" t="str">
        <f t="shared" si="75"/>
        <v>EAST_MDB_6C_5\PI3</v>
      </c>
    </row>
    <row r="181" spans="1:53" s="15" customFormat="1" x14ac:dyDescent="0.25">
      <c r="A181" s="11">
        <v>1</v>
      </c>
      <c r="B181" s="11" t="s">
        <v>337</v>
      </c>
      <c r="C181" s="11" t="s">
        <v>1</v>
      </c>
      <c r="D181" s="11" t="s">
        <v>275</v>
      </c>
      <c r="E181" s="12"/>
      <c r="F181" s="26" t="str">
        <f t="shared" ref="F181:G192" si="76">$C181&amp;F$7</f>
        <v>EAST_VCB_MAIN\ST</v>
      </c>
      <c r="G181" s="26" t="str">
        <f t="shared" si="76"/>
        <v>EAST_VCB_MAIN\TRIP</v>
      </c>
      <c r="H181" s="21"/>
      <c r="I181" s="21"/>
      <c r="J181" s="26" t="str">
        <f t="shared" ref="J181:N192" si="77">$C181&amp;J$7</f>
        <v>EAST_VCB_MAIN\OCR_A</v>
      </c>
      <c r="K181" s="26" t="str">
        <f t="shared" si="77"/>
        <v>EAST_VCB_MAIN\OCR_B</v>
      </c>
      <c r="L181" s="26" t="str">
        <f t="shared" si="77"/>
        <v>EAST_VCB_MAIN\OCR_C</v>
      </c>
      <c r="M181" s="26" t="str">
        <f t="shared" si="77"/>
        <v>EAST_VCB_MAIN\OCGR</v>
      </c>
      <c r="N181" s="26" t="str">
        <f t="shared" si="77"/>
        <v>EAST_VCB_MAIN\OVR</v>
      </c>
      <c r="O181" s="21"/>
      <c r="P181" s="21"/>
      <c r="Q181" s="22"/>
      <c r="R181" s="26" t="str">
        <f t="shared" ref="R181:AU192" si="78">$C181&amp;R$7</f>
        <v>EAST_VCB_MAIN\V12</v>
      </c>
      <c r="S181" s="26" t="str">
        <f t="shared" si="78"/>
        <v>EAST_VCB_MAIN\V23</v>
      </c>
      <c r="T181" s="26" t="str">
        <f t="shared" si="78"/>
        <v>EAST_VCB_MAIN\V31</v>
      </c>
      <c r="U181" s="26" t="str">
        <f t="shared" si="78"/>
        <v>EAST_VCB_MAIN\V1N</v>
      </c>
      <c r="V181" s="26" t="str">
        <f t="shared" si="78"/>
        <v>EAST_VCB_MAIN\V2N</v>
      </c>
      <c r="W181" s="26" t="str">
        <f t="shared" si="78"/>
        <v>EAST_VCB_MAIN\V3N</v>
      </c>
      <c r="X181" s="26" t="str">
        <f t="shared" si="78"/>
        <v>EAST_VCB_MAIN\VA</v>
      </c>
      <c r="Y181" s="26" t="str">
        <f t="shared" si="78"/>
        <v>EAST_VCB_MAIN\A1</v>
      </c>
      <c r="Z181" s="26" t="str">
        <f t="shared" si="78"/>
        <v>EAST_VCB_MAIN\A2</v>
      </c>
      <c r="AA181" s="26" t="str">
        <f t="shared" si="78"/>
        <v>EAST_VCB_MAIN\A3</v>
      </c>
      <c r="AB181" s="26" t="str">
        <f t="shared" si="78"/>
        <v>EAST_VCB_MAIN\AA</v>
      </c>
      <c r="AC181" s="26" t="str">
        <f t="shared" si="78"/>
        <v>EAST_VCB_MAIN\PF</v>
      </c>
      <c r="AD181" s="26" t="str">
        <f t="shared" si="78"/>
        <v>EAST_VCB_MAIN\HZ</v>
      </c>
      <c r="AE181" s="26" t="str">
        <f t="shared" si="78"/>
        <v>EAST_VCB_MAIN\KW</v>
      </c>
      <c r="AF181" s="26" t="str">
        <f t="shared" si="78"/>
        <v>EAST_VCB_MAIN\KHh</v>
      </c>
      <c r="AG181" s="26" t="str">
        <f t="shared" si="78"/>
        <v>EAST_VCB_MAIN\VA</v>
      </c>
      <c r="AH181" s="26" t="str">
        <f t="shared" si="78"/>
        <v>EAST_VCB_MAIN\VAH</v>
      </c>
      <c r="AI181" s="26" t="str">
        <f t="shared" si="78"/>
        <v>EAST_VCB_MAIN\PEAK</v>
      </c>
      <c r="AJ181" s="26" t="str">
        <f t="shared" si="74"/>
        <v>EAST_VCB_MAIN\H_A_1</v>
      </c>
      <c r="AK181" s="26" t="str">
        <f t="shared" si="74"/>
        <v>EAST_VCB_MAIN\H_A_3</v>
      </c>
      <c r="AL181" s="26" t="str">
        <f t="shared" si="74"/>
        <v>EAST_VCB_MAIN\H_A_5</v>
      </c>
      <c r="AM181" s="26" t="str">
        <f t="shared" si="74"/>
        <v>EAST_VCB_MAIN\H_A_7</v>
      </c>
      <c r="AN181" s="26" t="str">
        <f t="shared" si="74"/>
        <v>EAST_VCB_MAIN\H_B_1</v>
      </c>
      <c r="AO181" s="26" t="str">
        <f t="shared" si="74"/>
        <v>EAST_VCB_MAIN\H_B_3</v>
      </c>
      <c r="AP181" s="26" t="str">
        <f t="shared" si="74"/>
        <v>EAST_VCB_MAIN\H_B_5</v>
      </c>
      <c r="AQ181" s="26" t="str">
        <f t="shared" si="74"/>
        <v>EAST_VCB_MAIN\H_B_7</v>
      </c>
      <c r="AR181" s="26" t="str">
        <f t="shared" si="74"/>
        <v>EAST_VCB_MAIN\H_C_1</v>
      </c>
      <c r="AS181" s="26" t="str">
        <f t="shared" si="74"/>
        <v>EAST_VCB_MAIN\H_C_3</v>
      </c>
      <c r="AT181" s="26" t="str">
        <f t="shared" si="74"/>
        <v>EAST_VCB_MAIN\H_C_5</v>
      </c>
      <c r="AU181" s="26" t="str">
        <f t="shared" si="74"/>
        <v>EAST_VCB_MAIN\H_C_7</v>
      </c>
      <c r="AV181" s="26" t="str">
        <f t="shared" ref="AV181:BA192" si="79">$C181&amp;AV$7</f>
        <v>EAST_VCB_MAIN\PV1</v>
      </c>
      <c r="AW181" s="26" t="str">
        <f t="shared" si="79"/>
        <v>EAST_VCB_MAIN\PV2</v>
      </c>
      <c r="AX181" s="26" t="str">
        <f t="shared" si="79"/>
        <v>EAST_VCB_MAIN\PV3</v>
      </c>
      <c r="AY181" s="26" t="str">
        <f t="shared" si="79"/>
        <v>EAST_VCB_MAIN\PI1</v>
      </c>
      <c r="AZ181" s="26" t="str">
        <f t="shared" si="79"/>
        <v>EAST_VCB_MAIN\PI2</v>
      </c>
      <c r="BA181" s="26" t="str">
        <f t="shared" si="79"/>
        <v>EAST_VCB_MAIN\PI3</v>
      </c>
    </row>
    <row r="182" spans="1:53" x14ac:dyDescent="0.25">
      <c r="A182" s="3">
        <v>2</v>
      </c>
      <c r="B182" s="3" t="s">
        <v>337</v>
      </c>
      <c r="C182" s="3" t="s">
        <v>276</v>
      </c>
      <c r="D182" s="3" t="s">
        <v>277</v>
      </c>
      <c r="E182" s="19"/>
      <c r="F182" s="20" t="str">
        <f>$C182&amp;F$7</f>
        <v>EAST_ALTS\ST</v>
      </c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4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</row>
    <row r="183" spans="1:53" x14ac:dyDescent="0.25">
      <c r="A183" s="3">
        <v>3</v>
      </c>
      <c r="B183" s="3" t="s">
        <v>337</v>
      </c>
      <c r="C183" s="4" t="s">
        <v>22</v>
      </c>
      <c r="D183" s="4" t="s">
        <v>278</v>
      </c>
      <c r="E183" s="4"/>
      <c r="F183" s="2" t="str">
        <f t="shared" si="76"/>
        <v>EAST_VCB_MAIN_1\ST</v>
      </c>
      <c r="G183" s="2" t="str">
        <f t="shared" si="76"/>
        <v>EAST_VCB_MAIN_1\TRIP</v>
      </c>
      <c r="H183" s="20"/>
      <c r="I183" s="20"/>
      <c r="J183" s="2" t="str">
        <f t="shared" si="77"/>
        <v>EAST_VCB_MAIN_1\OCR_A</v>
      </c>
      <c r="K183" s="2" t="str">
        <f t="shared" si="77"/>
        <v>EAST_VCB_MAIN_1\OCR_B</v>
      </c>
      <c r="L183" s="2" t="str">
        <f t="shared" si="77"/>
        <v>EAST_VCB_MAIN_1\OCR_C</v>
      </c>
      <c r="M183" s="2" t="str">
        <f t="shared" si="77"/>
        <v>EAST_VCB_MAIN_1\OCGR</v>
      </c>
      <c r="N183" s="2" t="str">
        <f t="shared" si="77"/>
        <v>EAST_VCB_MAIN_1\OVR</v>
      </c>
      <c r="O183" s="20"/>
      <c r="P183" s="20"/>
      <c r="Q183" s="24"/>
      <c r="R183" s="2" t="str">
        <f t="shared" si="78"/>
        <v>EAST_VCB_MAIN_1\V12</v>
      </c>
      <c r="S183" s="2" t="str">
        <f t="shared" si="78"/>
        <v>EAST_VCB_MAIN_1\V23</v>
      </c>
      <c r="T183" s="2" t="str">
        <f t="shared" si="78"/>
        <v>EAST_VCB_MAIN_1\V31</v>
      </c>
      <c r="U183" s="2" t="str">
        <f t="shared" si="78"/>
        <v>EAST_VCB_MAIN_1\V1N</v>
      </c>
      <c r="V183" s="2" t="str">
        <f t="shared" si="78"/>
        <v>EAST_VCB_MAIN_1\V2N</v>
      </c>
      <c r="W183" s="2" t="str">
        <f t="shared" si="78"/>
        <v>EAST_VCB_MAIN_1\V3N</v>
      </c>
      <c r="X183" s="2" t="str">
        <f t="shared" si="78"/>
        <v>EAST_VCB_MAIN_1\VA</v>
      </c>
      <c r="Y183" s="2" t="str">
        <f t="shared" si="78"/>
        <v>EAST_VCB_MAIN_1\A1</v>
      </c>
      <c r="Z183" s="2" t="str">
        <f t="shared" si="78"/>
        <v>EAST_VCB_MAIN_1\A2</v>
      </c>
      <c r="AA183" s="2" t="str">
        <f t="shared" si="78"/>
        <v>EAST_VCB_MAIN_1\A3</v>
      </c>
      <c r="AB183" s="2" t="str">
        <f t="shared" si="78"/>
        <v>EAST_VCB_MAIN_1\AA</v>
      </c>
      <c r="AC183" s="2" t="str">
        <f t="shared" si="78"/>
        <v>EAST_VCB_MAIN_1\PF</v>
      </c>
      <c r="AD183" s="2" t="str">
        <f t="shared" si="78"/>
        <v>EAST_VCB_MAIN_1\HZ</v>
      </c>
      <c r="AE183" s="2" t="str">
        <f t="shared" si="78"/>
        <v>EAST_VCB_MAIN_1\KW</v>
      </c>
      <c r="AF183" s="2" t="str">
        <f t="shared" si="78"/>
        <v>EAST_VCB_MAIN_1\KHh</v>
      </c>
      <c r="AG183" s="2" t="str">
        <f t="shared" si="78"/>
        <v>EAST_VCB_MAIN_1\VA</v>
      </c>
      <c r="AH183" s="2" t="str">
        <f t="shared" si="78"/>
        <v>EAST_VCB_MAIN_1\VAH</v>
      </c>
      <c r="AI183" s="2" t="str">
        <f t="shared" si="78"/>
        <v>EAST_VCB_MAIN_1\PEAK</v>
      </c>
      <c r="AJ183" s="2" t="str">
        <f t="shared" si="78"/>
        <v>EAST_VCB_MAIN_1\H_A_1</v>
      </c>
      <c r="AK183" s="2" t="str">
        <f t="shared" si="78"/>
        <v>EAST_VCB_MAIN_1\H_A_3</v>
      </c>
      <c r="AL183" s="2" t="str">
        <f t="shared" si="78"/>
        <v>EAST_VCB_MAIN_1\H_A_5</v>
      </c>
      <c r="AM183" s="2" t="str">
        <f t="shared" si="78"/>
        <v>EAST_VCB_MAIN_1\H_A_7</v>
      </c>
      <c r="AN183" s="2" t="str">
        <f t="shared" si="78"/>
        <v>EAST_VCB_MAIN_1\H_B_1</v>
      </c>
      <c r="AO183" s="2" t="str">
        <f t="shared" si="78"/>
        <v>EAST_VCB_MAIN_1\H_B_3</v>
      </c>
      <c r="AP183" s="2" t="str">
        <f t="shared" si="78"/>
        <v>EAST_VCB_MAIN_1\H_B_5</v>
      </c>
      <c r="AQ183" s="2" t="str">
        <f t="shared" si="78"/>
        <v>EAST_VCB_MAIN_1\H_B_7</v>
      </c>
      <c r="AR183" s="2" t="str">
        <f t="shared" si="78"/>
        <v>EAST_VCB_MAIN_1\H_C_1</v>
      </c>
      <c r="AS183" s="2" t="str">
        <f t="shared" si="78"/>
        <v>EAST_VCB_MAIN_1\H_C_3</v>
      </c>
      <c r="AT183" s="2" t="str">
        <f t="shared" si="78"/>
        <v>EAST_VCB_MAIN_1\H_C_5</v>
      </c>
      <c r="AU183" s="2" t="str">
        <f t="shared" si="78"/>
        <v>EAST_VCB_MAIN_1\H_C_7</v>
      </c>
      <c r="AV183" s="2" t="str">
        <f t="shared" si="79"/>
        <v>EAST_VCB_MAIN_1\PV1</v>
      </c>
      <c r="AW183" s="2" t="str">
        <f t="shared" si="79"/>
        <v>EAST_VCB_MAIN_1\PV2</v>
      </c>
      <c r="AX183" s="2" t="str">
        <f t="shared" si="79"/>
        <v>EAST_VCB_MAIN_1\PV3</v>
      </c>
      <c r="AY183" s="2" t="str">
        <f t="shared" si="79"/>
        <v>EAST_VCB_MAIN_1\PI1</v>
      </c>
      <c r="AZ183" s="2" t="str">
        <f t="shared" si="79"/>
        <v>EAST_VCB_MAIN_1\PI2</v>
      </c>
      <c r="BA183" s="2" t="str">
        <f t="shared" si="79"/>
        <v>EAST_VCB_MAIN_1\PI3</v>
      </c>
    </row>
    <row r="184" spans="1:53" x14ac:dyDescent="0.25">
      <c r="A184" s="3">
        <v>4</v>
      </c>
      <c r="B184" s="3" t="s">
        <v>337</v>
      </c>
      <c r="C184" s="3" t="s">
        <v>43</v>
      </c>
      <c r="D184" s="3" t="s">
        <v>279</v>
      </c>
      <c r="E184" s="4"/>
      <c r="F184" s="2" t="str">
        <f t="shared" si="76"/>
        <v>EAST_VCB_MAIN_2\ST</v>
      </c>
      <c r="G184" s="2" t="str">
        <f t="shared" si="76"/>
        <v>EAST_VCB_MAIN_2\TRIP</v>
      </c>
      <c r="H184" s="20"/>
      <c r="I184" s="20"/>
      <c r="J184" s="2" t="str">
        <f t="shared" si="77"/>
        <v>EAST_VCB_MAIN_2\OCR_A</v>
      </c>
      <c r="K184" s="2" t="str">
        <f t="shared" si="77"/>
        <v>EAST_VCB_MAIN_2\OCR_B</v>
      </c>
      <c r="L184" s="2" t="str">
        <f t="shared" si="77"/>
        <v>EAST_VCB_MAIN_2\OCR_C</v>
      </c>
      <c r="M184" s="2" t="str">
        <f t="shared" si="77"/>
        <v>EAST_VCB_MAIN_2\OCGR</v>
      </c>
      <c r="N184" s="2" t="str">
        <f t="shared" si="77"/>
        <v>EAST_VCB_MAIN_2\OVR</v>
      </c>
      <c r="O184" s="20"/>
      <c r="P184" s="20"/>
      <c r="Q184" s="24"/>
      <c r="R184" s="2" t="str">
        <f t="shared" si="78"/>
        <v>EAST_VCB_MAIN_2\V12</v>
      </c>
      <c r="S184" s="2" t="str">
        <f t="shared" si="78"/>
        <v>EAST_VCB_MAIN_2\V23</v>
      </c>
      <c r="T184" s="2" t="str">
        <f t="shared" si="78"/>
        <v>EAST_VCB_MAIN_2\V31</v>
      </c>
      <c r="U184" s="2" t="str">
        <f t="shared" si="78"/>
        <v>EAST_VCB_MAIN_2\V1N</v>
      </c>
      <c r="V184" s="2" t="str">
        <f t="shared" si="78"/>
        <v>EAST_VCB_MAIN_2\V2N</v>
      </c>
      <c r="W184" s="2" t="str">
        <f t="shared" si="78"/>
        <v>EAST_VCB_MAIN_2\V3N</v>
      </c>
      <c r="X184" s="2" t="str">
        <f t="shared" si="78"/>
        <v>EAST_VCB_MAIN_2\VA</v>
      </c>
      <c r="Y184" s="2" t="str">
        <f t="shared" si="78"/>
        <v>EAST_VCB_MAIN_2\A1</v>
      </c>
      <c r="Z184" s="2" t="str">
        <f t="shared" si="78"/>
        <v>EAST_VCB_MAIN_2\A2</v>
      </c>
      <c r="AA184" s="2" t="str">
        <f t="shared" si="78"/>
        <v>EAST_VCB_MAIN_2\A3</v>
      </c>
      <c r="AB184" s="2" t="str">
        <f t="shared" si="78"/>
        <v>EAST_VCB_MAIN_2\AA</v>
      </c>
      <c r="AC184" s="2" t="str">
        <f t="shared" si="78"/>
        <v>EAST_VCB_MAIN_2\PF</v>
      </c>
      <c r="AD184" s="2" t="str">
        <f t="shared" si="78"/>
        <v>EAST_VCB_MAIN_2\HZ</v>
      </c>
      <c r="AE184" s="2" t="str">
        <f t="shared" si="78"/>
        <v>EAST_VCB_MAIN_2\KW</v>
      </c>
      <c r="AF184" s="2" t="str">
        <f t="shared" si="78"/>
        <v>EAST_VCB_MAIN_2\KHh</v>
      </c>
      <c r="AG184" s="2" t="str">
        <f t="shared" si="78"/>
        <v>EAST_VCB_MAIN_2\VA</v>
      </c>
      <c r="AH184" s="2" t="str">
        <f t="shared" si="78"/>
        <v>EAST_VCB_MAIN_2\VAH</v>
      </c>
      <c r="AI184" s="2" t="str">
        <f t="shared" si="78"/>
        <v>EAST_VCB_MAIN_2\PEAK</v>
      </c>
      <c r="AJ184" s="2" t="str">
        <f t="shared" si="78"/>
        <v>EAST_VCB_MAIN_2\H_A_1</v>
      </c>
      <c r="AK184" s="2" t="str">
        <f t="shared" si="78"/>
        <v>EAST_VCB_MAIN_2\H_A_3</v>
      </c>
      <c r="AL184" s="2" t="str">
        <f t="shared" si="78"/>
        <v>EAST_VCB_MAIN_2\H_A_5</v>
      </c>
      <c r="AM184" s="2" t="str">
        <f t="shared" si="78"/>
        <v>EAST_VCB_MAIN_2\H_A_7</v>
      </c>
      <c r="AN184" s="2" t="str">
        <f t="shared" si="78"/>
        <v>EAST_VCB_MAIN_2\H_B_1</v>
      </c>
      <c r="AO184" s="2" t="str">
        <f t="shared" si="78"/>
        <v>EAST_VCB_MAIN_2\H_B_3</v>
      </c>
      <c r="AP184" s="2" t="str">
        <f t="shared" si="78"/>
        <v>EAST_VCB_MAIN_2\H_B_5</v>
      </c>
      <c r="AQ184" s="2" t="str">
        <f t="shared" si="78"/>
        <v>EAST_VCB_MAIN_2\H_B_7</v>
      </c>
      <c r="AR184" s="2" t="str">
        <f t="shared" si="78"/>
        <v>EAST_VCB_MAIN_2\H_C_1</v>
      </c>
      <c r="AS184" s="2" t="str">
        <f t="shared" si="78"/>
        <v>EAST_VCB_MAIN_2\H_C_3</v>
      </c>
      <c r="AT184" s="2" t="str">
        <f t="shared" si="78"/>
        <v>EAST_VCB_MAIN_2\H_C_5</v>
      </c>
      <c r="AU184" s="2" t="str">
        <f t="shared" si="78"/>
        <v>EAST_VCB_MAIN_2\H_C_7</v>
      </c>
      <c r="AV184" s="2" t="str">
        <f t="shared" si="79"/>
        <v>EAST_VCB_MAIN_2\PV1</v>
      </c>
      <c r="AW184" s="2" t="str">
        <f t="shared" si="79"/>
        <v>EAST_VCB_MAIN_2\PV2</v>
      </c>
      <c r="AX184" s="2" t="str">
        <f t="shared" si="79"/>
        <v>EAST_VCB_MAIN_2\PV3</v>
      </c>
      <c r="AY184" s="2" t="str">
        <f t="shared" si="79"/>
        <v>EAST_VCB_MAIN_2\PI1</v>
      </c>
      <c r="AZ184" s="2" t="str">
        <f t="shared" si="79"/>
        <v>EAST_VCB_MAIN_2\PI2</v>
      </c>
      <c r="BA184" s="2" t="str">
        <f t="shared" si="79"/>
        <v>EAST_VCB_MAIN_2\PI3</v>
      </c>
    </row>
    <row r="185" spans="1:53" x14ac:dyDescent="0.25">
      <c r="A185" s="3">
        <v>5</v>
      </c>
      <c r="B185" s="3" t="s">
        <v>337</v>
      </c>
      <c r="C185" s="3" t="s">
        <v>44</v>
      </c>
      <c r="D185" s="3" t="s">
        <v>280</v>
      </c>
      <c r="E185" s="4"/>
      <c r="F185" s="2" t="str">
        <f t="shared" si="76"/>
        <v>EAST_VCB_1\ST</v>
      </c>
      <c r="G185" s="2" t="str">
        <f t="shared" si="76"/>
        <v>EAST_VCB_1\TRIP</v>
      </c>
      <c r="H185" s="20"/>
      <c r="I185" s="20"/>
      <c r="J185" s="2" t="str">
        <f t="shared" si="77"/>
        <v>EAST_VCB_1\OCR_A</v>
      </c>
      <c r="K185" s="2" t="str">
        <f t="shared" si="77"/>
        <v>EAST_VCB_1\OCR_B</v>
      </c>
      <c r="L185" s="2" t="str">
        <f t="shared" si="77"/>
        <v>EAST_VCB_1\OCR_C</v>
      </c>
      <c r="M185" s="2" t="str">
        <f t="shared" si="77"/>
        <v>EAST_VCB_1\OCGR</v>
      </c>
      <c r="N185" s="2" t="str">
        <f t="shared" si="77"/>
        <v>EAST_VCB_1\OVR</v>
      </c>
      <c r="O185" s="20"/>
      <c r="P185" s="20"/>
      <c r="Q185" s="24"/>
      <c r="R185" s="2" t="str">
        <f t="shared" si="78"/>
        <v>EAST_VCB_1\V12</v>
      </c>
      <c r="S185" s="2" t="str">
        <f t="shared" si="78"/>
        <v>EAST_VCB_1\V23</v>
      </c>
      <c r="T185" s="2" t="str">
        <f t="shared" si="78"/>
        <v>EAST_VCB_1\V31</v>
      </c>
      <c r="U185" s="2" t="str">
        <f t="shared" si="78"/>
        <v>EAST_VCB_1\V1N</v>
      </c>
      <c r="V185" s="2" t="str">
        <f t="shared" si="78"/>
        <v>EAST_VCB_1\V2N</v>
      </c>
      <c r="W185" s="2" t="str">
        <f t="shared" si="78"/>
        <v>EAST_VCB_1\V3N</v>
      </c>
      <c r="X185" s="2" t="str">
        <f t="shared" si="78"/>
        <v>EAST_VCB_1\VA</v>
      </c>
      <c r="Y185" s="2" t="str">
        <f t="shared" si="78"/>
        <v>EAST_VCB_1\A1</v>
      </c>
      <c r="Z185" s="2" t="str">
        <f t="shared" si="78"/>
        <v>EAST_VCB_1\A2</v>
      </c>
      <c r="AA185" s="2" t="str">
        <f t="shared" si="78"/>
        <v>EAST_VCB_1\A3</v>
      </c>
      <c r="AB185" s="2" t="str">
        <f t="shared" si="78"/>
        <v>EAST_VCB_1\AA</v>
      </c>
      <c r="AC185" s="2" t="str">
        <f t="shared" si="78"/>
        <v>EAST_VCB_1\PF</v>
      </c>
      <c r="AD185" s="2" t="str">
        <f t="shared" si="78"/>
        <v>EAST_VCB_1\HZ</v>
      </c>
      <c r="AE185" s="2" t="str">
        <f t="shared" si="78"/>
        <v>EAST_VCB_1\KW</v>
      </c>
      <c r="AF185" s="2" t="str">
        <f t="shared" si="78"/>
        <v>EAST_VCB_1\KHh</v>
      </c>
      <c r="AG185" s="2" t="str">
        <f t="shared" si="78"/>
        <v>EAST_VCB_1\VA</v>
      </c>
      <c r="AH185" s="2" t="str">
        <f t="shared" si="78"/>
        <v>EAST_VCB_1\VAH</v>
      </c>
      <c r="AI185" s="2" t="str">
        <f t="shared" si="78"/>
        <v>EAST_VCB_1\PEAK</v>
      </c>
      <c r="AJ185" s="2" t="str">
        <f t="shared" si="78"/>
        <v>EAST_VCB_1\H_A_1</v>
      </c>
      <c r="AK185" s="2" t="str">
        <f t="shared" si="78"/>
        <v>EAST_VCB_1\H_A_3</v>
      </c>
      <c r="AL185" s="2" t="str">
        <f t="shared" si="78"/>
        <v>EAST_VCB_1\H_A_5</v>
      </c>
      <c r="AM185" s="2" t="str">
        <f t="shared" si="78"/>
        <v>EAST_VCB_1\H_A_7</v>
      </c>
      <c r="AN185" s="2" t="str">
        <f t="shared" si="78"/>
        <v>EAST_VCB_1\H_B_1</v>
      </c>
      <c r="AO185" s="2" t="str">
        <f t="shared" si="78"/>
        <v>EAST_VCB_1\H_B_3</v>
      </c>
      <c r="AP185" s="2" t="str">
        <f t="shared" si="78"/>
        <v>EAST_VCB_1\H_B_5</v>
      </c>
      <c r="AQ185" s="2" t="str">
        <f t="shared" si="78"/>
        <v>EAST_VCB_1\H_B_7</v>
      </c>
      <c r="AR185" s="2" t="str">
        <f t="shared" si="78"/>
        <v>EAST_VCB_1\H_C_1</v>
      </c>
      <c r="AS185" s="2" t="str">
        <f t="shared" si="78"/>
        <v>EAST_VCB_1\H_C_3</v>
      </c>
      <c r="AT185" s="2" t="str">
        <f t="shared" si="78"/>
        <v>EAST_VCB_1\H_C_5</v>
      </c>
      <c r="AU185" s="2" t="str">
        <f t="shared" ref="AJ185:AU192" si="80">$C185&amp;AU$7</f>
        <v>EAST_VCB_1\H_C_7</v>
      </c>
      <c r="AV185" s="2" t="str">
        <f t="shared" si="79"/>
        <v>EAST_VCB_1\PV1</v>
      </c>
      <c r="AW185" s="2" t="str">
        <f t="shared" si="79"/>
        <v>EAST_VCB_1\PV2</v>
      </c>
      <c r="AX185" s="2" t="str">
        <f t="shared" si="79"/>
        <v>EAST_VCB_1\PV3</v>
      </c>
      <c r="AY185" s="2" t="str">
        <f t="shared" si="79"/>
        <v>EAST_VCB_1\PI1</v>
      </c>
      <c r="AZ185" s="2" t="str">
        <f t="shared" si="79"/>
        <v>EAST_VCB_1\PI2</v>
      </c>
      <c r="BA185" s="2" t="str">
        <f t="shared" si="79"/>
        <v>EAST_VCB_1\PI3</v>
      </c>
    </row>
    <row r="186" spans="1:53" x14ac:dyDescent="0.25">
      <c r="A186" s="3">
        <v>6</v>
      </c>
      <c r="B186" s="3" t="s">
        <v>337</v>
      </c>
      <c r="C186" s="3" t="s">
        <v>45</v>
      </c>
      <c r="D186" s="3" t="s">
        <v>281</v>
      </c>
      <c r="E186" s="4"/>
      <c r="F186" s="2" t="str">
        <f t="shared" si="76"/>
        <v>EAST_VCB_2\ST</v>
      </c>
      <c r="G186" s="2" t="str">
        <f t="shared" si="76"/>
        <v>EAST_VCB_2\TRIP</v>
      </c>
      <c r="H186" s="20"/>
      <c r="I186" s="20"/>
      <c r="J186" s="2" t="str">
        <f t="shared" si="77"/>
        <v>EAST_VCB_2\OCR_A</v>
      </c>
      <c r="K186" s="2" t="str">
        <f t="shared" si="77"/>
        <v>EAST_VCB_2\OCR_B</v>
      </c>
      <c r="L186" s="2" t="str">
        <f t="shared" si="77"/>
        <v>EAST_VCB_2\OCR_C</v>
      </c>
      <c r="M186" s="2" t="str">
        <f t="shared" si="77"/>
        <v>EAST_VCB_2\OCGR</v>
      </c>
      <c r="N186" s="2" t="str">
        <f t="shared" si="77"/>
        <v>EAST_VCB_2\OVR</v>
      </c>
      <c r="O186" s="20"/>
      <c r="P186" s="20"/>
      <c r="Q186" s="24"/>
      <c r="R186" s="2" t="str">
        <f t="shared" si="78"/>
        <v>EAST_VCB_2\V12</v>
      </c>
      <c r="S186" s="2" t="str">
        <f t="shared" si="78"/>
        <v>EAST_VCB_2\V23</v>
      </c>
      <c r="T186" s="2" t="str">
        <f t="shared" si="78"/>
        <v>EAST_VCB_2\V31</v>
      </c>
      <c r="U186" s="2" t="str">
        <f t="shared" si="78"/>
        <v>EAST_VCB_2\V1N</v>
      </c>
      <c r="V186" s="2" t="str">
        <f t="shared" si="78"/>
        <v>EAST_VCB_2\V2N</v>
      </c>
      <c r="W186" s="2" t="str">
        <f t="shared" si="78"/>
        <v>EAST_VCB_2\V3N</v>
      </c>
      <c r="X186" s="2" t="str">
        <f t="shared" si="78"/>
        <v>EAST_VCB_2\VA</v>
      </c>
      <c r="Y186" s="2" t="str">
        <f t="shared" si="78"/>
        <v>EAST_VCB_2\A1</v>
      </c>
      <c r="Z186" s="2" t="str">
        <f t="shared" si="78"/>
        <v>EAST_VCB_2\A2</v>
      </c>
      <c r="AA186" s="2" t="str">
        <f t="shared" si="78"/>
        <v>EAST_VCB_2\A3</v>
      </c>
      <c r="AB186" s="2" t="str">
        <f t="shared" si="78"/>
        <v>EAST_VCB_2\AA</v>
      </c>
      <c r="AC186" s="2" t="str">
        <f t="shared" si="78"/>
        <v>EAST_VCB_2\PF</v>
      </c>
      <c r="AD186" s="2" t="str">
        <f t="shared" si="78"/>
        <v>EAST_VCB_2\HZ</v>
      </c>
      <c r="AE186" s="2" t="str">
        <f t="shared" si="78"/>
        <v>EAST_VCB_2\KW</v>
      </c>
      <c r="AF186" s="2" t="str">
        <f t="shared" si="78"/>
        <v>EAST_VCB_2\KHh</v>
      </c>
      <c r="AG186" s="2" t="str">
        <f t="shared" si="78"/>
        <v>EAST_VCB_2\VA</v>
      </c>
      <c r="AH186" s="2" t="str">
        <f t="shared" si="78"/>
        <v>EAST_VCB_2\VAH</v>
      </c>
      <c r="AI186" s="2" t="str">
        <f t="shared" si="78"/>
        <v>EAST_VCB_2\PEAK</v>
      </c>
      <c r="AJ186" s="2" t="str">
        <f t="shared" si="80"/>
        <v>EAST_VCB_2\H_A_1</v>
      </c>
      <c r="AK186" s="2" t="str">
        <f t="shared" si="80"/>
        <v>EAST_VCB_2\H_A_3</v>
      </c>
      <c r="AL186" s="2" t="str">
        <f t="shared" si="80"/>
        <v>EAST_VCB_2\H_A_5</v>
      </c>
      <c r="AM186" s="2" t="str">
        <f t="shared" si="80"/>
        <v>EAST_VCB_2\H_A_7</v>
      </c>
      <c r="AN186" s="2" t="str">
        <f t="shared" si="80"/>
        <v>EAST_VCB_2\H_B_1</v>
      </c>
      <c r="AO186" s="2" t="str">
        <f t="shared" si="80"/>
        <v>EAST_VCB_2\H_B_3</v>
      </c>
      <c r="AP186" s="2" t="str">
        <f t="shared" si="80"/>
        <v>EAST_VCB_2\H_B_5</v>
      </c>
      <c r="AQ186" s="2" t="str">
        <f t="shared" si="80"/>
        <v>EAST_VCB_2\H_B_7</v>
      </c>
      <c r="AR186" s="2" t="str">
        <f t="shared" si="80"/>
        <v>EAST_VCB_2\H_C_1</v>
      </c>
      <c r="AS186" s="2" t="str">
        <f t="shared" si="80"/>
        <v>EAST_VCB_2\H_C_3</v>
      </c>
      <c r="AT186" s="2" t="str">
        <f t="shared" si="80"/>
        <v>EAST_VCB_2\H_C_5</v>
      </c>
      <c r="AU186" s="2" t="str">
        <f t="shared" si="80"/>
        <v>EAST_VCB_2\H_C_7</v>
      </c>
      <c r="AV186" s="2" t="str">
        <f t="shared" si="79"/>
        <v>EAST_VCB_2\PV1</v>
      </c>
      <c r="AW186" s="2" t="str">
        <f t="shared" si="79"/>
        <v>EAST_VCB_2\PV2</v>
      </c>
      <c r="AX186" s="2" t="str">
        <f t="shared" si="79"/>
        <v>EAST_VCB_2\PV3</v>
      </c>
      <c r="AY186" s="2" t="str">
        <f t="shared" si="79"/>
        <v>EAST_VCB_2\PI1</v>
      </c>
      <c r="AZ186" s="2" t="str">
        <f t="shared" si="79"/>
        <v>EAST_VCB_2\PI2</v>
      </c>
      <c r="BA186" s="2" t="str">
        <f t="shared" si="79"/>
        <v>EAST_VCB_2\PI3</v>
      </c>
    </row>
    <row r="187" spans="1:53" x14ac:dyDescent="0.25">
      <c r="A187" s="3">
        <v>7</v>
      </c>
      <c r="B187" s="3" t="s">
        <v>337</v>
      </c>
      <c r="C187" s="3" t="s">
        <v>46</v>
      </c>
      <c r="D187" s="3" t="s">
        <v>282</v>
      </c>
      <c r="E187" s="4"/>
      <c r="F187" s="2" t="str">
        <f t="shared" si="76"/>
        <v>EAST_VCB_3\ST</v>
      </c>
      <c r="G187" s="2" t="str">
        <f t="shared" si="76"/>
        <v>EAST_VCB_3\TRIP</v>
      </c>
      <c r="H187" s="20"/>
      <c r="I187" s="20"/>
      <c r="J187" s="2" t="str">
        <f t="shared" si="77"/>
        <v>EAST_VCB_3\OCR_A</v>
      </c>
      <c r="K187" s="2" t="str">
        <f t="shared" si="77"/>
        <v>EAST_VCB_3\OCR_B</v>
      </c>
      <c r="L187" s="2" t="str">
        <f t="shared" si="77"/>
        <v>EAST_VCB_3\OCR_C</v>
      </c>
      <c r="M187" s="2" t="str">
        <f t="shared" si="77"/>
        <v>EAST_VCB_3\OCGR</v>
      </c>
      <c r="N187" s="2" t="str">
        <f t="shared" si="77"/>
        <v>EAST_VCB_3\OVR</v>
      </c>
      <c r="O187" s="20"/>
      <c r="P187" s="20"/>
      <c r="Q187" s="24"/>
      <c r="R187" s="2" t="str">
        <f t="shared" si="78"/>
        <v>EAST_VCB_3\V12</v>
      </c>
      <c r="S187" s="2" t="str">
        <f t="shared" si="78"/>
        <v>EAST_VCB_3\V23</v>
      </c>
      <c r="T187" s="2" t="str">
        <f t="shared" si="78"/>
        <v>EAST_VCB_3\V31</v>
      </c>
      <c r="U187" s="2" t="str">
        <f t="shared" si="78"/>
        <v>EAST_VCB_3\V1N</v>
      </c>
      <c r="V187" s="2" t="str">
        <f t="shared" si="78"/>
        <v>EAST_VCB_3\V2N</v>
      </c>
      <c r="W187" s="2" t="str">
        <f t="shared" si="78"/>
        <v>EAST_VCB_3\V3N</v>
      </c>
      <c r="X187" s="2" t="str">
        <f t="shared" si="78"/>
        <v>EAST_VCB_3\VA</v>
      </c>
      <c r="Y187" s="2" t="str">
        <f t="shared" si="78"/>
        <v>EAST_VCB_3\A1</v>
      </c>
      <c r="Z187" s="2" t="str">
        <f t="shared" si="78"/>
        <v>EAST_VCB_3\A2</v>
      </c>
      <c r="AA187" s="2" t="str">
        <f t="shared" si="78"/>
        <v>EAST_VCB_3\A3</v>
      </c>
      <c r="AB187" s="2" t="str">
        <f t="shared" si="78"/>
        <v>EAST_VCB_3\AA</v>
      </c>
      <c r="AC187" s="2" t="str">
        <f t="shared" si="78"/>
        <v>EAST_VCB_3\PF</v>
      </c>
      <c r="AD187" s="2" t="str">
        <f t="shared" si="78"/>
        <v>EAST_VCB_3\HZ</v>
      </c>
      <c r="AE187" s="2" t="str">
        <f t="shared" si="78"/>
        <v>EAST_VCB_3\KW</v>
      </c>
      <c r="AF187" s="2" t="str">
        <f t="shared" si="78"/>
        <v>EAST_VCB_3\KHh</v>
      </c>
      <c r="AG187" s="2" t="str">
        <f t="shared" si="78"/>
        <v>EAST_VCB_3\VA</v>
      </c>
      <c r="AH187" s="2" t="str">
        <f t="shared" si="78"/>
        <v>EAST_VCB_3\VAH</v>
      </c>
      <c r="AI187" s="2" t="str">
        <f t="shared" si="78"/>
        <v>EAST_VCB_3\PEAK</v>
      </c>
      <c r="AJ187" s="2" t="str">
        <f t="shared" si="80"/>
        <v>EAST_VCB_3\H_A_1</v>
      </c>
      <c r="AK187" s="2" t="str">
        <f t="shared" si="80"/>
        <v>EAST_VCB_3\H_A_3</v>
      </c>
      <c r="AL187" s="2" t="str">
        <f t="shared" si="80"/>
        <v>EAST_VCB_3\H_A_5</v>
      </c>
      <c r="AM187" s="2" t="str">
        <f t="shared" si="80"/>
        <v>EAST_VCB_3\H_A_7</v>
      </c>
      <c r="AN187" s="2" t="str">
        <f t="shared" si="80"/>
        <v>EAST_VCB_3\H_B_1</v>
      </c>
      <c r="AO187" s="2" t="str">
        <f t="shared" si="80"/>
        <v>EAST_VCB_3\H_B_3</v>
      </c>
      <c r="AP187" s="2" t="str">
        <f t="shared" si="80"/>
        <v>EAST_VCB_3\H_B_5</v>
      </c>
      <c r="AQ187" s="2" t="str">
        <f t="shared" si="80"/>
        <v>EAST_VCB_3\H_B_7</v>
      </c>
      <c r="AR187" s="2" t="str">
        <f t="shared" si="80"/>
        <v>EAST_VCB_3\H_C_1</v>
      </c>
      <c r="AS187" s="2" t="str">
        <f t="shared" si="80"/>
        <v>EAST_VCB_3\H_C_3</v>
      </c>
      <c r="AT187" s="2" t="str">
        <f t="shared" si="80"/>
        <v>EAST_VCB_3\H_C_5</v>
      </c>
      <c r="AU187" s="2" t="str">
        <f t="shared" si="80"/>
        <v>EAST_VCB_3\H_C_7</v>
      </c>
      <c r="AV187" s="2" t="str">
        <f t="shared" si="79"/>
        <v>EAST_VCB_3\PV1</v>
      </c>
      <c r="AW187" s="2" t="str">
        <f t="shared" si="79"/>
        <v>EAST_VCB_3\PV2</v>
      </c>
      <c r="AX187" s="2" t="str">
        <f t="shared" si="79"/>
        <v>EAST_VCB_3\PV3</v>
      </c>
      <c r="AY187" s="2" t="str">
        <f t="shared" si="79"/>
        <v>EAST_VCB_3\PI1</v>
      </c>
      <c r="AZ187" s="2" t="str">
        <f t="shared" si="79"/>
        <v>EAST_VCB_3\PI2</v>
      </c>
      <c r="BA187" s="2" t="str">
        <f t="shared" si="79"/>
        <v>EAST_VCB_3\PI3</v>
      </c>
    </row>
    <row r="188" spans="1:53" x14ac:dyDescent="0.25">
      <c r="A188" s="3">
        <v>8</v>
      </c>
      <c r="B188" s="3" t="s">
        <v>337</v>
      </c>
      <c r="C188" s="3" t="s">
        <v>47</v>
      </c>
      <c r="D188" s="3" t="s">
        <v>283</v>
      </c>
      <c r="E188" s="4"/>
      <c r="F188" s="2" t="str">
        <f t="shared" si="76"/>
        <v>EAST_VCB_4\ST</v>
      </c>
      <c r="G188" s="2" t="str">
        <f t="shared" si="76"/>
        <v>EAST_VCB_4\TRIP</v>
      </c>
      <c r="H188" s="20"/>
      <c r="I188" s="20"/>
      <c r="J188" s="2" t="str">
        <f t="shared" si="77"/>
        <v>EAST_VCB_4\OCR_A</v>
      </c>
      <c r="K188" s="2" t="str">
        <f t="shared" si="77"/>
        <v>EAST_VCB_4\OCR_B</v>
      </c>
      <c r="L188" s="2" t="str">
        <f t="shared" si="77"/>
        <v>EAST_VCB_4\OCR_C</v>
      </c>
      <c r="M188" s="2" t="str">
        <f t="shared" si="77"/>
        <v>EAST_VCB_4\OCGR</v>
      </c>
      <c r="N188" s="2" t="str">
        <f t="shared" si="77"/>
        <v>EAST_VCB_4\OVR</v>
      </c>
      <c r="O188" s="20"/>
      <c r="P188" s="20"/>
      <c r="Q188" s="24"/>
      <c r="R188" s="2" t="str">
        <f t="shared" si="78"/>
        <v>EAST_VCB_4\V12</v>
      </c>
      <c r="S188" s="2" t="str">
        <f t="shared" si="78"/>
        <v>EAST_VCB_4\V23</v>
      </c>
      <c r="T188" s="2" t="str">
        <f t="shared" si="78"/>
        <v>EAST_VCB_4\V31</v>
      </c>
      <c r="U188" s="2" t="str">
        <f t="shared" si="78"/>
        <v>EAST_VCB_4\V1N</v>
      </c>
      <c r="V188" s="2" t="str">
        <f t="shared" si="78"/>
        <v>EAST_VCB_4\V2N</v>
      </c>
      <c r="W188" s="2" t="str">
        <f t="shared" si="78"/>
        <v>EAST_VCB_4\V3N</v>
      </c>
      <c r="X188" s="2" t="str">
        <f t="shared" si="78"/>
        <v>EAST_VCB_4\VA</v>
      </c>
      <c r="Y188" s="2" t="str">
        <f t="shared" si="78"/>
        <v>EAST_VCB_4\A1</v>
      </c>
      <c r="Z188" s="2" t="str">
        <f t="shared" si="78"/>
        <v>EAST_VCB_4\A2</v>
      </c>
      <c r="AA188" s="2" t="str">
        <f t="shared" si="78"/>
        <v>EAST_VCB_4\A3</v>
      </c>
      <c r="AB188" s="2" t="str">
        <f t="shared" si="78"/>
        <v>EAST_VCB_4\AA</v>
      </c>
      <c r="AC188" s="2" t="str">
        <f t="shared" si="78"/>
        <v>EAST_VCB_4\PF</v>
      </c>
      <c r="AD188" s="2" t="str">
        <f t="shared" si="78"/>
        <v>EAST_VCB_4\HZ</v>
      </c>
      <c r="AE188" s="2" t="str">
        <f t="shared" si="78"/>
        <v>EAST_VCB_4\KW</v>
      </c>
      <c r="AF188" s="2" t="str">
        <f t="shared" si="78"/>
        <v>EAST_VCB_4\KHh</v>
      </c>
      <c r="AG188" s="2" t="str">
        <f t="shared" si="78"/>
        <v>EAST_VCB_4\VA</v>
      </c>
      <c r="AH188" s="2" t="str">
        <f t="shared" si="78"/>
        <v>EAST_VCB_4\VAH</v>
      </c>
      <c r="AI188" s="2" t="str">
        <f t="shared" si="78"/>
        <v>EAST_VCB_4\PEAK</v>
      </c>
      <c r="AJ188" s="2" t="str">
        <f t="shared" si="80"/>
        <v>EAST_VCB_4\H_A_1</v>
      </c>
      <c r="AK188" s="2" t="str">
        <f t="shared" si="80"/>
        <v>EAST_VCB_4\H_A_3</v>
      </c>
      <c r="AL188" s="2" t="str">
        <f t="shared" si="80"/>
        <v>EAST_VCB_4\H_A_5</v>
      </c>
      <c r="AM188" s="2" t="str">
        <f t="shared" si="80"/>
        <v>EAST_VCB_4\H_A_7</v>
      </c>
      <c r="AN188" s="2" t="str">
        <f t="shared" si="80"/>
        <v>EAST_VCB_4\H_B_1</v>
      </c>
      <c r="AO188" s="2" t="str">
        <f t="shared" si="80"/>
        <v>EAST_VCB_4\H_B_3</v>
      </c>
      <c r="AP188" s="2" t="str">
        <f t="shared" si="80"/>
        <v>EAST_VCB_4\H_B_5</v>
      </c>
      <c r="AQ188" s="2" t="str">
        <f t="shared" si="80"/>
        <v>EAST_VCB_4\H_B_7</v>
      </c>
      <c r="AR188" s="2" t="str">
        <f t="shared" si="80"/>
        <v>EAST_VCB_4\H_C_1</v>
      </c>
      <c r="AS188" s="2" t="str">
        <f t="shared" si="80"/>
        <v>EAST_VCB_4\H_C_3</v>
      </c>
      <c r="AT188" s="2" t="str">
        <f t="shared" si="80"/>
        <v>EAST_VCB_4\H_C_5</v>
      </c>
      <c r="AU188" s="2" t="str">
        <f t="shared" si="80"/>
        <v>EAST_VCB_4\H_C_7</v>
      </c>
      <c r="AV188" s="2" t="str">
        <f t="shared" si="79"/>
        <v>EAST_VCB_4\PV1</v>
      </c>
      <c r="AW188" s="2" t="str">
        <f t="shared" si="79"/>
        <v>EAST_VCB_4\PV2</v>
      </c>
      <c r="AX188" s="2" t="str">
        <f t="shared" si="79"/>
        <v>EAST_VCB_4\PV3</v>
      </c>
      <c r="AY188" s="2" t="str">
        <f t="shared" si="79"/>
        <v>EAST_VCB_4\PI1</v>
      </c>
      <c r="AZ188" s="2" t="str">
        <f t="shared" si="79"/>
        <v>EAST_VCB_4\PI2</v>
      </c>
      <c r="BA188" s="2" t="str">
        <f t="shared" si="79"/>
        <v>EAST_VCB_4\PI3</v>
      </c>
    </row>
    <row r="189" spans="1:53" x14ac:dyDescent="0.25">
      <c r="A189" s="3">
        <v>9</v>
      </c>
      <c r="B189" s="3" t="s">
        <v>337</v>
      </c>
      <c r="C189" s="3" t="s">
        <v>48</v>
      </c>
      <c r="D189" s="3" t="s">
        <v>284</v>
      </c>
      <c r="E189" s="4"/>
      <c r="F189" s="2" t="str">
        <f t="shared" si="76"/>
        <v>EAST_VCB_5\ST</v>
      </c>
      <c r="G189" s="2" t="str">
        <f t="shared" si="76"/>
        <v>EAST_VCB_5\TRIP</v>
      </c>
      <c r="H189" s="20"/>
      <c r="I189" s="20"/>
      <c r="J189" s="2" t="str">
        <f t="shared" si="77"/>
        <v>EAST_VCB_5\OCR_A</v>
      </c>
      <c r="K189" s="2" t="str">
        <f t="shared" si="77"/>
        <v>EAST_VCB_5\OCR_B</v>
      </c>
      <c r="L189" s="2" t="str">
        <f t="shared" si="77"/>
        <v>EAST_VCB_5\OCR_C</v>
      </c>
      <c r="M189" s="2" t="str">
        <f t="shared" si="77"/>
        <v>EAST_VCB_5\OCGR</v>
      </c>
      <c r="N189" s="2" t="str">
        <f t="shared" si="77"/>
        <v>EAST_VCB_5\OVR</v>
      </c>
      <c r="O189" s="20"/>
      <c r="P189" s="20"/>
      <c r="Q189" s="24"/>
      <c r="R189" s="2" t="str">
        <f t="shared" si="78"/>
        <v>EAST_VCB_5\V12</v>
      </c>
      <c r="S189" s="2" t="str">
        <f t="shared" si="78"/>
        <v>EAST_VCB_5\V23</v>
      </c>
      <c r="T189" s="2" t="str">
        <f t="shared" si="78"/>
        <v>EAST_VCB_5\V31</v>
      </c>
      <c r="U189" s="2" t="str">
        <f t="shared" si="78"/>
        <v>EAST_VCB_5\V1N</v>
      </c>
      <c r="V189" s="2" t="str">
        <f t="shared" si="78"/>
        <v>EAST_VCB_5\V2N</v>
      </c>
      <c r="W189" s="2" t="str">
        <f t="shared" si="78"/>
        <v>EAST_VCB_5\V3N</v>
      </c>
      <c r="X189" s="2" t="str">
        <f t="shared" si="78"/>
        <v>EAST_VCB_5\VA</v>
      </c>
      <c r="Y189" s="2" t="str">
        <f t="shared" si="78"/>
        <v>EAST_VCB_5\A1</v>
      </c>
      <c r="Z189" s="2" t="str">
        <f t="shared" si="78"/>
        <v>EAST_VCB_5\A2</v>
      </c>
      <c r="AA189" s="2" t="str">
        <f t="shared" si="78"/>
        <v>EAST_VCB_5\A3</v>
      </c>
      <c r="AB189" s="2" t="str">
        <f t="shared" si="78"/>
        <v>EAST_VCB_5\AA</v>
      </c>
      <c r="AC189" s="2" t="str">
        <f t="shared" si="78"/>
        <v>EAST_VCB_5\PF</v>
      </c>
      <c r="AD189" s="2" t="str">
        <f t="shared" si="78"/>
        <v>EAST_VCB_5\HZ</v>
      </c>
      <c r="AE189" s="2" t="str">
        <f t="shared" si="78"/>
        <v>EAST_VCB_5\KW</v>
      </c>
      <c r="AF189" s="2" t="str">
        <f t="shared" si="78"/>
        <v>EAST_VCB_5\KHh</v>
      </c>
      <c r="AG189" s="2" t="str">
        <f t="shared" si="78"/>
        <v>EAST_VCB_5\VA</v>
      </c>
      <c r="AH189" s="2" t="str">
        <f t="shared" si="78"/>
        <v>EAST_VCB_5\VAH</v>
      </c>
      <c r="AI189" s="2" t="str">
        <f t="shared" si="78"/>
        <v>EAST_VCB_5\PEAK</v>
      </c>
      <c r="AJ189" s="2" t="str">
        <f t="shared" si="80"/>
        <v>EAST_VCB_5\H_A_1</v>
      </c>
      <c r="AK189" s="2" t="str">
        <f t="shared" si="80"/>
        <v>EAST_VCB_5\H_A_3</v>
      </c>
      <c r="AL189" s="2" t="str">
        <f t="shared" si="80"/>
        <v>EAST_VCB_5\H_A_5</v>
      </c>
      <c r="AM189" s="2" t="str">
        <f t="shared" si="80"/>
        <v>EAST_VCB_5\H_A_7</v>
      </c>
      <c r="AN189" s="2" t="str">
        <f t="shared" si="80"/>
        <v>EAST_VCB_5\H_B_1</v>
      </c>
      <c r="AO189" s="2" t="str">
        <f t="shared" si="80"/>
        <v>EAST_VCB_5\H_B_3</v>
      </c>
      <c r="AP189" s="2" t="str">
        <f t="shared" si="80"/>
        <v>EAST_VCB_5\H_B_5</v>
      </c>
      <c r="AQ189" s="2" t="str">
        <f t="shared" si="80"/>
        <v>EAST_VCB_5\H_B_7</v>
      </c>
      <c r="AR189" s="2" t="str">
        <f t="shared" si="80"/>
        <v>EAST_VCB_5\H_C_1</v>
      </c>
      <c r="AS189" s="2" t="str">
        <f t="shared" si="80"/>
        <v>EAST_VCB_5\H_C_3</v>
      </c>
      <c r="AT189" s="2" t="str">
        <f t="shared" si="80"/>
        <v>EAST_VCB_5\H_C_5</v>
      </c>
      <c r="AU189" s="2" t="str">
        <f t="shared" si="80"/>
        <v>EAST_VCB_5\H_C_7</v>
      </c>
      <c r="AV189" s="2" t="str">
        <f t="shared" si="79"/>
        <v>EAST_VCB_5\PV1</v>
      </c>
      <c r="AW189" s="2" t="str">
        <f t="shared" si="79"/>
        <v>EAST_VCB_5\PV2</v>
      </c>
      <c r="AX189" s="2" t="str">
        <f t="shared" si="79"/>
        <v>EAST_VCB_5\PV3</v>
      </c>
      <c r="AY189" s="2" t="str">
        <f t="shared" si="79"/>
        <v>EAST_VCB_5\PI1</v>
      </c>
      <c r="AZ189" s="2" t="str">
        <f t="shared" si="79"/>
        <v>EAST_VCB_5\PI2</v>
      </c>
      <c r="BA189" s="2" t="str">
        <f t="shared" si="79"/>
        <v>EAST_VCB_5\PI3</v>
      </c>
    </row>
    <row r="190" spans="1:53" x14ac:dyDescent="0.25">
      <c r="A190" s="3">
        <v>10</v>
      </c>
      <c r="B190" s="3" t="s">
        <v>337</v>
      </c>
      <c r="C190" s="3" t="s">
        <v>49</v>
      </c>
      <c r="D190" s="3" t="s">
        <v>285</v>
      </c>
      <c r="E190" s="4"/>
      <c r="F190" s="2" t="str">
        <f t="shared" si="76"/>
        <v>EAST_VCB_6\ST</v>
      </c>
      <c r="G190" s="2" t="str">
        <f t="shared" si="76"/>
        <v>EAST_VCB_6\TRIP</v>
      </c>
      <c r="H190" s="20"/>
      <c r="I190" s="20"/>
      <c r="J190" s="2" t="str">
        <f t="shared" si="77"/>
        <v>EAST_VCB_6\OCR_A</v>
      </c>
      <c r="K190" s="2" t="str">
        <f t="shared" si="77"/>
        <v>EAST_VCB_6\OCR_B</v>
      </c>
      <c r="L190" s="2" t="str">
        <f t="shared" si="77"/>
        <v>EAST_VCB_6\OCR_C</v>
      </c>
      <c r="M190" s="2" t="str">
        <f t="shared" si="77"/>
        <v>EAST_VCB_6\OCGR</v>
      </c>
      <c r="N190" s="2" t="str">
        <f t="shared" si="77"/>
        <v>EAST_VCB_6\OVR</v>
      </c>
      <c r="O190" s="20"/>
      <c r="P190" s="20"/>
      <c r="Q190" s="24"/>
      <c r="R190" s="2" t="str">
        <f t="shared" si="78"/>
        <v>EAST_VCB_6\V12</v>
      </c>
      <c r="S190" s="2" t="str">
        <f t="shared" si="78"/>
        <v>EAST_VCB_6\V23</v>
      </c>
      <c r="T190" s="2" t="str">
        <f t="shared" si="78"/>
        <v>EAST_VCB_6\V31</v>
      </c>
      <c r="U190" s="2" t="str">
        <f t="shared" si="78"/>
        <v>EAST_VCB_6\V1N</v>
      </c>
      <c r="V190" s="2" t="str">
        <f t="shared" si="78"/>
        <v>EAST_VCB_6\V2N</v>
      </c>
      <c r="W190" s="2" t="str">
        <f t="shared" si="78"/>
        <v>EAST_VCB_6\V3N</v>
      </c>
      <c r="X190" s="2" t="str">
        <f t="shared" si="78"/>
        <v>EAST_VCB_6\VA</v>
      </c>
      <c r="Y190" s="2" t="str">
        <f t="shared" si="78"/>
        <v>EAST_VCB_6\A1</v>
      </c>
      <c r="Z190" s="2" t="str">
        <f t="shared" si="78"/>
        <v>EAST_VCB_6\A2</v>
      </c>
      <c r="AA190" s="2" t="str">
        <f t="shared" si="78"/>
        <v>EAST_VCB_6\A3</v>
      </c>
      <c r="AB190" s="2" t="str">
        <f t="shared" si="78"/>
        <v>EAST_VCB_6\AA</v>
      </c>
      <c r="AC190" s="2" t="str">
        <f t="shared" si="78"/>
        <v>EAST_VCB_6\PF</v>
      </c>
      <c r="AD190" s="2" t="str">
        <f t="shared" si="78"/>
        <v>EAST_VCB_6\HZ</v>
      </c>
      <c r="AE190" s="2" t="str">
        <f t="shared" si="78"/>
        <v>EAST_VCB_6\KW</v>
      </c>
      <c r="AF190" s="2" t="str">
        <f t="shared" si="78"/>
        <v>EAST_VCB_6\KHh</v>
      </c>
      <c r="AG190" s="2" t="str">
        <f t="shared" si="78"/>
        <v>EAST_VCB_6\VA</v>
      </c>
      <c r="AH190" s="2" t="str">
        <f t="shared" si="78"/>
        <v>EAST_VCB_6\VAH</v>
      </c>
      <c r="AI190" s="2" t="str">
        <f t="shared" si="78"/>
        <v>EAST_VCB_6\PEAK</v>
      </c>
      <c r="AJ190" s="2" t="str">
        <f t="shared" si="80"/>
        <v>EAST_VCB_6\H_A_1</v>
      </c>
      <c r="AK190" s="2" t="str">
        <f t="shared" si="80"/>
        <v>EAST_VCB_6\H_A_3</v>
      </c>
      <c r="AL190" s="2" t="str">
        <f t="shared" si="80"/>
        <v>EAST_VCB_6\H_A_5</v>
      </c>
      <c r="AM190" s="2" t="str">
        <f t="shared" si="80"/>
        <v>EAST_VCB_6\H_A_7</v>
      </c>
      <c r="AN190" s="2" t="str">
        <f t="shared" si="80"/>
        <v>EAST_VCB_6\H_B_1</v>
      </c>
      <c r="AO190" s="2" t="str">
        <f t="shared" si="80"/>
        <v>EAST_VCB_6\H_B_3</v>
      </c>
      <c r="AP190" s="2" t="str">
        <f t="shared" si="80"/>
        <v>EAST_VCB_6\H_B_5</v>
      </c>
      <c r="AQ190" s="2" t="str">
        <f t="shared" si="80"/>
        <v>EAST_VCB_6\H_B_7</v>
      </c>
      <c r="AR190" s="2" t="str">
        <f t="shared" si="80"/>
        <v>EAST_VCB_6\H_C_1</v>
      </c>
      <c r="AS190" s="2" t="str">
        <f t="shared" si="80"/>
        <v>EAST_VCB_6\H_C_3</v>
      </c>
      <c r="AT190" s="2" t="str">
        <f t="shared" si="80"/>
        <v>EAST_VCB_6\H_C_5</v>
      </c>
      <c r="AU190" s="2" t="str">
        <f t="shared" si="80"/>
        <v>EAST_VCB_6\H_C_7</v>
      </c>
      <c r="AV190" s="2" t="str">
        <f t="shared" si="79"/>
        <v>EAST_VCB_6\PV1</v>
      </c>
      <c r="AW190" s="2" t="str">
        <f t="shared" si="79"/>
        <v>EAST_VCB_6\PV2</v>
      </c>
      <c r="AX190" s="2" t="str">
        <f t="shared" si="79"/>
        <v>EAST_VCB_6\PV3</v>
      </c>
      <c r="AY190" s="2" t="str">
        <f t="shared" si="79"/>
        <v>EAST_VCB_6\PI1</v>
      </c>
      <c r="AZ190" s="2" t="str">
        <f t="shared" si="79"/>
        <v>EAST_VCB_6\PI2</v>
      </c>
      <c r="BA190" s="2" t="str">
        <f t="shared" si="79"/>
        <v>EAST_VCB_6\PI3</v>
      </c>
    </row>
    <row r="191" spans="1:53" x14ac:dyDescent="0.25">
      <c r="A191" s="3">
        <v>11</v>
      </c>
      <c r="B191" s="3" t="s">
        <v>337</v>
      </c>
      <c r="C191" s="3" t="s">
        <v>50</v>
      </c>
      <c r="D191" s="3" t="s">
        <v>286</v>
      </c>
      <c r="E191" s="4"/>
      <c r="F191" s="2" t="str">
        <f t="shared" si="76"/>
        <v>EAST_VCB_7\ST</v>
      </c>
      <c r="G191" s="2" t="str">
        <f t="shared" si="76"/>
        <v>EAST_VCB_7\TRIP</v>
      </c>
      <c r="H191" s="20"/>
      <c r="I191" s="20"/>
      <c r="J191" s="2" t="str">
        <f t="shared" si="77"/>
        <v>EAST_VCB_7\OCR_A</v>
      </c>
      <c r="K191" s="2" t="str">
        <f t="shared" si="77"/>
        <v>EAST_VCB_7\OCR_B</v>
      </c>
      <c r="L191" s="2" t="str">
        <f t="shared" si="77"/>
        <v>EAST_VCB_7\OCR_C</v>
      </c>
      <c r="M191" s="2" t="str">
        <f t="shared" si="77"/>
        <v>EAST_VCB_7\OCGR</v>
      </c>
      <c r="N191" s="2" t="str">
        <f t="shared" si="77"/>
        <v>EAST_VCB_7\OVR</v>
      </c>
      <c r="O191" s="20"/>
      <c r="P191" s="20"/>
      <c r="Q191" s="24"/>
      <c r="R191" s="2" t="str">
        <f t="shared" si="78"/>
        <v>EAST_VCB_7\V12</v>
      </c>
      <c r="S191" s="2" t="str">
        <f t="shared" si="78"/>
        <v>EAST_VCB_7\V23</v>
      </c>
      <c r="T191" s="2" t="str">
        <f t="shared" si="78"/>
        <v>EAST_VCB_7\V31</v>
      </c>
      <c r="U191" s="2" t="str">
        <f t="shared" si="78"/>
        <v>EAST_VCB_7\V1N</v>
      </c>
      <c r="V191" s="2" t="str">
        <f t="shared" si="78"/>
        <v>EAST_VCB_7\V2N</v>
      </c>
      <c r="W191" s="2" t="str">
        <f t="shared" si="78"/>
        <v>EAST_VCB_7\V3N</v>
      </c>
      <c r="X191" s="2" t="str">
        <f t="shared" si="78"/>
        <v>EAST_VCB_7\VA</v>
      </c>
      <c r="Y191" s="2" t="str">
        <f t="shared" si="78"/>
        <v>EAST_VCB_7\A1</v>
      </c>
      <c r="Z191" s="2" t="str">
        <f t="shared" si="78"/>
        <v>EAST_VCB_7\A2</v>
      </c>
      <c r="AA191" s="2" t="str">
        <f t="shared" si="78"/>
        <v>EAST_VCB_7\A3</v>
      </c>
      <c r="AB191" s="2" t="str">
        <f t="shared" si="78"/>
        <v>EAST_VCB_7\AA</v>
      </c>
      <c r="AC191" s="2" t="str">
        <f t="shared" si="78"/>
        <v>EAST_VCB_7\PF</v>
      </c>
      <c r="AD191" s="2" t="str">
        <f t="shared" si="78"/>
        <v>EAST_VCB_7\HZ</v>
      </c>
      <c r="AE191" s="2" t="str">
        <f t="shared" si="78"/>
        <v>EAST_VCB_7\KW</v>
      </c>
      <c r="AF191" s="2" t="str">
        <f t="shared" si="78"/>
        <v>EAST_VCB_7\KHh</v>
      </c>
      <c r="AG191" s="2" t="str">
        <f t="shared" si="78"/>
        <v>EAST_VCB_7\VA</v>
      </c>
      <c r="AH191" s="2" t="str">
        <f t="shared" si="78"/>
        <v>EAST_VCB_7\VAH</v>
      </c>
      <c r="AI191" s="2" t="str">
        <f t="shared" si="78"/>
        <v>EAST_VCB_7\PEAK</v>
      </c>
      <c r="AJ191" s="2" t="str">
        <f t="shared" si="80"/>
        <v>EAST_VCB_7\H_A_1</v>
      </c>
      <c r="AK191" s="2" t="str">
        <f t="shared" si="80"/>
        <v>EAST_VCB_7\H_A_3</v>
      </c>
      <c r="AL191" s="2" t="str">
        <f t="shared" si="80"/>
        <v>EAST_VCB_7\H_A_5</v>
      </c>
      <c r="AM191" s="2" t="str">
        <f t="shared" si="80"/>
        <v>EAST_VCB_7\H_A_7</v>
      </c>
      <c r="AN191" s="2" t="str">
        <f t="shared" si="80"/>
        <v>EAST_VCB_7\H_B_1</v>
      </c>
      <c r="AO191" s="2" t="str">
        <f t="shared" si="80"/>
        <v>EAST_VCB_7\H_B_3</v>
      </c>
      <c r="AP191" s="2" t="str">
        <f t="shared" si="80"/>
        <v>EAST_VCB_7\H_B_5</v>
      </c>
      <c r="AQ191" s="2" t="str">
        <f t="shared" si="80"/>
        <v>EAST_VCB_7\H_B_7</v>
      </c>
      <c r="AR191" s="2" t="str">
        <f t="shared" si="80"/>
        <v>EAST_VCB_7\H_C_1</v>
      </c>
      <c r="AS191" s="2" t="str">
        <f t="shared" si="80"/>
        <v>EAST_VCB_7\H_C_3</v>
      </c>
      <c r="AT191" s="2" t="str">
        <f t="shared" si="80"/>
        <v>EAST_VCB_7\H_C_5</v>
      </c>
      <c r="AU191" s="2" t="str">
        <f t="shared" si="80"/>
        <v>EAST_VCB_7\H_C_7</v>
      </c>
      <c r="AV191" s="2" t="str">
        <f t="shared" si="79"/>
        <v>EAST_VCB_7\PV1</v>
      </c>
      <c r="AW191" s="2" t="str">
        <f t="shared" si="79"/>
        <v>EAST_VCB_7\PV2</v>
      </c>
      <c r="AX191" s="2" t="str">
        <f t="shared" si="79"/>
        <v>EAST_VCB_7\PV3</v>
      </c>
      <c r="AY191" s="2" t="str">
        <f t="shared" si="79"/>
        <v>EAST_VCB_7\PI1</v>
      </c>
      <c r="AZ191" s="2" t="str">
        <f t="shared" si="79"/>
        <v>EAST_VCB_7\PI2</v>
      </c>
      <c r="BA191" s="2" t="str">
        <f t="shared" si="79"/>
        <v>EAST_VCB_7\PI3</v>
      </c>
    </row>
    <row r="192" spans="1:53" x14ac:dyDescent="0.25">
      <c r="A192" s="3">
        <v>12</v>
      </c>
      <c r="B192" s="3" t="s">
        <v>337</v>
      </c>
      <c r="C192" s="3" t="s">
        <v>51</v>
      </c>
      <c r="D192" s="3" t="s">
        <v>287</v>
      </c>
      <c r="E192" s="4"/>
      <c r="F192" s="2" t="str">
        <f t="shared" si="76"/>
        <v>EAST_VCB_8\ST</v>
      </c>
      <c r="G192" s="2" t="str">
        <f t="shared" si="76"/>
        <v>EAST_VCB_8\TRIP</v>
      </c>
      <c r="H192" s="20"/>
      <c r="I192" s="20"/>
      <c r="J192" s="2" t="str">
        <f t="shared" si="77"/>
        <v>EAST_VCB_8\OCR_A</v>
      </c>
      <c r="K192" s="2" t="str">
        <f t="shared" si="77"/>
        <v>EAST_VCB_8\OCR_B</v>
      </c>
      <c r="L192" s="2" t="str">
        <f t="shared" si="77"/>
        <v>EAST_VCB_8\OCR_C</v>
      </c>
      <c r="M192" s="2" t="str">
        <f t="shared" si="77"/>
        <v>EAST_VCB_8\OCGR</v>
      </c>
      <c r="N192" s="2" t="str">
        <f t="shared" si="77"/>
        <v>EAST_VCB_8\OVR</v>
      </c>
      <c r="O192" s="20"/>
      <c r="P192" s="20"/>
      <c r="Q192" s="24"/>
      <c r="R192" s="2" t="str">
        <f t="shared" si="78"/>
        <v>EAST_VCB_8\V12</v>
      </c>
      <c r="S192" s="2" t="str">
        <f t="shared" si="78"/>
        <v>EAST_VCB_8\V23</v>
      </c>
      <c r="T192" s="2" t="str">
        <f t="shared" si="78"/>
        <v>EAST_VCB_8\V31</v>
      </c>
      <c r="U192" s="2" t="str">
        <f t="shared" si="78"/>
        <v>EAST_VCB_8\V1N</v>
      </c>
      <c r="V192" s="2" t="str">
        <f t="shared" si="78"/>
        <v>EAST_VCB_8\V2N</v>
      </c>
      <c r="W192" s="2" t="str">
        <f t="shared" si="78"/>
        <v>EAST_VCB_8\V3N</v>
      </c>
      <c r="X192" s="2" t="str">
        <f t="shared" si="78"/>
        <v>EAST_VCB_8\VA</v>
      </c>
      <c r="Y192" s="2" t="str">
        <f t="shared" si="78"/>
        <v>EAST_VCB_8\A1</v>
      </c>
      <c r="Z192" s="2" t="str">
        <f t="shared" si="78"/>
        <v>EAST_VCB_8\A2</v>
      </c>
      <c r="AA192" s="2" t="str">
        <f t="shared" si="78"/>
        <v>EAST_VCB_8\A3</v>
      </c>
      <c r="AB192" s="2" t="str">
        <f t="shared" si="78"/>
        <v>EAST_VCB_8\AA</v>
      </c>
      <c r="AC192" s="2" t="str">
        <f t="shared" si="78"/>
        <v>EAST_VCB_8\PF</v>
      </c>
      <c r="AD192" s="2" t="str">
        <f t="shared" si="78"/>
        <v>EAST_VCB_8\HZ</v>
      </c>
      <c r="AE192" s="2" t="str">
        <f t="shared" si="78"/>
        <v>EAST_VCB_8\KW</v>
      </c>
      <c r="AF192" s="2" t="str">
        <f t="shared" si="78"/>
        <v>EAST_VCB_8\KHh</v>
      </c>
      <c r="AG192" s="2" t="str">
        <f t="shared" si="78"/>
        <v>EAST_VCB_8\VA</v>
      </c>
      <c r="AH192" s="2" t="str">
        <f t="shared" si="78"/>
        <v>EAST_VCB_8\VAH</v>
      </c>
      <c r="AI192" s="2" t="str">
        <f t="shared" si="78"/>
        <v>EAST_VCB_8\PEAK</v>
      </c>
      <c r="AJ192" s="2" t="str">
        <f t="shared" si="80"/>
        <v>EAST_VCB_8\H_A_1</v>
      </c>
      <c r="AK192" s="2" t="str">
        <f t="shared" si="80"/>
        <v>EAST_VCB_8\H_A_3</v>
      </c>
      <c r="AL192" s="2" t="str">
        <f t="shared" si="80"/>
        <v>EAST_VCB_8\H_A_5</v>
      </c>
      <c r="AM192" s="2" t="str">
        <f t="shared" si="80"/>
        <v>EAST_VCB_8\H_A_7</v>
      </c>
      <c r="AN192" s="2" t="str">
        <f t="shared" si="80"/>
        <v>EAST_VCB_8\H_B_1</v>
      </c>
      <c r="AO192" s="2" t="str">
        <f t="shared" si="80"/>
        <v>EAST_VCB_8\H_B_3</v>
      </c>
      <c r="AP192" s="2" t="str">
        <f t="shared" si="80"/>
        <v>EAST_VCB_8\H_B_5</v>
      </c>
      <c r="AQ192" s="2" t="str">
        <f t="shared" si="80"/>
        <v>EAST_VCB_8\H_B_7</v>
      </c>
      <c r="AR192" s="2" t="str">
        <f t="shared" si="80"/>
        <v>EAST_VCB_8\H_C_1</v>
      </c>
      <c r="AS192" s="2" t="str">
        <f t="shared" si="80"/>
        <v>EAST_VCB_8\H_C_3</v>
      </c>
      <c r="AT192" s="2" t="str">
        <f t="shared" si="80"/>
        <v>EAST_VCB_8\H_C_5</v>
      </c>
      <c r="AU192" s="2" t="str">
        <f t="shared" si="80"/>
        <v>EAST_VCB_8\H_C_7</v>
      </c>
      <c r="AV192" s="2" t="str">
        <f t="shared" si="79"/>
        <v>EAST_VCB_8\PV1</v>
      </c>
      <c r="AW192" s="2" t="str">
        <f t="shared" si="79"/>
        <v>EAST_VCB_8\PV2</v>
      </c>
      <c r="AX192" s="2" t="str">
        <f t="shared" si="79"/>
        <v>EAST_VCB_8\PV3</v>
      </c>
      <c r="AY192" s="2" t="str">
        <f t="shared" si="79"/>
        <v>EAST_VCB_8\PI1</v>
      </c>
      <c r="AZ192" s="2" t="str">
        <f t="shared" si="79"/>
        <v>EAST_VCB_8\PI2</v>
      </c>
      <c r="BA192" s="2" t="str">
        <f t="shared" si="79"/>
        <v>EAST_VCB_8\PI3</v>
      </c>
    </row>
    <row r="193" spans="1:53" x14ac:dyDescent="0.25">
      <c r="A193" s="3">
        <v>13</v>
      </c>
      <c r="B193" s="3" t="s">
        <v>337</v>
      </c>
      <c r="C193" s="3" t="s">
        <v>241</v>
      </c>
      <c r="D193" s="3" t="s">
        <v>294</v>
      </c>
      <c r="E193" s="4"/>
      <c r="F193" s="2"/>
      <c r="G193" s="2"/>
      <c r="H193" s="2" t="str">
        <f>$C193&amp;H$7</f>
        <v>EAST_MDB_7A\ELD</v>
      </c>
      <c r="I193" s="20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</row>
    <row r="194" spans="1:53" x14ac:dyDescent="0.25">
      <c r="A194" s="3">
        <v>14</v>
      </c>
      <c r="B194" s="3" t="s">
        <v>337</v>
      </c>
      <c r="C194" s="3" t="s">
        <v>185</v>
      </c>
      <c r="D194" s="3" t="s">
        <v>294</v>
      </c>
      <c r="E194" s="4"/>
      <c r="F194" s="2" t="str">
        <f t="shared" ref="F194:G197" si="81">$C194&amp;F$7</f>
        <v>EAST_MDB_7A_1\ST</v>
      </c>
      <c r="G194" s="2" t="str">
        <f t="shared" si="81"/>
        <v>EAST_MDB_7A_1\TRIP</v>
      </c>
      <c r="H194" s="20"/>
      <c r="I194" s="20"/>
      <c r="J194" s="20"/>
      <c r="K194" s="20"/>
      <c r="L194" s="20"/>
      <c r="M194" s="20"/>
      <c r="N194" s="20"/>
      <c r="O194" s="20"/>
      <c r="P194" s="20"/>
      <c r="Q194" s="24"/>
      <c r="R194" s="2" t="str">
        <f t="shared" ref="R194:AU197" si="82">$C194&amp;R$7</f>
        <v>EAST_MDB_7A_1\V12</v>
      </c>
      <c r="S194" s="2" t="str">
        <f t="shared" si="82"/>
        <v>EAST_MDB_7A_1\V23</v>
      </c>
      <c r="T194" s="2" t="str">
        <f t="shared" si="82"/>
        <v>EAST_MDB_7A_1\V31</v>
      </c>
      <c r="U194" s="2" t="str">
        <f t="shared" si="82"/>
        <v>EAST_MDB_7A_1\V1N</v>
      </c>
      <c r="V194" s="2" t="str">
        <f t="shared" si="82"/>
        <v>EAST_MDB_7A_1\V2N</v>
      </c>
      <c r="W194" s="2" t="str">
        <f t="shared" si="82"/>
        <v>EAST_MDB_7A_1\V3N</v>
      </c>
      <c r="X194" s="2" t="str">
        <f t="shared" si="82"/>
        <v>EAST_MDB_7A_1\VA</v>
      </c>
      <c r="Y194" s="2" t="str">
        <f t="shared" si="82"/>
        <v>EAST_MDB_7A_1\A1</v>
      </c>
      <c r="Z194" s="2" t="str">
        <f t="shared" si="82"/>
        <v>EAST_MDB_7A_1\A2</v>
      </c>
      <c r="AA194" s="2" t="str">
        <f t="shared" si="82"/>
        <v>EAST_MDB_7A_1\A3</v>
      </c>
      <c r="AB194" s="2" t="str">
        <f t="shared" si="82"/>
        <v>EAST_MDB_7A_1\AA</v>
      </c>
      <c r="AC194" s="2" t="str">
        <f t="shared" si="82"/>
        <v>EAST_MDB_7A_1\PF</v>
      </c>
      <c r="AD194" s="2" t="str">
        <f t="shared" si="82"/>
        <v>EAST_MDB_7A_1\HZ</v>
      </c>
      <c r="AE194" s="2" t="str">
        <f t="shared" si="82"/>
        <v>EAST_MDB_7A_1\KW</v>
      </c>
      <c r="AF194" s="2" t="str">
        <f t="shared" si="82"/>
        <v>EAST_MDB_7A_1\KHh</v>
      </c>
      <c r="AG194" s="2" t="str">
        <f t="shared" si="82"/>
        <v>EAST_MDB_7A_1\VA</v>
      </c>
      <c r="AH194" s="2" t="str">
        <f t="shared" si="82"/>
        <v>EAST_MDB_7A_1\VAH</v>
      </c>
      <c r="AI194" s="2" t="str">
        <f t="shared" si="82"/>
        <v>EAST_MDB_7A_1\PEAK</v>
      </c>
      <c r="AJ194" s="2" t="str">
        <f t="shared" si="82"/>
        <v>EAST_MDB_7A_1\H_A_1</v>
      </c>
      <c r="AK194" s="2" t="str">
        <f t="shared" si="82"/>
        <v>EAST_MDB_7A_1\H_A_3</v>
      </c>
      <c r="AL194" s="2" t="str">
        <f t="shared" si="82"/>
        <v>EAST_MDB_7A_1\H_A_5</v>
      </c>
      <c r="AM194" s="2" t="str">
        <f t="shared" si="82"/>
        <v>EAST_MDB_7A_1\H_A_7</v>
      </c>
      <c r="AN194" s="2" t="str">
        <f t="shared" si="82"/>
        <v>EAST_MDB_7A_1\H_B_1</v>
      </c>
      <c r="AO194" s="2" t="str">
        <f t="shared" si="82"/>
        <v>EAST_MDB_7A_1\H_B_3</v>
      </c>
      <c r="AP194" s="2" t="str">
        <f t="shared" si="82"/>
        <v>EAST_MDB_7A_1\H_B_5</v>
      </c>
      <c r="AQ194" s="2" t="str">
        <f t="shared" si="82"/>
        <v>EAST_MDB_7A_1\H_B_7</v>
      </c>
      <c r="AR194" s="2" t="str">
        <f t="shared" si="82"/>
        <v>EAST_MDB_7A_1\H_C_1</v>
      </c>
      <c r="AS194" s="2" t="str">
        <f t="shared" si="82"/>
        <v>EAST_MDB_7A_1\H_C_3</v>
      </c>
      <c r="AT194" s="2" t="str">
        <f t="shared" si="82"/>
        <v>EAST_MDB_7A_1\H_C_5</v>
      </c>
      <c r="AU194" s="2" t="str">
        <f t="shared" si="82"/>
        <v>EAST_MDB_7A_1\H_C_7</v>
      </c>
      <c r="AV194" s="2" t="str">
        <f t="shared" ref="AV194:BA197" si="83">$C194&amp;AV$7</f>
        <v>EAST_MDB_7A_1\PV1</v>
      </c>
      <c r="AW194" s="2" t="str">
        <f t="shared" si="83"/>
        <v>EAST_MDB_7A_1\PV2</v>
      </c>
      <c r="AX194" s="2" t="str">
        <f t="shared" si="83"/>
        <v>EAST_MDB_7A_1\PV3</v>
      </c>
      <c r="AY194" s="2" t="str">
        <f t="shared" si="83"/>
        <v>EAST_MDB_7A_1\PI1</v>
      </c>
      <c r="AZ194" s="2" t="str">
        <f t="shared" si="83"/>
        <v>EAST_MDB_7A_1\PI2</v>
      </c>
      <c r="BA194" s="2" t="str">
        <f t="shared" si="83"/>
        <v>EAST_MDB_7A_1\PI3</v>
      </c>
    </row>
    <row r="195" spans="1:53" x14ac:dyDescent="0.25">
      <c r="A195" s="3">
        <v>15</v>
      </c>
      <c r="B195" s="3" t="s">
        <v>337</v>
      </c>
      <c r="C195" s="3" t="s">
        <v>186</v>
      </c>
      <c r="D195" s="3" t="s">
        <v>294</v>
      </c>
      <c r="E195" s="4"/>
      <c r="F195" s="2" t="str">
        <f t="shared" si="81"/>
        <v>EAST_MDB_7A_2\ST</v>
      </c>
      <c r="G195" s="2" t="str">
        <f t="shared" si="81"/>
        <v>EAST_MDB_7A_2\TRIP</v>
      </c>
      <c r="H195" s="20"/>
      <c r="I195" s="20"/>
      <c r="J195" s="20"/>
      <c r="K195" s="20"/>
      <c r="L195" s="20"/>
      <c r="M195" s="20"/>
      <c r="N195" s="20"/>
      <c r="O195" s="20"/>
      <c r="P195" s="20"/>
      <c r="Q195" s="24"/>
      <c r="R195" s="2" t="str">
        <f t="shared" si="82"/>
        <v>EAST_MDB_7A_2\V12</v>
      </c>
      <c r="S195" s="2" t="str">
        <f t="shared" si="82"/>
        <v>EAST_MDB_7A_2\V23</v>
      </c>
      <c r="T195" s="2" t="str">
        <f t="shared" si="82"/>
        <v>EAST_MDB_7A_2\V31</v>
      </c>
      <c r="U195" s="2" t="str">
        <f t="shared" si="82"/>
        <v>EAST_MDB_7A_2\V1N</v>
      </c>
      <c r="V195" s="2" t="str">
        <f t="shared" si="82"/>
        <v>EAST_MDB_7A_2\V2N</v>
      </c>
      <c r="W195" s="2" t="str">
        <f t="shared" si="82"/>
        <v>EAST_MDB_7A_2\V3N</v>
      </c>
      <c r="X195" s="2" t="str">
        <f t="shared" si="82"/>
        <v>EAST_MDB_7A_2\VA</v>
      </c>
      <c r="Y195" s="2" t="str">
        <f t="shared" si="82"/>
        <v>EAST_MDB_7A_2\A1</v>
      </c>
      <c r="Z195" s="2" t="str">
        <f t="shared" si="82"/>
        <v>EAST_MDB_7A_2\A2</v>
      </c>
      <c r="AA195" s="2" t="str">
        <f t="shared" si="82"/>
        <v>EAST_MDB_7A_2\A3</v>
      </c>
      <c r="AB195" s="2" t="str">
        <f t="shared" si="82"/>
        <v>EAST_MDB_7A_2\AA</v>
      </c>
      <c r="AC195" s="2" t="str">
        <f t="shared" si="82"/>
        <v>EAST_MDB_7A_2\PF</v>
      </c>
      <c r="AD195" s="2" t="str">
        <f t="shared" si="82"/>
        <v>EAST_MDB_7A_2\HZ</v>
      </c>
      <c r="AE195" s="2" t="str">
        <f t="shared" si="82"/>
        <v>EAST_MDB_7A_2\KW</v>
      </c>
      <c r="AF195" s="2" t="str">
        <f t="shared" si="82"/>
        <v>EAST_MDB_7A_2\KHh</v>
      </c>
      <c r="AG195" s="2" t="str">
        <f t="shared" si="82"/>
        <v>EAST_MDB_7A_2\VA</v>
      </c>
      <c r="AH195" s="2" t="str">
        <f t="shared" si="82"/>
        <v>EAST_MDB_7A_2\VAH</v>
      </c>
      <c r="AI195" s="2" t="str">
        <f t="shared" si="82"/>
        <v>EAST_MDB_7A_2\PEAK</v>
      </c>
      <c r="AJ195" s="2" t="str">
        <f t="shared" si="82"/>
        <v>EAST_MDB_7A_2\H_A_1</v>
      </c>
      <c r="AK195" s="2" t="str">
        <f t="shared" si="82"/>
        <v>EAST_MDB_7A_2\H_A_3</v>
      </c>
      <c r="AL195" s="2" t="str">
        <f t="shared" si="82"/>
        <v>EAST_MDB_7A_2\H_A_5</v>
      </c>
      <c r="AM195" s="2" t="str">
        <f t="shared" si="82"/>
        <v>EAST_MDB_7A_2\H_A_7</v>
      </c>
      <c r="AN195" s="2" t="str">
        <f t="shared" si="82"/>
        <v>EAST_MDB_7A_2\H_B_1</v>
      </c>
      <c r="AO195" s="2" t="str">
        <f t="shared" si="82"/>
        <v>EAST_MDB_7A_2\H_B_3</v>
      </c>
      <c r="AP195" s="2" t="str">
        <f t="shared" si="82"/>
        <v>EAST_MDB_7A_2\H_B_5</v>
      </c>
      <c r="AQ195" s="2" t="str">
        <f t="shared" si="82"/>
        <v>EAST_MDB_7A_2\H_B_7</v>
      </c>
      <c r="AR195" s="2" t="str">
        <f t="shared" si="82"/>
        <v>EAST_MDB_7A_2\H_C_1</v>
      </c>
      <c r="AS195" s="2" t="str">
        <f t="shared" si="82"/>
        <v>EAST_MDB_7A_2\H_C_3</v>
      </c>
      <c r="AT195" s="2" t="str">
        <f t="shared" si="82"/>
        <v>EAST_MDB_7A_2\H_C_5</v>
      </c>
      <c r="AU195" s="2" t="str">
        <f t="shared" si="82"/>
        <v>EAST_MDB_7A_2\H_C_7</v>
      </c>
      <c r="AV195" s="2" t="str">
        <f t="shared" si="83"/>
        <v>EAST_MDB_7A_2\PV1</v>
      </c>
      <c r="AW195" s="2" t="str">
        <f t="shared" si="83"/>
        <v>EAST_MDB_7A_2\PV2</v>
      </c>
      <c r="AX195" s="2" t="str">
        <f t="shared" si="83"/>
        <v>EAST_MDB_7A_2\PV3</v>
      </c>
      <c r="AY195" s="2" t="str">
        <f t="shared" si="83"/>
        <v>EAST_MDB_7A_2\PI1</v>
      </c>
      <c r="AZ195" s="2" t="str">
        <f t="shared" si="83"/>
        <v>EAST_MDB_7A_2\PI2</v>
      </c>
      <c r="BA195" s="2" t="str">
        <f t="shared" si="83"/>
        <v>EAST_MDB_7A_2\PI3</v>
      </c>
    </row>
    <row r="196" spans="1:53" x14ac:dyDescent="0.25">
      <c r="A196" s="3">
        <v>16</v>
      </c>
      <c r="B196" s="3" t="s">
        <v>337</v>
      </c>
      <c r="C196" s="3" t="s">
        <v>187</v>
      </c>
      <c r="D196" s="3" t="s">
        <v>294</v>
      </c>
      <c r="E196" s="4"/>
      <c r="F196" s="2" t="str">
        <f t="shared" si="81"/>
        <v>EAST_MDB_7A_3\ST</v>
      </c>
      <c r="G196" s="2" t="str">
        <f t="shared" si="81"/>
        <v>EAST_MDB_7A_3\TRIP</v>
      </c>
      <c r="H196" s="20"/>
      <c r="I196" s="20"/>
      <c r="J196" s="20"/>
      <c r="K196" s="20"/>
      <c r="L196" s="20"/>
      <c r="M196" s="20"/>
      <c r="N196" s="20"/>
      <c r="O196" s="20"/>
      <c r="P196" s="20"/>
      <c r="Q196" s="24"/>
      <c r="R196" s="2" t="str">
        <f t="shared" si="82"/>
        <v>EAST_MDB_7A_3\V12</v>
      </c>
      <c r="S196" s="2" t="str">
        <f t="shared" si="82"/>
        <v>EAST_MDB_7A_3\V23</v>
      </c>
      <c r="T196" s="2" t="str">
        <f t="shared" si="82"/>
        <v>EAST_MDB_7A_3\V31</v>
      </c>
      <c r="U196" s="2" t="str">
        <f t="shared" si="82"/>
        <v>EAST_MDB_7A_3\V1N</v>
      </c>
      <c r="V196" s="2" t="str">
        <f t="shared" si="82"/>
        <v>EAST_MDB_7A_3\V2N</v>
      </c>
      <c r="W196" s="2" t="str">
        <f t="shared" si="82"/>
        <v>EAST_MDB_7A_3\V3N</v>
      </c>
      <c r="X196" s="2" t="str">
        <f t="shared" si="82"/>
        <v>EAST_MDB_7A_3\VA</v>
      </c>
      <c r="Y196" s="2" t="str">
        <f t="shared" si="82"/>
        <v>EAST_MDB_7A_3\A1</v>
      </c>
      <c r="Z196" s="2" t="str">
        <f t="shared" si="82"/>
        <v>EAST_MDB_7A_3\A2</v>
      </c>
      <c r="AA196" s="2" t="str">
        <f t="shared" si="82"/>
        <v>EAST_MDB_7A_3\A3</v>
      </c>
      <c r="AB196" s="2" t="str">
        <f t="shared" si="82"/>
        <v>EAST_MDB_7A_3\AA</v>
      </c>
      <c r="AC196" s="2" t="str">
        <f t="shared" si="82"/>
        <v>EAST_MDB_7A_3\PF</v>
      </c>
      <c r="AD196" s="2" t="str">
        <f t="shared" si="82"/>
        <v>EAST_MDB_7A_3\HZ</v>
      </c>
      <c r="AE196" s="2" t="str">
        <f t="shared" si="82"/>
        <v>EAST_MDB_7A_3\KW</v>
      </c>
      <c r="AF196" s="2" t="str">
        <f t="shared" si="82"/>
        <v>EAST_MDB_7A_3\KHh</v>
      </c>
      <c r="AG196" s="2" t="str">
        <f t="shared" si="82"/>
        <v>EAST_MDB_7A_3\VA</v>
      </c>
      <c r="AH196" s="2" t="str">
        <f t="shared" si="82"/>
        <v>EAST_MDB_7A_3\VAH</v>
      </c>
      <c r="AI196" s="2" t="str">
        <f t="shared" si="82"/>
        <v>EAST_MDB_7A_3\PEAK</v>
      </c>
      <c r="AJ196" s="2" t="str">
        <f t="shared" si="82"/>
        <v>EAST_MDB_7A_3\H_A_1</v>
      </c>
      <c r="AK196" s="2" t="str">
        <f t="shared" si="82"/>
        <v>EAST_MDB_7A_3\H_A_3</v>
      </c>
      <c r="AL196" s="2" t="str">
        <f t="shared" si="82"/>
        <v>EAST_MDB_7A_3\H_A_5</v>
      </c>
      <c r="AM196" s="2" t="str">
        <f t="shared" si="82"/>
        <v>EAST_MDB_7A_3\H_A_7</v>
      </c>
      <c r="AN196" s="2" t="str">
        <f t="shared" si="82"/>
        <v>EAST_MDB_7A_3\H_B_1</v>
      </c>
      <c r="AO196" s="2" t="str">
        <f t="shared" si="82"/>
        <v>EAST_MDB_7A_3\H_B_3</v>
      </c>
      <c r="AP196" s="2" t="str">
        <f t="shared" si="82"/>
        <v>EAST_MDB_7A_3\H_B_5</v>
      </c>
      <c r="AQ196" s="2" t="str">
        <f t="shared" si="82"/>
        <v>EAST_MDB_7A_3\H_B_7</v>
      </c>
      <c r="AR196" s="2" t="str">
        <f t="shared" si="82"/>
        <v>EAST_MDB_7A_3\H_C_1</v>
      </c>
      <c r="AS196" s="2" t="str">
        <f t="shared" si="82"/>
        <v>EAST_MDB_7A_3\H_C_3</v>
      </c>
      <c r="AT196" s="2" t="str">
        <f t="shared" si="82"/>
        <v>EAST_MDB_7A_3\H_C_5</v>
      </c>
      <c r="AU196" s="2" t="str">
        <f t="shared" si="82"/>
        <v>EAST_MDB_7A_3\H_C_7</v>
      </c>
      <c r="AV196" s="2" t="str">
        <f t="shared" si="83"/>
        <v>EAST_MDB_7A_3\PV1</v>
      </c>
      <c r="AW196" s="2" t="str">
        <f t="shared" si="83"/>
        <v>EAST_MDB_7A_3\PV2</v>
      </c>
      <c r="AX196" s="2" t="str">
        <f t="shared" si="83"/>
        <v>EAST_MDB_7A_3\PV3</v>
      </c>
      <c r="AY196" s="2" t="str">
        <f t="shared" si="83"/>
        <v>EAST_MDB_7A_3\PI1</v>
      </c>
      <c r="AZ196" s="2" t="str">
        <f t="shared" si="83"/>
        <v>EAST_MDB_7A_3\PI2</v>
      </c>
      <c r="BA196" s="2" t="str">
        <f t="shared" si="83"/>
        <v>EAST_MDB_7A_3\PI3</v>
      </c>
    </row>
    <row r="197" spans="1:53" x14ac:dyDescent="0.25">
      <c r="A197" s="3">
        <v>17</v>
      </c>
      <c r="B197" s="3" t="s">
        <v>337</v>
      </c>
      <c r="C197" s="3" t="s">
        <v>188</v>
      </c>
      <c r="D197" s="3" t="s">
        <v>294</v>
      </c>
      <c r="E197" s="4"/>
      <c r="F197" s="2" t="str">
        <f t="shared" si="81"/>
        <v>EAST_MDB_7A_4\ST</v>
      </c>
      <c r="G197" s="2" t="str">
        <f t="shared" si="81"/>
        <v>EAST_MDB_7A_4\TRIP</v>
      </c>
      <c r="H197" s="20"/>
      <c r="I197" s="20"/>
      <c r="J197" s="20"/>
      <c r="K197" s="20"/>
      <c r="L197" s="20"/>
      <c r="M197" s="20"/>
      <c r="N197" s="20"/>
      <c r="O197" s="20"/>
      <c r="P197" s="20"/>
      <c r="Q197" s="24"/>
      <c r="R197" s="2" t="str">
        <f t="shared" si="82"/>
        <v>EAST_MDB_7A_4\V12</v>
      </c>
      <c r="S197" s="2" t="str">
        <f t="shared" si="82"/>
        <v>EAST_MDB_7A_4\V23</v>
      </c>
      <c r="T197" s="2" t="str">
        <f t="shared" si="82"/>
        <v>EAST_MDB_7A_4\V31</v>
      </c>
      <c r="U197" s="2" t="str">
        <f t="shared" si="82"/>
        <v>EAST_MDB_7A_4\V1N</v>
      </c>
      <c r="V197" s="2" t="str">
        <f t="shared" si="82"/>
        <v>EAST_MDB_7A_4\V2N</v>
      </c>
      <c r="W197" s="2" t="str">
        <f t="shared" si="82"/>
        <v>EAST_MDB_7A_4\V3N</v>
      </c>
      <c r="X197" s="2" t="str">
        <f t="shared" si="82"/>
        <v>EAST_MDB_7A_4\VA</v>
      </c>
      <c r="Y197" s="2" t="str">
        <f t="shared" si="82"/>
        <v>EAST_MDB_7A_4\A1</v>
      </c>
      <c r="Z197" s="2" t="str">
        <f t="shared" si="82"/>
        <v>EAST_MDB_7A_4\A2</v>
      </c>
      <c r="AA197" s="2" t="str">
        <f t="shared" si="82"/>
        <v>EAST_MDB_7A_4\A3</v>
      </c>
      <c r="AB197" s="2" t="str">
        <f t="shared" si="82"/>
        <v>EAST_MDB_7A_4\AA</v>
      </c>
      <c r="AC197" s="2" t="str">
        <f t="shared" si="82"/>
        <v>EAST_MDB_7A_4\PF</v>
      </c>
      <c r="AD197" s="2" t="str">
        <f t="shared" si="82"/>
        <v>EAST_MDB_7A_4\HZ</v>
      </c>
      <c r="AE197" s="2" t="str">
        <f t="shared" si="82"/>
        <v>EAST_MDB_7A_4\KW</v>
      </c>
      <c r="AF197" s="2" t="str">
        <f t="shared" si="82"/>
        <v>EAST_MDB_7A_4\KHh</v>
      </c>
      <c r="AG197" s="2" t="str">
        <f t="shared" si="82"/>
        <v>EAST_MDB_7A_4\VA</v>
      </c>
      <c r="AH197" s="2" t="str">
        <f t="shared" si="82"/>
        <v>EAST_MDB_7A_4\VAH</v>
      </c>
      <c r="AI197" s="2" t="str">
        <f t="shared" si="82"/>
        <v>EAST_MDB_7A_4\PEAK</v>
      </c>
      <c r="AJ197" s="2" t="str">
        <f t="shared" si="82"/>
        <v>EAST_MDB_7A_4\H_A_1</v>
      </c>
      <c r="AK197" s="2" t="str">
        <f t="shared" si="82"/>
        <v>EAST_MDB_7A_4\H_A_3</v>
      </c>
      <c r="AL197" s="2" t="str">
        <f t="shared" si="82"/>
        <v>EAST_MDB_7A_4\H_A_5</v>
      </c>
      <c r="AM197" s="2" t="str">
        <f t="shared" si="82"/>
        <v>EAST_MDB_7A_4\H_A_7</v>
      </c>
      <c r="AN197" s="2" t="str">
        <f t="shared" si="82"/>
        <v>EAST_MDB_7A_4\H_B_1</v>
      </c>
      <c r="AO197" s="2" t="str">
        <f t="shared" si="82"/>
        <v>EAST_MDB_7A_4\H_B_3</v>
      </c>
      <c r="AP197" s="2" t="str">
        <f t="shared" si="82"/>
        <v>EAST_MDB_7A_4\H_B_5</v>
      </c>
      <c r="AQ197" s="2" t="str">
        <f t="shared" si="82"/>
        <v>EAST_MDB_7A_4\H_B_7</v>
      </c>
      <c r="AR197" s="2" t="str">
        <f t="shared" si="82"/>
        <v>EAST_MDB_7A_4\H_C_1</v>
      </c>
      <c r="AS197" s="2" t="str">
        <f t="shared" si="82"/>
        <v>EAST_MDB_7A_4\H_C_3</v>
      </c>
      <c r="AT197" s="2" t="str">
        <f t="shared" si="82"/>
        <v>EAST_MDB_7A_4\H_C_5</v>
      </c>
      <c r="AU197" s="2" t="str">
        <f t="shared" si="82"/>
        <v>EAST_MDB_7A_4\H_C_7</v>
      </c>
      <c r="AV197" s="2" t="str">
        <f t="shared" si="83"/>
        <v>EAST_MDB_7A_4\PV1</v>
      </c>
      <c r="AW197" s="2" t="str">
        <f t="shared" si="83"/>
        <v>EAST_MDB_7A_4\PV2</v>
      </c>
      <c r="AX197" s="2" t="str">
        <f t="shared" si="83"/>
        <v>EAST_MDB_7A_4\PV3</v>
      </c>
      <c r="AY197" s="2" t="str">
        <f t="shared" si="83"/>
        <v>EAST_MDB_7A_4\PI1</v>
      </c>
      <c r="AZ197" s="2" t="str">
        <f t="shared" si="83"/>
        <v>EAST_MDB_7A_4\PI2</v>
      </c>
      <c r="BA197" s="2" t="str">
        <f t="shared" si="83"/>
        <v>EAST_MDB_7A_4\PI3</v>
      </c>
    </row>
    <row r="198" spans="1:53" x14ac:dyDescent="0.25">
      <c r="A198" s="3">
        <v>18</v>
      </c>
      <c r="B198" s="3" t="s">
        <v>337</v>
      </c>
      <c r="C198" s="3" t="s">
        <v>242</v>
      </c>
      <c r="D198" s="3" t="s">
        <v>333</v>
      </c>
      <c r="E198" s="4"/>
      <c r="F198" s="2"/>
      <c r="G198" s="2"/>
      <c r="H198" s="2" t="str">
        <f>$C198&amp;H$7</f>
        <v>EAST_MDB_7B\ELD</v>
      </c>
      <c r="I198" s="20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</row>
    <row r="199" spans="1:53" x14ac:dyDescent="0.25">
      <c r="A199" s="3">
        <v>19</v>
      </c>
      <c r="B199" s="3" t="s">
        <v>337</v>
      </c>
      <c r="C199" s="3" t="s">
        <v>189</v>
      </c>
      <c r="D199" s="3" t="s">
        <v>333</v>
      </c>
      <c r="E199" s="4"/>
      <c r="F199" s="2" t="str">
        <f t="shared" ref="F199:G208" si="84">$C199&amp;F$7</f>
        <v>EAST_MDB_7B_1\ST</v>
      </c>
      <c r="G199" s="2" t="str">
        <f t="shared" si="84"/>
        <v>EAST_MDB_7B_1\TRIP</v>
      </c>
      <c r="H199" s="20"/>
      <c r="I199" s="20"/>
      <c r="J199" s="20"/>
      <c r="K199" s="20"/>
      <c r="L199" s="20"/>
      <c r="M199" s="20"/>
      <c r="N199" s="20"/>
      <c r="O199" s="20"/>
      <c r="P199" s="20"/>
      <c r="Q199" s="24"/>
      <c r="R199" s="2" t="str">
        <f t="shared" ref="R199:AU208" si="85">$C199&amp;R$7</f>
        <v>EAST_MDB_7B_1\V12</v>
      </c>
      <c r="S199" s="2" t="str">
        <f t="shared" si="85"/>
        <v>EAST_MDB_7B_1\V23</v>
      </c>
      <c r="T199" s="2" t="str">
        <f t="shared" si="85"/>
        <v>EAST_MDB_7B_1\V31</v>
      </c>
      <c r="U199" s="2" t="str">
        <f t="shared" si="85"/>
        <v>EAST_MDB_7B_1\V1N</v>
      </c>
      <c r="V199" s="2" t="str">
        <f t="shared" si="85"/>
        <v>EAST_MDB_7B_1\V2N</v>
      </c>
      <c r="W199" s="2" t="str">
        <f t="shared" si="85"/>
        <v>EAST_MDB_7B_1\V3N</v>
      </c>
      <c r="X199" s="2" t="str">
        <f t="shared" si="85"/>
        <v>EAST_MDB_7B_1\VA</v>
      </c>
      <c r="Y199" s="2" t="str">
        <f t="shared" si="85"/>
        <v>EAST_MDB_7B_1\A1</v>
      </c>
      <c r="Z199" s="2" t="str">
        <f t="shared" si="85"/>
        <v>EAST_MDB_7B_1\A2</v>
      </c>
      <c r="AA199" s="2" t="str">
        <f t="shared" si="85"/>
        <v>EAST_MDB_7B_1\A3</v>
      </c>
      <c r="AB199" s="2" t="str">
        <f t="shared" si="85"/>
        <v>EAST_MDB_7B_1\AA</v>
      </c>
      <c r="AC199" s="2" t="str">
        <f t="shared" si="85"/>
        <v>EAST_MDB_7B_1\PF</v>
      </c>
      <c r="AD199" s="2" t="str">
        <f t="shared" si="85"/>
        <v>EAST_MDB_7B_1\HZ</v>
      </c>
      <c r="AE199" s="2" t="str">
        <f t="shared" si="85"/>
        <v>EAST_MDB_7B_1\KW</v>
      </c>
      <c r="AF199" s="2" t="str">
        <f t="shared" si="85"/>
        <v>EAST_MDB_7B_1\KHh</v>
      </c>
      <c r="AG199" s="2" t="str">
        <f t="shared" si="85"/>
        <v>EAST_MDB_7B_1\VA</v>
      </c>
      <c r="AH199" s="2" t="str">
        <f t="shared" si="85"/>
        <v>EAST_MDB_7B_1\VAH</v>
      </c>
      <c r="AI199" s="2" t="str">
        <f t="shared" si="85"/>
        <v>EAST_MDB_7B_1\PEAK</v>
      </c>
      <c r="AJ199" s="2" t="str">
        <f t="shared" si="85"/>
        <v>EAST_MDB_7B_1\H_A_1</v>
      </c>
      <c r="AK199" s="2" t="str">
        <f t="shared" si="85"/>
        <v>EAST_MDB_7B_1\H_A_3</v>
      </c>
      <c r="AL199" s="2" t="str">
        <f t="shared" si="85"/>
        <v>EAST_MDB_7B_1\H_A_5</v>
      </c>
      <c r="AM199" s="2" t="str">
        <f t="shared" si="85"/>
        <v>EAST_MDB_7B_1\H_A_7</v>
      </c>
      <c r="AN199" s="2" t="str">
        <f t="shared" si="85"/>
        <v>EAST_MDB_7B_1\H_B_1</v>
      </c>
      <c r="AO199" s="2" t="str">
        <f t="shared" si="85"/>
        <v>EAST_MDB_7B_1\H_B_3</v>
      </c>
      <c r="AP199" s="2" t="str">
        <f t="shared" si="85"/>
        <v>EAST_MDB_7B_1\H_B_5</v>
      </c>
      <c r="AQ199" s="2" t="str">
        <f t="shared" si="85"/>
        <v>EAST_MDB_7B_1\H_B_7</v>
      </c>
      <c r="AR199" s="2" t="str">
        <f t="shared" si="85"/>
        <v>EAST_MDB_7B_1\H_C_1</v>
      </c>
      <c r="AS199" s="2" t="str">
        <f t="shared" si="85"/>
        <v>EAST_MDB_7B_1\H_C_3</v>
      </c>
      <c r="AT199" s="2" t="str">
        <f t="shared" si="85"/>
        <v>EAST_MDB_7B_1\H_C_5</v>
      </c>
      <c r="AU199" s="2" t="str">
        <f t="shared" si="85"/>
        <v>EAST_MDB_7B_1\H_C_7</v>
      </c>
      <c r="AV199" s="2" t="str">
        <f t="shared" ref="AV199:BA208" si="86">$C199&amp;AV$7</f>
        <v>EAST_MDB_7B_1\PV1</v>
      </c>
      <c r="AW199" s="2" t="str">
        <f t="shared" si="86"/>
        <v>EAST_MDB_7B_1\PV2</v>
      </c>
      <c r="AX199" s="2" t="str">
        <f t="shared" si="86"/>
        <v>EAST_MDB_7B_1\PV3</v>
      </c>
      <c r="AY199" s="2" t="str">
        <f t="shared" si="86"/>
        <v>EAST_MDB_7B_1\PI1</v>
      </c>
      <c r="AZ199" s="2" t="str">
        <f t="shared" si="86"/>
        <v>EAST_MDB_7B_1\PI2</v>
      </c>
      <c r="BA199" s="2" t="str">
        <f t="shared" si="86"/>
        <v>EAST_MDB_7B_1\PI3</v>
      </c>
    </row>
    <row r="200" spans="1:53" x14ac:dyDescent="0.25">
      <c r="A200" s="3">
        <v>20</v>
      </c>
      <c r="B200" s="3" t="s">
        <v>337</v>
      </c>
      <c r="C200" s="3" t="s">
        <v>190</v>
      </c>
      <c r="D200" s="3" t="s">
        <v>333</v>
      </c>
      <c r="E200" s="4"/>
      <c r="F200" s="2" t="str">
        <f t="shared" si="84"/>
        <v>EAST_MDB_7B_2\ST</v>
      </c>
      <c r="G200" s="2" t="str">
        <f t="shared" si="84"/>
        <v>EAST_MDB_7B_2\TRIP</v>
      </c>
      <c r="H200" s="20"/>
      <c r="I200" s="20"/>
      <c r="J200" s="20"/>
      <c r="K200" s="20"/>
      <c r="L200" s="20"/>
      <c r="M200" s="20"/>
      <c r="N200" s="20"/>
      <c r="O200" s="20"/>
      <c r="P200" s="20"/>
      <c r="Q200" s="24"/>
      <c r="R200" s="2" t="str">
        <f t="shared" si="85"/>
        <v>EAST_MDB_7B_2\V12</v>
      </c>
      <c r="S200" s="2" t="str">
        <f t="shared" si="85"/>
        <v>EAST_MDB_7B_2\V23</v>
      </c>
      <c r="T200" s="2" t="str">
        <f t="shared" si="85"/>
        <v>EAST_MDB_7B_2\V31</v>
      </c>
      <c r="U200" s="2" t="str">
        <f t="shared" si="85"/>
        <v>EAST_MDB_7B_2\V1N</v>
      </c>
      <c r="V200" s="2" t="str">
        <f t="shared" si="85"/>
        <v>EAST_MDB_7B_2\V2N</v>
      </c>
      <c r="W200" s="2" t="str">
        <f t="shared" si="85"/>
        <v>EAST_MDB_7B_2\V3N</v>
      </c>
      <c r="X200" s="2" t="str">
        <f t="shared" si="85"/>
        <v>EAST_MDB_7B_2\VA</v>
      </c>
      <c r="Y200" s="2" t="str">
        <f t="shared" si="85"/>
        <v>EAST_MDB_7B_2\A1</v>
      </c>
      <c r="Z200" s="2" t="str">
        <f t="shared" si="85"/>
        <v>EAST_MDB_7B_2\A2</v>
      </c>
      <c r="AA200" s="2" t="str">
        <f t="shared" si="85"/>
        <v>EAST_MDB_7B_2\A3</v>
      </c>
      <c r="AB200" s="2" t="str">
        <f t="shared" si="85"/>
        <v>EAST_MDB_7B_2\AA</v>
      </c>
      <c r="AC200" s="2" t="str">
        <f t="shared" si="85"/>
        <v>EAST_MDB_7B_2\PF</v>
      </c>
      <c r="AD200" s="2" t="str">
        <f t="shared" si="85"/>
        <v>EAST_MDB_7B_2\HZ</v>
      </c>
      <c r="AE200" s="2" t="str">
        <f t="shared" si="85"/>
        <v>EAST_MDB_7B_2\KW</v>
      </c>
      <c r="AF200" s="2" t="str">
        <f t="shared" si="85"/>
        <v>EAST_MDB_7B_2\KHh</v>
      </c>
      <c r="AG200" s="2" t="str">
        <f t="shared" si="85"/>
        <v>EAST_MDB_7B_2\VA</v>
      </c>
      <c r="AH200" s="2" t="str">
        <f t="shared" si="85"/>
        <v>EAST_MDB_7B_2\VAH</v>
      </c>
      <c r="AI200" s="2" t="str">
        <f t="shared" si="85"/>
        <v>EAST_MDB_7B_2\PEAK</v>
      </c>
      <c r="AJ200" s="2" t="str">
        <f t="shared" si="85"/>
        <v>EAST_MDB_7B_2\H_A_1</v>
      </c>
      <c r="AK200" s="2" t="str">
        <f t="shared" si="85"/>
        <v>EAST_MDB_7B_2\H_A_3</v>
      </c>
      <c r="AL200" s="2" t="str">
        <f t="shared" si="85"/>
        <v>EAST_MDB_7B_2\H_A_5</v>
      </c>
      <c r="AM200" s="2" t="str">
        <f t="shared" si="85"/>
        <v>EAST_MDB_7B_2\H_A_7</v>
      </c>
      <c r="AN200" s="2" t="str">
        <f t="shared" si="85"/>
        <v>EAST_MDB_7B_2\H_B_1</v>
      </c>
      <c r="AO200" s="2" t="str">
        <f t="shared" si="85"/>
        <v>EAST_MDB_7B_2\H_B_3</v>
      </c>
      <c r="AP200" s="2" t="str">
        <f t="shared" si="85"/>
        <v>EAST_MDB_7B_2\H_B_5</v>
      </c>
      <c r="AQ200" s="2" t="str">
        <f t="shared" si="85"/>
        <v>EAST_MDB_7B_2\H_B_7</v>
      </c>
      <c r="AR200" s="2" t="str">
        <f t="shared" si="85"/>
        <v>EAST_MDB_7B_2\H_C_1</v>
      </c>
      <c r="AS200" s="2" t="str">
        <f t="shared" si="85"/>
        <v>EAST_MDB_7B_2\H_C_3</v>
      </c>
      <c r="AT200" s="2" t="str">
        <f t="shared" si="85"/>
        <v>EAST_MDB_7B_2\H_C_5</v>
      </c>
      <c r="AU200" s="2" t="str">
        <f t="shared" si="85"/>
        <v>EAST_MDB_7B_2\H_C_7</v>
      </c>
      <c r="AV200" s="2" t="str">
        <f t="shared" si="86"/>
        <v>EAST_MDB_7B_2\PV1</v>
      </c>
      <c r="AW200" s="2" t="str">
        <f t="shared" si="86"/>
        <v>EAST_MDB_7B_2\PV2</v>
      </c>
      <c r="AX200" s="2" t="str">
        <f t="shared" si="86"/>
        <v>EAST_MDB_7B_2\PV3</v>
      </c>
      <c r="AY200" s="2" t="str">
        <f t="shared" si="86"/>
        <v>EAST_MDB_7B_2\PI1</v>
      </c>
      <c r="AZ200" s="2" t="str">
        <f t="shared" si="86"/>
        <v>EAST_MDB_7B_2\PI2</v>
      </c>
      <c r="BA200" s="2" t="str">
        <f t="shared" si="86"/>
        <v>EAST_MDB_7B_2\PI3</v>
      </c>
    </row>
    <row r="201" spans="1:53" x14ac:dyDescent="0.25">
      <c r="A201" s="3">
        <v>21</v>
      </c>
      <c r="B201" s="3" t="s">
        <v>337</v>
      </c>
      <c r="C201" s="3" t="s">
        <v>191</v>
      </c>
      <c r="D201" s="3" t="s">
        <v>333</v>
      </c>
      <c r="E201" s="4"/>
      <c r="F201" s="2" t="str">
        <f t="shared" si="84"/>
        <v>EAST_MDB_7B_3\ST</v>
      </c>
      <c r="G201" s="2" t="str">
        <f t="shared" si="84"/>
        <v>EAST_MDB_7B_3\TRIP</v>
      </c>
      <c r="H201" s="20"/>
      <c r="I201" s="20"/>
      <c r="J201" s="20"/>
      <c r="K201" s="20"/>
      <c r="L201" s="20"/>
      <c r="M201" s="20"/>
      <c r="N201" s="20"/>
      <c r="O201" s="20"/>
      <c r="P201" s="20"/>
      <c r="Q201" s="24"/>
      <c r="R201" s="2" t="str">
        <f t="shared" si="85"/>
        <v>EAST_MDB_7B_3\V12</v>
      </c>
      <c r="S201" s="2" t="str">
        <f t="shared" si="85"/>
        <v>EAST_MDB_7B_3\V23</v>
      </c>
      <c r="T201" s="2" t="str">
        <f t="shared" si="85"/>
        <v>EAST_MDB_7B_3\V31</v>
      </c>
      <c r="U201" s="2" t="str">
        <f t="shared" si="85"/>
        <v>EAST_MDB_7B_3\V1N</v>
      </c>
      <c r="V201" s="2" t="str">
        <f t="shared" si="85"/>
        <v>EAST_MDB_7B_3\V2N</v>
      </c>
      <c r="W201" s="2" t="str">
        <f t="shared" si="85"/>
        <v>EAST_MDB_7B_3\V3N</v>
      </c>
      <c r="X201" s="2" t="str">
        <f t="shared" si="85"/>
        <v>EAST_MDB_7B_3\VA</v>
      </c>
      <c r="Y201" s="2" t="str">
        <f t="shared" si="85"/>
        <v>EAST_MDB_7B_3\A1</v>
      </c>
      <c r="Z201" s="2" t="str">
        <f t="shared" si="85"/>
        <v>EAST_MDB_7B_3\A2</v>
      </c>
      <c r="AA201" s="2" t="str">
        <f t="shared" si="85"/>
        <v>EAST_MDB_7B_3\A3</v>
      </c>
      <c r="AB201" s="2" t="str">
        <f t="shared" si="85"/>
        <v>EAST_MDB_7B_3\AA</v>
      </c>
      <c r="AC201" s="2" t="str">
        <f t="shared" si="85"/>
        <v>EAST_MDB_7B_3\PF</v>
      </c>
      <c r="AD201" s="2" t="str">
        <f t="shared" si="85"/>
        <v>EAST_MDB_7B_3\HZ</v>
      </c>
      <c r="AE201" s="2" t="str">
        <f t="shared" si="85"/>
        <v>EAST_MDB_7B_3\KW</v>
      </c>
      <c r="AF201" s="2" t="str">
        <f t="shared" si="85"/>
        <v>EAST_MDB_7B_3\KHh</v>
      </c>
      <c r="AG201" s="2" t="str">
        <f t="shared" si="85"/>
        <v>EAST_MDB_7B_3\VA</v>
      </c>
      <c r="AH201" s="2" t="str">
        <f t="shared" si="85"/>
        <v>EAST_MDB_7B_3\VAH</v>
      </c>
      <c r="AI201" s="2" t="str">
        <f t="shared" si="85"/>
        <v>EAST_MDB_7B_3\PEAK</v>
      </c>
      <c r="AJ201" s="2" t="str">
        <f t="shared" si="85"/>
        <v>EAST_MDB_7B_3\H_A_1</v>
      </c>
      <c r="AK201" s="2" t="str">
        <f t="shared" si="85"/>
        <v>EAST_MDB_7B_3\H_A_3</v>
      </c>
      <c r="AL201" s="2" t="str">
        <f t="shared" si="85"/>
        <v>EAST_MDB_7B_3\H_A_5</v>
      </c>
      <c r="AM201" s="2" t="str">
        <f t="shared" si="85"/>
        <v>EAST_MDB_7B_3\H_A_7</v>
      </c>
      <c r="AN201" s="2" t="str">
        <f t="shared" si="85"/>
        <v>EAST_MDB_7B_3\H_B_1</v>
      </c>
      <c r="AO201" s="2" t="str">
        <f t="shared" si="85"/>
        <v>EAST_MDB_7B_3\H_B_3</v>
      </c>
      <c r="AP201" s="2" t="str">
        <f t="shared" si="85"/>
        <v>EAST_MDB_7B_3\H_B_5</v>
      </c>
      <c r="AQ201" s="2" t="str">
        <f t="shared" si="85"/>
        <v>EAST_MDB_7B_3\H_B_7</v>
      </c>
      <c r="AR201" s="2" t="str">
        <f t="shared" si="85"/>
        <v>EAST_MDB_7B_3\H_C_1</v>
      </c>
      <c r="AS201" s="2" t="str">
        <f t="shared" si="85"/>
        <v>EAST_MDB_7B_3\H_C_3</v>
      </c>
      <c r="AT201" s="2" t="str">
        <f t="shared" si="85"/>
        <v>EAST_MDB_7B_3\H_C_5</v>
      </c>
      <c r="AU201" s="2" t="str">
        <f t="shared" si="85"/>
        <v>EAST_MDB_7B_3\H_C_7</v>
      </c>
      <c r="AV201" s="2" t="str">
        <f t="shared" si="86"/>
        <v>EAST_MDB_7B_3\PV1</v>
      </c>
      <c r="AW201" s="2" t="str">
        <f t="shared" si="86"/>
        <v>EAST_MDB_7B_3\PV2</v>
      </c>
      <c r="AX201" s="2" t="str">
        <f t="shared" si="86"/>
        <v>EAST_MDB_7B_3\PV3</v>
      </c>
      <c r="AY201" s="2" t="str">
        <f t="shared" si="86"/>
        <v>EAST_MDB_7B_3\PI1</v>
      </c>
      <c r="AZ201" s="2" t="str">
        <f t="shared" si="86"/>
        <v>EAST_MDB_7B_3\PI2</v>
      </c>
      <c r="BA201" s="2" t="str">
        <f t="shared" si="86"/>
        <v>EAST_MDB_7B_3\PI3</v>
      </c>
    </row>
    <row r="202" spans="1:53" x14ac:dyDescent="0.25">
      <c r="A202" s="3">
        <v>22</v>
      </c>
      <c r="B202" s="3" t="s">
        <v>337</v>
      </c>
      <c r="C202" s="3" t="s">
        <v>192</v>
      </c>
      <c r="D202" s="3" t="s">
        <v>333</v>
      </c>
      <c r="E202" s="4"/>
      <c r="F202" s="2" t="str">
        <f t="shared" si="84"/>
        <v>EAST_MDB_7B_4\ST</v>
      </c>
      <c r="G202" s="2" t="str">
        <f t="shared" si="84"/>
        <v>EAST_MDB_7B_4\TRIP</v>
      </c>
      <c r="H202" s="20"/>
      <c r="I202" s="20"/>
      <c r="J202" s="20"/>
      <c r="K202" s="20"/>
      <c r="L202" s="20"/>
      <c r="M202" s="20"/>
      <c r="N202" s="20"/>
      <c r="O202" s="20"/>
      <c r="P202" s="20"/>
      <c r="Q202" s="24"/>
      <c r="R202" s="2" t="str">
        <f t="shared" si="85"/>
        <v>EAST_MDB_7B_4\V12</v>
      </c>
      <c r="S202" s="2" t="str">
        <f t="shared" si="85"/>
        <v>EAST_MDB_7B_4\V23</v>
      </c>
      <c r="T202" s="2" t="str">
        <f t="shared" si="85"/>
        <v>EAST_MDB_7B_4\V31</v>
      </c>
      <c r="U202" s="2" t="str">
        <f t="shared" si="85"/>
        <v>EAST_MDB_7B_4\V1N</v>
      </c>
      <c r="V202" s="2" t="str">
        <f t="shared" si="85"/>
        <v>EAST_MDB_7B_4\V2N</v>
      </c>
      <c r="W202" s="2" t="str">
        <f t="shared" si="85"/>
        <v>EAST_MDB_7B_4\V3N</v>
      </c>
      <c r="X202" s="2" t="str">
        <f t="shared" si="85"/>
        <v>EAST_MDB_7B_4\VA</v>
      </c>
      <c r="Y202" s="2" t="str">
        <f t="shared" si="85"/>
        <v>EAST_MDB_7B_4\A1</v>
      </c>
      <c r="Z202" s="2" t="str">
        <f t="shared" si="85"/>
        <v>EAST_MDB_7B_4\A2</v>
      </c>
      <c r="AA202" s="2" t="str">
        <f t="shared" si="85"/>
        <v>EAST_MDB_7B_4\A3</v>
      </c>
      <c r="AB202" s="2" t="str">
        <f t="shared" si="85"/>
        <v>EAST_MDB_7B_4\AA</v>
      </c>
      <c r="AC202" s="2" t="str">
        <f t="shared" si="85"/>
        <v>EAST_MDB_7B_4\PF</v>
      </c>
      <c r="AD202" s="2" t="str">
        <f t="shared" si="85"/>
        <v>EAST_MDB_7B_4\HZ</v>
      </c>
      <c r="AE202" s="2" t="str">
        <f t="shared" si="85"/>
        <v>EAST_MDB_7B_4\KW</v>
      </c>
      <c r="AF202" s="2" t="str">
        <f t="shared" si="85"/>
        <v>EAST_MDB_7B_4\KHh</v>
      </c>
      <c r="AG202" s="2" t="str">
        <f t="shared" si="85"/>
        <v>EAST_MDB_7B_4\VA</v>
      </c>
      <c r="AH202" s="2" t="str">
        <f t="shared" si="85"/>
        <v>EAST_MDB_7B_4\VAH</v>
      </c>
      <c r="AI202" s="2" t="str">
        <f t="shared" si="85"/>
        <v>EAST_MDB_7B_4\PEAK</v>
      </c>
      <c r="AJ202" s="2" t="str">
        <f t="shared" si="85"/>
        <v>EAST_MDB_7B_4\H_A_1</v>
      </c>
      <c r="AK202" s="2" t="str">
        <f t="shared" si="85"/>
        <v>EAST_MDB_7B_4\H_A_3</v>
      </c>
      <c r="AL202" s="2" t="str">
        <f t="shared" si="85"/>
        <v>EAST_MDB_7B_4\H_A_5</v>
      </c>
      <c r="AM202" s="2" t="str">
        <f t="shared" si="85"/>
        <v>EAST_MDB_7B_4\H_A_7</v>
      </c>
      <c r="AN202" s="2" t="str">
        <f t="shared" si="85"/>
        <v>EAST_MDB_7B_4\H_B_1</v>
      </c>
      <c r="AO202" s="2" t="str">
        <f t="shared" si="85"/>
        <v>EAST_MDB_7B_4\H_B_3</v>
      </c>
      <c r="AP202" s="2" t="str">
        <f t="shared" si="85"/>
        <v>EAST_MDB_7B_4\H_B_5</v>
      </c>
      <c r="AQ202" s="2" t="str">
        <f t="shared" si="85"/>
        <v>EAST_MDB_7B_4\H_B_7</v>
      </c>
      <c r="AR202" s="2" t="str">
        <f t="shared" si="85"/>
        <v>EAST_MDB_7B_4\H_C_1</v>
      </c>
      <c r="AS202" s="2" t="str">
        <f t="shared" si="85"/>
        <v>EAST_MDB_7B_4\H_C_3</v>
      </c>
      <c r="AT202" s="2" t="str">
        <f t="shared" si="85"/>
        <v>EAST_MDB_7B_4\H_C_5</v>
      </c>
      <c r="AU202" s="2" t="str">
        <f t="shared" si="85"/>
        <v>EAST_MDB_7B_4\H_C_7</v>
      </c>
      <c r="AV202" s="2" t="str">
        <f t="shared" si="86"/>
        <v>EAST_MDB_7B_4\PV1</v>
      </c>
      <c r="AW202" s="2" t="str">
        <f t="shared" si="86"/>
        <v>EAST_MDB_7B_4\PV2</v>
      </c>
      <c r="AX202" s="2" t="str">
        <f t="shared" si="86"/>
        <v>EAST_MDB_7B_4\PV3</v>
      </c>
      <c r="AY202" s="2" t="str">
        <f t="shared" si="86"/>
        <v>EAST_MDB_7B_4\PI1</v>
      </c>
      <c r="AZ202" s="2" t="str">
        <f t="shared" si="86"/>
        <v>EAST_MDB_7B_4\PI2</v>
      </c>
      <c r="BA202" s="2" t="str">
        <f t="shared" si="86"/>
        <v>EAST_MDB_7B_4\PI3</v>
      </c>
    </row>
    <row r="203" spans="1:53" x14ac:dyDescent="0.25">
      <c r="A203" s="3">
        <v>23</v>
      </c>
      <c r="B203" s="3" t="s">
        <v>337</v>
      </c>
      <c r="C203" s="3" t="s">
        <v>193</v>
      </c>
      <c r="D203" s="3" t="s">
        <v>333</v>
      </c>
      <c r="E203" s="4"/>
      <c r="F203" s="2" t="str">
        <f t="shared" si="84"/>
        <v>EAST_MDB_7B_5\ST</v>
      </c>
      <c r="G203" s="2" t="str">
        <f t="shared" si="84"/>
        <v>EAST_MDB_7B_5\TRIP</v>
      </c>
      <c r="H203" s="20"/>
      <c r="I203" s="20"/>
      <c r="J203" s="20"/>
      <c r="K203" s="20"/>
      <c r="L203" s="20"/>
      <c r="M203" s="20"/>
      <c r="N203" s="20"/>
      <c r="O203" s="20"/>
      <c r="P203" s="20"/>
      <c r="Q203" s="24"/>
      <c r="R203" s="2" t="str">
        <f t="shared" si="85"/>
        <v>EAST_MDB_7B_5\V12</v>
      </c>
      <c r="S203" s="2" t="str">
        <f t="shared" si="85"/>
        <v>EAST_MDB_7B_5\V23</v>
      </c>
      <c r="T203" s="2" t="str">
        <f t="shared" si="85"/>
        <v>EAST_MDB_7B_5\V31</v>
      </c>
      <c r="U203" s="2" t="str">
        <f t="shared" si="85"/>
        <v>EAST_MDB_7B_5\V1N</v>
      </c>
      <c r="V203" s="2" t="str">
        <f t="shared" si="85"/>
        <v>EAST_MDB_7B_5\V2N</v>
      </c>
      <c r="W203" s="2" t="str">
        <f t="shared" si="85"/>
        <v>EAST_MDB_7B_5\V3N</v>
      </c>
      <c r="X203" s="2" t="str">
        <f t="shared" si="85"/>
        <v>EAST_MDB_7B_5\VA</v>
      </c>
      <c r="Y203" s="2" t="str">
        <f t="shared" si="85"/>
        <v>EAST_MDB_7B_5\A1</v>
      </c>
      <c r="Z203" s="2" t="str">
        <f t="shared" si="85"/>
        <v>EAST_MDB_7B_5\A2</v>
      </c>
      <c r="AA203" s="2" t="str">
        <f t="shared" si="85"/>
        <v>EAST_MDB_7B_5\A3</v>
      </c>
      <c r="AB203" s="2" t="str">
        <f t="shared" si="85"/>
        <v>EAST_MDB_7B_5\AA</v>
      </c>
      <c r="AC203" s="2" t="str">
        <f t="shared" si="85"/>
        <v>EAST_MDB_7B_5\PF</v>
      </c>
      <c r="AD203" s="2" t="str">
        <f t="shared" si="85"/>
        <v>EAST_MDB_7B_5\HZ</v>
      </c>
      <c r="AE203" s="2" t="str">
        <f t="shared" si="85"/>
        <v>EAST_MDB_7B_5\KW</v>
      </c>
      <c r="AF203" s="2" t="str">
        <f t="shared" si="85"/>
        <v>EAST_MDB_7B_5\KHh</v>
      </c>
      <c r="AG203" s="2" t="str">
        <f t="shared" si="85"/>
        <v>EAST_MDB_7B_5\VA</v>
      </c>
      <c r="AH203" s="2" t="str">
        <f t="shared" si="85"/>
        <v>EAST_MDB_7B_5\VAH</v>
      </c>
      <c r="AI203" s="2" t="str">
        <f t="shared" si="85"/>
        <v>EAST_MDB_7B_5\PEAK</v>
      </c>
      <c r="AJ203" s="2" t="str">
        <f t="shared" si="85"/>
        <v>EAST_MDB_7B_5\H_A_1</v>
      </c>
      <c r="AK203" s="2" t="str">
        <f t="shared" si="85"/>
        <v>EAST_MDB_7B_5\H_A_3</v>
      </c>
      <c r="AL203" s="2" t="str">
        <f t="shared" si="85"/>
        <v>EAST_MDB_7B_5\H_A_5</v>
      </c>
      <c r="AM203" s="2" t="str">
        <f t="shared" si="85"/>
        <v>EAST_MDB_7B_5\H_A_7</v>
      </c>
      <c r="AN203" s="2" t="str">
        <f t="shared" si="85"/>
        <v>EAST_MDB_7B_5\H_B_1</v>
      </c>
      <c r="AO203" s="2" t="str">
        <f t="shared" si="85"/>
        <v>EAST_MDB_7B_5\H_B_3</v>
      </c>
      <c r="AP203" s="2" t="str">
        <f t="shared" si="85"/>
        <v>EAST_MDB_7B_5\H_B_5</v>
      </c>
      <c r="AQ203" s="2" t="str">
        <f t="shared" ref="AJ203:AU208" si="87">$C203&amp;AQ$7</f>
        <v>EAST_MDB_7B_5\H_B_7</v>
      </c>
      <c r="AR203" s="2" t="str">
        <f t="shared" si="87"/>
        <v>EAST_MDB_7B_5\H_C_1</v>
      </c>
      <c r="AS203" s="2" t="str">
        <f t="shared" si="87"/>
        <v>EAST_MDB_7B_5\H_C_3</v>
      </c>
      <c r="AT203" s="2" t="str">
        <f t="shared" si="87"/>
        <v>EAST_MDB_7B_5\H_C_5</v>
      </c>
      <c r="AU203" s="2" t="str">
        <f t="shared" si="87"/>
        <v>EAST_MDB_7B_5\H_C_7</v>
      </c>
      <c r="AV203" s="2" t="str">
        <f t="shared" si="86"/>
        <v>EAST_MDB_7B_5\PV1</v>
      </c>
      <c r="AW203" s="2" t="str">
        <f t="shared" si="86"/>
        <v>EAST_MDB_7B_5\PV2</v>
      </c>
      <c r="AX203" s="2" t="str">
        <f t="shared" si="86"/>
        <v>EAST_MDB_7B_5\PV3</v>
      </c>
      <c r="AY203" s="2" t="str">
        <f t="shared" si="86"/>
        <v>EAST_MDB_7B_5\PI1</v>
      </c>
      <c r="AZ203" s="2" t="str">
        <f t="shared" si="86"/>
        <v>EAST_MDB_7B_5\PI2</v>
      </c>
      <c r="BA203" s="2" t="str">
        <f t="shared" si="86"/>
        <v>EAST_MDB_7B_5\PI3</v>
      </c>
    </row>
    <row r="204" spans="1:53" x14ac:dyDescent="0.25">
      <c r="A204" s="3">
        <v>24</v>
      </c>
      <c r="B204" s="3" t="s">
        <v>337</v>
      </c>
      <c r="C204" s="3" t="s">
        <v>194</v>
      </c>
      <c r="D204" s="3" t="s">
        <v>333</v>
      </c>
      <c r="E204" s="4"/>
      <c r="F204" s="2" t="str">
        <f t="shared" si="84"/>
        <v>EAST_MDB_7B_6\ST</v>
      </c>
      <c r="G204" s="2" t="str">
        <f t="shared" si="84"/>
        <v>EAST_MDB_7B_6\TRIP</v>
      </c>
      <c r="H204" s="20"/>
      <c r="I204" s="20"/>
      <c r="J204" s="20"/>
      <c r="K204" s="20"/>
      <c r="L204" s="20"/>
      <c r="M204" s="20"/>
      <c r="N204" s="20"/>
      <c r="O204" s="20"/>
      <c r="P204" s="20"/>
      <c r="Q204" s="24"/>
      <c r="R204" s="2" t="str">
        <f t="shared" si="85"/>
        <v>EAST_MDB_7B_6\V12</v>
      </c>
      <c r="S204" s="2" t="str">
        <f t="shared" si="85"/>
        <v>EAST_MDB_7B_6\V23</v>
      </c>
      <c r="T204" s="2" t="str">
        <f t="shared" si="85"/>
        <v>EAST_MDB_7B_6\V31</v>
      </c>
      <c r="U204" s="2" t="str">
        <f t="shared" si="85"/>
        <v>EAST_MDB_7B_6\V1N</v>
      </c>
      <c r="V204" s="2" t="str">
        <f t="shared" si="85"/>
        <v>EAST_MDB_7B_6\V2N</v>
      </c>
      <c r="W204" s="2" t="str">
        <f t="shared" si="85"/>
        <v>EAST_MDB_7B_6\V3N</v>
      </c>
      <c r="X204" s="2" t="str">
        <f t="shared" si="85"/>
        <v>EAST_MDB_7B_6\VA</v>
      </c>
      <c r="Y204" s="2" t="str">
        <f t="shared" si="85"/>
        <v>EAST_MDB_7B_6\A1</v>
      </c>
      <c r="Z204" s="2" t="str">
        <f t="shared" si="85"/>
        <v>EAST_MDB_7B_6\A2</v>
      </c>
      <c r="AA204" s="2" t="str">
        <f t="shared" si="85"/>
        <v>EAST_MDB_7B_6\A3</v>
      </c>
      <c r="AB204" s="2" t="str">
        <f t="shared" si="85"/>
        <v>EAST_MDB_7B_6\AA</v>
      </c>
      <c r="AC204" s="2" t="str">
        <f t="shared" si="85"/>
        <v>EAST_MDB_7B_6\PF</v>
      </c>
      <c r="AD204" s="2" t="str">
        <f t="shared" si="85"/>
        <v>EAST_MDB_7B_6\HZ</v>
      </c>
      <c r="AE204" s="2" t="str">
        <f t="shared" si="85"/>
        <v>EAST_MDB_7B_6\KW</v>
      </c>
      <c r="AF204" s="2" t="str">
        <f t="shared" si="85"/>
        <v>EAST_MDB_7B_6\KHh</v>
      </c>
      <c r="AG204" s="2" t="str">
        <f t="shared" si="85"/>
        <v>EAST_MDB_7B_6\VA</v>
      </c>
      <c r="AH204" s="2" t="str">
        <f t="shared" si="85"/>
        <v>EAST_MDB_7B_6\VAH</v>
      </c>
      <c r="AI204" s="2" t="str">
        <f t="shared" si="85"/>
        <v>EAST_MDB_7B_6\PEAK</v>
      </c>
      <c r="AJ204" s="2" t="str">
        <f t="shared" si="87"/>
        <v>EAST_MDB_7B_6\H_A_1</v>
      </c>
      <c r="AK204" s="2" t="str">
        <f t="shared" si="87"/>
        <v>EAST_MDB_7B_6\H_A_3</v>
      </c>
      <c r="AL204" s="2" t="str">
        <f t="shared" si="87"/>
        <v>EAST_MDB_7B_6\H_A_5</v>
      </c>
      <c r="AM204" s="2" t="str">
        <f t="shared" si="87"/>
        <v>EAST_MDB_7B_6\H_A_7</v>
      </c>
      <c r="AN204" s="2" t="str">
        <f t="shared" si="87"/>
        <v>EAST_MDB_7B_6\H_B_1</v>
      </c>
      <c r="AO204" s="2" t="str">
        <f t="shared" si="87"/>
        <v>EAST_MDB_7B_6\H_B_3</v>
      </c>
      <c r="AP204" s="2" t="str">
        <f t="shared" si="87"/>
        <v>EAST_MDB_7B_6\H_B_5</v>
      </c>
      <c r="AQ204" s="2" t="str">
        <f t="shared" si="87"/>
        <v>EAST_MDB_7B_6\H_B_7</v>
      </c>
      <c r="AR204" s="2" t="str">
        <f t="shared" si="87"/>
        <v>EAST_MDB_7B_6\H_C_1</v>
      </c>
      <c r="AS204" s="2" t="str">
        <f t="shared" si="87"/>
        <v>EAST_MDB_7B_6\H_C_3</v>
      </c>
      <c r="AT204" s="2" t="str">
        <f t="shared" si="87"/>
        <v>EAST_MDB_7B_6\H_C_5</v>
      </c>
      <c r="AU204" s="2" t="str">
        <f t="shared" si="87"/>
        <v>EAST_MDB_7B_6\H_C_7</v>
      </c>
      <c r="AV204" s="2" t="str">
        <f t="shared" si="86"/>
        <v>EAST_MDB_7B_6\PV1</v>
      </c>
      <c r="AW204" s="2" t="str">
        <f t="shared" si="86"/>
        <v>EAST_MDB_7B_6\PV2</v>
      </c>
      <c r="AX204" s="2" t="str">
        <f t="shared" si="86"/>
        <v>EAST_MDB_7B_6\PV3</v>
      </c>
      <c r="AY204" s="2" t="str">
        <f t="shared" si="86"/>
        <v>EAST_MDB_7B_6\PI1</v>
      </c>
      <c r="AZ204" s="2" t="str">
        <f t="shared" si="86"/>
        <v>EAST_MDB_7B_6\PI2</v>
      </c>
      <c r="BA204" s="2" t="str">
        <f t="shared" si="86"/>
        <v>EAST_MDB_7B_6\PI3</v>
      </c>
    </row>
    <row r="205" spans="1:53" x14ac:dyDescent="0.25">
      <c r="A205" s="3">
        <v>25</v>
      </c>
      <c r="B205" s="3" t="s">
        <v>337</v>
      </c>
      <c r="C205" s="3" t="s">
        <v>195</v>
      </c>
      <c r="D205" s="3" t="s">
        <v>333</v>
      </c>
      <c r="E205" s="4"/>
      <c r="F205" s="2" t="str">
        <f t="shared" si="84"/>
        <v>EAST_MDB_7B_7\ST</v>
      </c>
      <c r="G205" s="2" t="str">
        <f t="shared" si="84"/>
        <v>EAST_MDB_7B_7\TRIP</v>
      </c>
      <c r="H205" s="20"/>
      <c r="I205" s="20"/>
      <c r="J205" s="20"/>
      <c r="K205" s="20"/>
      <c r="L205" s="20"/>
      <c r="M205" s="20"/>
      <c r="N205" s="20"/>
      <c r="O205" s="20"/>
      <c r="P205" s="20"/>
      <c r="Q205" s="24"/>
      <c r="R205" s="2" t="str">
        <f t="shared" si="85"/>
        <v>EAST_MDB_7B_7\V12</v>
      </c>
      <c r="S205" s="2" t="str">
        <f t="shared" si="85"/>
        <v>EAST_MDB_7B_7\V23</v>
      </c>
      <c r="T205" s="2" t="str">
        <f t="shared" si="85"/>
        <v>EAST_MDB_7B_7\V31</v>
      </c>
      <c r="U205" s="2" t="str">
        <f t="shared" si="85"/>
        <v>EAST_MDB_7B_7\V1N</v>
      </c>
      <c r="V205" s="2" t="str">
        <f t="shared" si="85"/>
        <v>EAST_MDB_7B_7\V2N</v>
      </c>
      <c r="W205" s="2" t="str">
        <f t="shared" si="85"/>
        <v>EAST_MDB_7B_7\V3N</v>
      </c>
      <c r="X205" s="2" t="str">
        <f t="shared" si="85"/>
        <v>EAST_MDB_7B_7\VA</v>
      </c>
      <c r="Y205" s="2" t="str">
        <f t="shared" si="85"/>
        <v>EAST_MDB_7B_7\A1</v>
      </c>
      <c r="Z205" s="2" t="str">
        <f t="shared" si="85"/>
        <v>EAST_MDB_7B_7\A2</v>
      </c>
      <c r="AA205" s="2" t="str">
        <f t="shared" si="85"/>
        <v>EAST_MDB_7B_7\A3</v>
      </c>
      <c r="AB205" s="2" t="str">
        <f t="shared" si="85"/>
        <v>EAST_MDB_7B_7\AA</v>
      </c>
      <c r="AC205" s="2" t="str">
        <f t="shared" si="85"/>
        <v>EAST_MDB_7B_7\PF</v>
      </c>
      <c r="AD205" s="2" t="str">
        <f t="shared" si="85"/>
        <v>EAST_MDB_7B_7\HZ</v>
      </c>
      <c r="AE205" s="2" t="str">
        <f t="shared" si="85"/>
        <v>EAST_MDB_7B_7\KW</v>
      </c>
      <c r="AF205" s="2" t="str">
        <f t="shared" si="85"/>
        <v>EAST_MDB_7B_7\KHh</v>
      </c>
      <c r="AG205" s="2" t="str">
        <f t="shared" si="85"/>
        <v>EAST_MDB_7B_7\VA</v>
      </c>
      <c r="AH205" s="2" t="str">
        <f t="shared" si="85"/>
        <v>EAST_MDB_7B_7\VAH</v>
      </c>
      <c r="AI205" s="2" t="str">
        <f t="shared" si="85"/>
        <v>EAST_MDB_7B_7\PEAK</v>
      </c>
      <c r="AJ205" s="2" t="str">
        <f t="shared" si="87"/>
        <v>EAST_MDB_7B_7\H_A_1</v>
      </c>
      <c r="AK205" s="2" t="str">
        <f t="shared" si="87"/>
        <v>EAST_MDB_7B_7\H_A_3</v>
      </c>
      <c r="AL205" s="2" t="str">
        <f t="shared" si="87"/>
        <v>EAST_MDB_7B_7\H_A_5</v>
      </c>
      <c r="AM205" s="2" t="str">
        <f t="shared" si="87"/>
        <v>EAST_MDB_7B_7\H_A_7</v>
      </c>
      <c r="AN205" s="2" t="str">
        <f t="shared" si="87"/>
        <v>EAST_MDB_7B_7\H_B_1</v>
      </c>
      <c r="AO205" s="2" t="str">
        <f t="shared" si="87"/>
        <v>EAST_MDB_7B_7\H_B_3</v>
      </c>
      <c r="AP205" s="2" t="str">
        <f t="shared" si="87"/>
        <v>EAST_MDB_7B_7\H_B_5</v>
      </c>
      <c r="AQ205" s="2" t="str">
        <f t="shared" si="87"/>
        <v>EAST_MDB_7B_7\H_B_7</v>
      </c>
      <c r="AR205" s="2" t="str">
        <f t="shared" si="87"/>
        <v>EAST_MDB_7B_7\H_C_1</v>
      </c>
      <c r="AS205" s="2" t="str">
        <f t="shared" si="87"/>
        <v>EAST_MDB_7B_7\H_C_3</v>
      </c>
      <c r="AT205" s="2" t="str">
        <f t="shared" si="87"/>
        <v>EAST_MDB_7B_7\H_C_5</v>
      </c>
      <c r="AU205" s="2" t="str">
        <f t="shared" si="87"/>
        <v>EAST_MDB_7B_7\H_C_7</v>
      </c>
      <c r="AV205" s="2" t="str">
        <f t="shared" si="86"/>
        <v>EAST_MDB_7B_7\PV1</v>
      </c>
      <c r="AW205" s="2" t="str">
        <f t="shared" si="86"/>
        <v>EAST_MDB_7B_7\PV2</v>
      </c>
      <c r="AX205" s="2" t="str">
        <f t="shared" si="86"/>
        <v>EAST_MDB_7B_7\PV3</v>
      </c>
      <c r="AY205" s="2" t="str">
        <f t="shared" si="86"/>
        <v>EAST_MDB_7B_7\PI1</v>
      </c>
      <c r="AZ205" s="2" t="str">
        <f t="shared" si="86"/>
        <v>EAST_MDB_7B_7\PI2</v>
      </c>
      <c r="BA205" s="2" t="str">
        <f t="shared" si="86"/>
        <v>EAST_MDB_7B_7\PI3</v>
      </c>
    </row>
    <row r="206" spans="1:53" x14ac:dyDescent="0.25">
      <c r="A206" s="3">
        <v>26</v>
      </c>
      <c r="B206" s="3" t="s">
        <v>337</v>
      </c>
      <c r="C206" s="3" t="s">
        <v>196</v>
      </c>
      <c r="D206" s="3" t="s">
        <v>333</v>
      </c>
      <c r="E206" s="4"/>
      <c r="F206" s="2" t="str">
        <f t="shared" si="84"/>
        <v>EAST_MDB_7B_8\ST</v>
      </c>
      <c r="G206" s="2" t="str">
        <f t="shared" si="84"/>
        <v>EAST_MDB_7B_8\TRIP</v>
      </c>
      <c r="H206" s="20"/>
      <c r="I206" s="20"/>
      <c r="J206" s="20"/>
      <c r="K206" s="20"/>
      <c r="L206" s="20"/>
      <c r="M206" s="20"/>
      <c r="N206" s="20"/>
      <c r="O206" s="20"/>
      <c r="P206" s="20"/>
      <c r="Q206" s="24"/>
      <c r="R206" s="2" t="str">
        <f t="shared" si="85"/>
        <v>EAST_MDB_7B_8\V12</v>
      </c>
      <c r="S206" s="2" t="str">
        <f t="shared" si="85"/>
        <v>EAST_MDB_7B_8\V23</v>
      </c>
      <c r="T206" s="2" t="str">
        <f t="shared" si="85"/>
        <v>EAST_MDB_7B_8\V31</v>
      </c>
      <c r="U206" s="2" t="str">
        <f t="shared" si="85"/>
        <v>EAST_MDB_7B_8\V1N</v>
      </c>
      <c r="V206" s="2" t="str">
        <f t="shared" si="85"/>
        <v>EAST_MDB_7B_8\V2N</v>
      </c>
      <c r="W206" s="2" t="str">
        <f t="shared" si="85"/>
        <v>EAST_MDB_7B_8\V3N</v>
      </c>
      <c r="X206" s="2" t="str">
        <f t="shared" si="85"/>
        <v>EAST_MDB_7B_8\VA</v>
      </c>
      <c r="Y206" s="2" t="str">
        <f t="shared" si="85"/>
        <v>EAST_MDB_7B_8\A1</v>
      </c>
      <c r="Z206" s="2" t="str">
        <f t="shared" si="85"/>
        <v>EAST_MDB_7B_8\A2</v>
      </c>
      <c r="AA206" s="2" t="str">
        <f t="shared" si="85"/>
        <v>EAST_MDB_7B_8\A3</v>
      </c>
      <c r="AB206" s="2" t="str">
        <f t="shared" si="85"/>
        <v>EAST_MDB_7B_8\AA</v>
      </c>
      <c r="AC206" s="2" t="str">
        <f t="shared" si="85"/>
        <v>EAST_MDB_7B_8\PF</v>
      </c>
      <c r="AD206" s="2" t="str">
        <f t="shared" si="85"/>
        <v>EAST_MDB_7B_8\HZ</v>
      </c>
      <c r="AE206" s="2" t="str">
        <f t="shared" si="85"/>
        <v>EAST_MDB_7B_8\KW</v>
      </c>
      <c r="AF206" s="2" t="str">
        <f t="shared" si="85"/>
        <v>EAST_MDB_7B_8\KHh</v>
      </c>
      <c r="AG206" s="2" t="str">
        <f t="shared" si="85"/>
        <v>EAST_MDB_7B_8\VA</v>
      </c>
      <c r="AH206" s="2" t="str">
        <f t="shared" si="85"/>
        <v>EAST_MDB_7B_8\VAH</v>
      </c>
      <c r="AI206" s="2" t="str">
        <f t="shared" si="85"/>
        <v>EAST_MDB_7B_8\PEAK</v>
      </c>
      <c r="AJ206" s="2" t="str">
        <f t="shared" si="87"/>
        <v>EAST_MDB_7B_8\H_A_1</v>
      </c>
      <c r="AK206" s="2" t="str">
        <f t="shared" si="87"/>
        <v>EAST_MDB_7B_8\H_A_3</v>
      </c>
      <c r="AL206" s="2" t="str">
        <f t="shared" si="87"/>
        <v>EAST_MDB_7B_8\H_A_5</v>
      </c>
      <c r="AM206" s="2" t="str">
        <f t="shared" si="87"/>
        <v>EAST_MDB_7B_8\H_A_7</v>
      </c>
      <c r="AN206" s="2" t="str">
        <f t="shared" si="87"/>
        <v>EAST_MDB_7B_8\H_B_1</v>
      </c>
      <c r="AO206" s="2" t="str">
        <f t="shared" si="87"/>
        <v>EAST_MDB_7B_8\H_B_3</v>
      </c>
      <c r="AP206" s="2" t="str">
        <f t="shared" si="87"/>
        <v>EAST_MDB_7B_8\H_B_5</v>
      </c>
      <c r="AQ206" s="2" t="str">
        <f t="shared" si="87"/>
        <v>EAST_MDB_7B_8\H_B_7</v>
      </c>
      <c r="AR206" s="2" t="str">
        <f t="shared" si="87"/>
        <v>EAST_MDB_7B_8\H_C_1</v>
      </c>
      <c r="AS206" s="2" t="str">
        <f t="shared" si="87"/>
        <v>EAST_MDB_7B_8\H_C_3</v>
      </c>
      <c r="AT206" s="2" t="str">
        <f t="shared" si="87"/>
        <v>EAST_MDB_7B_8\H_C_5</v>
      </c>
      <c r="AU206" s="2" t="str">
        <f t="shared" si="87"/>
        <v>EAST_MDB_7B_8\H_C_7</v>
      </c>
      <c r="AV206" s="2" t="str">
        <f t="shared" si="86"/>
        <v>EAST_MDB_7B_8\PV1</v>
      </c>
      <c r="AW206" s="2" t="str">
        <f t="shared" si="86"/>
        <v>EAST_MDB_7B_8\PV2</v>
      </c>
      <c r="AX206" s="2" t="str">
        <f t="shared" si="86"/>
        <v>EAST_MDB_7B_8\PV3</v>
      </c>
      <c r="AY206" s="2" t="str">
        <f t="shared" si="86"/>
        <v>EAST_MDB_7B_8\PI1</v>
      </c>
      <c r="AZ206" s="2" t="str">
        <f t="shared" si="86"/>
        <v>EAST_MDB_7B_8\PI2</v>
      </c>
      <c r="BA206" s="2" t="str">
        <f t="shared" si="86"/>
        <v>EAST_MDB_7B_8\PI3</v>
      </c>
    </row>
    <row r="207" spans="1:53" x14ac:dyDescent="0.25">
      <c r="A207" s="3">
        <v>27</v>
      </c>
      <c r="B207" s="3" t="s">
        <v>337</v>
      </c>
      <c r="C207" s="3" t="s">
        <v>197</v>
      </c>
      <c r="D207" s="3" t="s">
        <v>333</v>
      </c>
      <c r="E207" s="4"/>
      <c r="F207" s="2" t="str">
        <f t="shared" si="84"/>
        <v>EAST_MDB_7B_9\ST</v>
      </c>
      <c r="G207" s="2" t="str">
        <f t="shared" si="84"/>
        <v>EAST_MDB_7B_9\TRIP</v>
      </c>
      <c r="H207" s="20"/>
      <c r="I207" s="20"/>
      <c r="J207" s="20"/>
      <c r="K207" s="20"/>
      <c r="L207" s="20"/>
      <c r="M207" s="20"/>
      <c r="N207" s="20"/>
      <c r="O207" s="20"/>
      <c r="P207" s="20"/>
      <c r="Q207" s="24"/>
      <c r="R207" s="2" t="str">
        <f t="shared" si="85"/>
        <v>EAST_MDB_7B_9\V12</v>
      </c>
      <c r="S207" s="2" t="str">
        <f t="shared" si="85"/>
        <v>EAST_MDB_7B_9\V23</v>
      </c>
      <c r="T207" s="2" t="str">
        <f t="shared" si="85"/>
        <v>EAST_MDB_7B_9\V31</v>
      </c>
      <c r="U207" s="2" t="str">
        <f t="shared" si="85"/>
        <v>EAST_MDB_7B_9\V1N</v>
      </c>
      <c r="V207" s="2" t="str">
        <f t="shared" si="85"/>
        <v>EAST_MDB_7B_9\V2N</v>
      </c>
      <c r="W207" s="2" t="str">
        <f t="shared" si="85"/>
        <v>EAST_MDB_7B_9\V3N</v>
      </c>
      <c r="X207" s="2" t="str">
        <f t="shared" si="85"/>
        <v>EAST_MDB_7B_9\VA</v>
      </c>
      <c r="Y207" s="2" t="str">
        <f t="shared" si="85"/>
        <v>EAST_MDB_7B_9\A1</v>
      </c>
      <c r="Z207" s="2" t="str">
        <f t="shared" si="85"/>
        <v>EAST_MDB_7B_9\A2</v>
      </c>
      <c r="AA207" s="2" t="str">
        <f t="shared" si="85"/>
        <v>EAST_MDB_7B_9\A3</v>
      </c>
      <c r="AB207" s="2" t="str">
        <f t="shared" si="85"/>
        <v>EAST_MDB_7B_9\AA</v>
      </c>
      <c r="AC207" s="2" t="str">
        <f t="shared" si="85"/>
        <v>EAST_MDB_7B_9\PF</v>
      </c>
      <c r="AD207" s="2" t="str">
        <f t="shared" si="85"/>
        <v>EAST_MDB_7B_9\HZ</v>
      </c>
      <c r="AE207" s="2" t="str">
        <f t="shared" si="85"/>
        <v>EAST_MDB_7B_9\KW</v>
      </c>
      <c r="AF207" s="2" t="str">
        <f t="shared" si="85"/>
        <v>EAST_MDB_7B_9\KHh</v>
      </c>
      <c r="AG207" s="2" t="str">
        <f t="shared" si="85"/>
        <v>EAST_MDB_7B_9\VA</v>
      </c>
      <c r="AH207" s="2" t="str">
        <f t="shared" si="85"/>
        <v>EAST_MDB_7B_9\VAH</v>
      </c>
      <c r="AI207" s="2" t="str">
        <f t="shared" si="85"/>
        <v>EAST_MDB_7B_9\PEAK</v>
      </c>
      <c r="AJ207" s="2" t="str">
        <f t="shared" si="87"/>
        <v>EAST_MDB_7B_9\H_A_1</v>
      </c>
      <c r="AK207" s="2" t="str">
        <f t="shared" si="87"/>
        <v>EAST_MDB_7B_9\H_A_3</v>
      </c>
      <c r="AL207" s="2" t="str">
        <f t="shared" si="87"/>
        <v>EAST_MDB_7B_9\H_A_5</v>
      </c>
      <c r="AM207" s="2" t="str">
        <f t="shared" si="87"/>
        <v>EAST_MDB_7B_9\H_A_7</v>
      </c>
      <c r="AN207" s="2" t="str">
        <f t="shared" si="87"/>
        <v>EAST_MDB_7B_9\H_B_1</v>
      </c>
      <c r="AO207" s="2" t="str">
        <f t="shared" si="87"/>
        <v>EAST_MDB_7B_9\H_B_3</v>
      </c>
      <c r="AP207" s="2" t="str">
        <f t="shared" si="87"/>
        <v>EAST_MDB_7B_9\H_B_5</v>
      </c>
      <c r="AQ207" s="2" t="str">
        <f t="shared" si="87"/>
        <v>EAST_MDB_7B_9\H_B_7</v>
      </c>
      <c r="AR207" s="2" t="str">
        <f t="shared" si="87"/>
        <v>EAST_MDB_7B_9\H_C_1</v>
      </c>
      <c r="AS207" s="2" t="str">
        <f t="shared" si="87"/>
        <v>EAST_MDB_7B_9\H_C_3</v>
      </c>
      <c r="AT207" s="2" t="str">
        <f t="shared" si="87"/>
        <v>EAST_MDB_7B_9\H_C_5</v>
      </c>
      <c r="AU207" s="2" t="str">
        <f t="shared" si="87"/>
        <v>EAST_MDB_7B_9\H_C_7</v>
      </c>
      <c r="AV207" s="2" t="str">
        <f t="shared" si="86"/>
        <v>EAST_MDB_7B_9\PV1</v>
      </c>
      <c r="AW207" s="2" t="str">
        <f t="shared" si="86"/>
        <v>EAST_MDB_7B_9\PV2</v>
      </c>
      <c r="AX207" s="2" t="str">
        <f t="shared" si="86"/>
        <v>EAST_MDB_7B_9\PV3</v>
      </c>
      <c r="AY207" s="2" t="str">
        <f t="shared" si="86"/>
        <v>EAST_MDB_7B_9\PI1</v>
      </c>
      <c r="AZ207" s="2" t="str">
        <f t="shared" si="86"/>
        <v>EAST_MDB_7B_9\PI2</v>
      </c>
      <c r="BA207" s="2" t="str">
        <f t="shared" si="86"/>
        <v>EAST_MDB_7B_9\PI3</v>
      </c>
    </row>
    <row r="208" spans="1:53" x14ac:dyDescent="0.25">
      <c r="A208" s="3">
        <v>28</v>
      </c>
      <c r="B208" s="3" t="s">
        <v>337</v>
      </c>
      <c r="C208" s="3" t="s">
        <v>198</v>
      </c>
      <c r="D208" s="3" t="s">
        <v>333</v>
      </c>
      <c r="E208" s="4"/>
      <c r="F208" s="2" t="str">
        <f t="shared" si="84"/>
        <v>EAST_MDB_7B_10\ST</v>
      </c>
      <c r="G208" s="2" t="str">
        <f t="shared" si="84"/>
        <v>EAST_MDB_7B_10\TRIP</v>
      </c>
      <c r="H208" s="20"/>
      <c r="I208" s="20"/>
      <c r="J208" s="20"/>
      <c r="K208" s="20"/>
      <c r="L208" s="20"/>
      <c r="M208" s="20"/>
      <c r="N208" s="20"/>
      <c r="O208" s="20"/>
      <c r="P208" s="20"/>
      <c r="Q208" s="24"/>
      <c r="R208" s="2" t="str">
        <f t="shared" si="85"/>
        <v>EAST_MDB_7B_10\V12</v>
      </c>
      <c r="S208" s="2" t="str">
        <f t="shared" si="85"/>
        <v>EAST_MDB_7B_10\V23</v>
      </c>
      <c r="T208" s="2" t="str">
        <f t="shared" si="85"/>
        <v>EAST_MDB_7B_10\V31</v>
      </c>
      <c r="U208" s="2" t="str">
        <f t="shared" si="85"/>
        <v>EAST_MDB_7B_10\V1N</v>
      </c>
      <c r="V208" s="2" t="str">
        <f t="shared" si="85"/>
        <v>EAST_MDB_7B_10\V2N</v>
      </c>
      <c r="W208" s="2" t="str">
        <f t="shared" si="85"/>
        <v>EAST_MDB_7B_10\V3N</v>
      </c>
      <c r="X208" s="2" t="str">
        <f t="shared" si="85"/>
        <v>EAST_MDB_7B_10\VA</v>
      </c>
      <c r="Y208" s="2" t="str">
        <f t="shared" si="85"/>
        <v>EAST_MDB_7B_10\A1</v>
      </c>
      <c r="Z208" s="2" t="str">
        <f t="shared" si="85"/>
        <v>EAST_MDB_7B_10\A2</v>
      </c>
      <c r="AA208" s="2" t="str">
        <f t="shared" si="85"/>
        <v>EAST_MDB_7B_10\A3</v>
      </c>
      <c r="AB208" s="2" t="str">
        <f t="shared" si="85"/>
        <v>EAST_MDB_7B_10\AA</v>
      </c>
      <c r="AC208" s="2" t="str">
        <f t="shared" si="85"/>
        <v>EAST_MDB_7B_10\PF</v>
      </c>
      <c r="AD208" s="2" t="str">
        <f t="shared" si="85"/>
        <v>EAST_MDB_7B_10\HZ</v>
      </c>
      <c r="AE208" s="2" t="str">
        <f t="shared" si="85"/>
        <v>EAST_MDB_7B_10\KW</v>
      </c>
      <c r="AF208" s="2" t="str">
        <f t="shared" si="85"/>
        <v>EAST_MDB_7B_10\KHh</v>
      </c>
      <c r="AG208" s="2" t="str">
        <f t="shared" si="85"/>
        <v>EAST_MDB_7B_10\VA</v>
      </c>
      <c r="AH208" s="2" t="str">
        <f t="shared" si="85"/>
        <v>EAST_MDB_7B_10\VAH</v>
      </c>
      <c r="AI208" s="2" t="str">
        <f t="shared" si="85"/>
        <v>EAST_MDB_7B_10\PEAK</v>
      </c>
      <c r="AJ208" s="2" t="str">
        <f t="shared" si="87"/>
        <v>EAST_MDB_7B_10\H_A_1</v>
      </c>
      <c r="AK208" s="2" t="str">
        <f t="shared" si="87"/>
        <v>EAST_MDB_7B_10\H_A_3</v>
      </c>
      <c r="AL208" s="2" t="str">
        <f t="shared" si="87"/>
        <v>EAST_MDB_7B_10\H_A_5</v>
      </c>
      <c r="AM208" s="2" t="str">
        <f t="shared" si="87"/>
        <v>EAST_MDB_7B_10\H_A_7</v>
      </c>
      <c r="AN208" s="2" t="str">
        <f t="shared" si="87"/>
        <v>EAST_MDB_7B_10\H_B_1</v>
      </c>
      <c r="AO208" s="2" t="str">
        <f t="shared" si="87"/>
        <v>EAST_MDB_7B_10\H_B_3</v>
      </c>
      <c r="AP208" s="2" t="str">
        <f t="shared" si="87"/>
        <v>EAST_MDB_7B_10\H_B_5</v>
      </c>
      <c r="AQ208" s="2" t="str">
        <f t="shared" si="87"/>
        <v>EAST_MDB_7B_10\H_B_7</v>
      </c>
      <c r="AR208" s="2" t="str">
        <f t="shared" si="87"/>
        <v>EAST_MDB_7B_10\H_C_1</v>
      </c>
      <c r="AS208" s="2" t="str">
        <f t="shared" si="87"/>
        <v>EAST_MDB_7B_10\H_C_3</v>
      </c>
      <c r="AT208" s="2" t="str">
        <f t="shared" si="87"/>
        <v>EAST_MDB_7B_10\H_C_5</v>
      </c>
      <c r="AU208" s="2" t="str">
        <f t="shared" si="87"/>
        <v>EAST_MDB_7B_10\H_C_7</v>
      </c>
      <c r="AV208" s="2" t="str">
        <f t="shared" si="86"/>
        <v>EAST_MDB_7B_10\PV1</v>
      </c>
      <c r="AW208" s="2" t="str">
        <f t="shared" si="86"/>
        <v>EAST_MDB_7B_10\PV2</v>
      </c>
      <c r="AX208" s="2" t="str">
        <f t="shared" si="86"/>
        <v>EAST_MDB_7B_10\PV3</v>
      </c>
      <c r="AY208" s="2" t="str">
        <f t="shared" si="86"/>
        <v>EAST_MDB_7B_10\PI1</v>
      </c>
      <c r="AZ208" s="2" t="str">
        <f t="shared" si="86"/>
        <v>EAST_MDB_7B_10\PI2</v>
      </c>
      <c r="BA208" s="2" t="str">
        <f t="shared" si="86"/>
        <v>EAST_MDB_7B_10\PI3</v>
      </c>
    </row>
    <row r="209" spans="1:53" x14ac:dyDescent="0.25">
      <c r="A209" s="3">
        <v>29</v>
      </c>
      <c r="B209" s="3" t="s">
        <v>337</v>
      </c>
      <c r="C209" s="3" t="s">
        <v>243</v>
      </c>
      <c r="D209" s="3" t="s">
        <v>334</v>
      </c>
      <c r="E209" s="4"/>
      <c r="F209" s="2"/>
      <c r="G209" s="2"/>
      <c r="H209" s="2" t="str">
        <f>$C209&amp;H$7</f>
        <v>EAST_MDB_7C\ELD</v>
      </c>
      <c r="I209" s="20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</row>
    <row r="210" spans="1:53" x14ac:dyDescent="0.25">
      <c r="A210" s="3">
        <v>30</v>
      </c>
      <c r="B210" s="3" t="s">
        <v>337</v>
      </c>
      <c r="C210" s="3" t="s">
        <v>199</v>
      </c>
      <c r="D210" s="3" t="s">
        <v>334</v>
      </c>
      <c r="E210" s="4"/>
      <c r="F210" s="2" t="str">
        <f t="shared" ref="F210:G217" si="88">$C210&amp;F$7</f>
        <v>EAST_MDB_7C_1\ST</v>
      </c>
      <c r="G210" s="2" t="str">
        <f t="shared" si="88"/>
        <v>EAST_MDB_7C_1\TRIP</v>
      </c>
      <c r="H210" s="20"/>
      <c r="I210" s="20"/>
      <c r="J210" s="20"/>
      <c r="K210" s="20"/>
      <c r="L210" s="20"/>
      <c r="M210" s="20"/>
      <c r="N210" s="20"/>
      <c r="O210" s="20"/>
      <c r="P210" s="20"/>
      <c r="Q210" s="24"/>
      <c r="R210" s="2" t="str">
        <f t="shared" ref="R210:AU217" si="89">$C210&amp;R$7</f>
        <v>EAST_MDB_7C_1\V12</v>
      </c>
      <c r="S210" s="2" t="str">
        <f t="shared" si="89"/>
        <v>EAST_MDB_7C_1\V23</v>
      </c>
      <c r="T210" s="2" t="str">
        <f t="shared" si="89"/>
        <v>EAST_MDB_7C_1\V31</v>
      </c>
      <c r="U210" s="2" t="str">
        <f t="shared" si="89"/>
        <v>EAST_MDB_7C_1\V1N</v>
      </c>
      <c r="V210" s="2" t="str">
        <f t="shared" si="89"/>
        <v>EAST_MDB_7C_1\V2N</v>
      </c>
      <c r="W210" s="2" t="str">
        <f t="shared" si="89"/>
        <v>EAST_MDB_7C_1\V3N</v>
      </c>
      <c r="X210" s="2" t="str">
        <f t="shared" si="89"/>
        <v>EAST_MDB_7C_1\VA</v>
      </c>
      <c r="Y210" s="2" t="str">
        <f t="shared" si="89"/>
        <v>EAST_MDB_7C_1\A1</v>
      </c>
      <c r="Z210" s="2" t="str">
        <f t="shared" si="89"/>
        <v>EAST_MDB_7C_1\A2</v>
      </c>
      <c r="AA210" s="2" t="str">
        <f t="shared" si="89"/>
        <v>EAST_MDB_7C_1\A3</v>
      </c>
      <c r="AB210" s="2" t="str">
        <f t="shared" si="89"/>
        <v>EAST_MDB_7C_1\AA</v>
      </c>
      <c r="AC210" s="2" t="str">
        <f t="shared" si="89"/>
        <v>EAST_MDB_7C_1\PF</v>
      </c>
      <c r="AD210" s="2" t="str">
        <f t="shared" si="89"/>
        <v>EAST_MDB_7C_1\HZ</v>
      </c>
      <c r="AE210" s="2" t="str">
        <f t="shared" si="89"/>
        <v>EAST_MDB_7C_1\KW</v>
      </c>
      <c r="AF210" s="2" t="str">
        <f t="shared" si="89"/>
        <v>EAST_MDB_7C_1\KHh</v>
      </c>
      <c r="AG210" s="2" t="str">
        <f t="shared" si="89"/>
        <v>EAST_MDB_7C_1\VA</v>
      </c>
      <c r="AH210" s="2" t="str">
        <f t="shared" si="89"/>
        <v>EAST_MDB_7C_1\VAH</v>
      </c>
      <c r="AI210" s="2" t="str">
        <f t="shared" si="89"/>
        <v>EAST_MDB_7C_1\PEAK</v>
      </c>
      <c r="AJ210" s="2" t="str">
        <f t="shared" si="89"/>
        <v>EAST_MDB_7C_1\H_A_1</v>
      </c>
      <c r="AK210" s="2" t="str">
        <f t="shared" si="89"/>
        <v>EAST_MDB_7C_1\H_A_3</v>
      </c>
      <c r="AL210" s="2" t="str">
        <f t="shared" si="89"/>
        <v>EAST_MDB_7C_1\H_A_5</v>
      </c>
      <c r="AM210" s="2" t="str">
        <f t="shared" si="89"/>
        <v>EAST_MDB_7C_1\H_A_7</v>
      </c>
      <c r="AN210" s="2" t="str">
        <f t="shared" si="89"/>
        <v>EAST_MDB_7C_1\H_B_1</v>
      </c>
      <c r="AO210" s="2" t="str">
        <f t="shared" si="89"/>
        <v>EAST_MDB_7C_1\H_B_3</v>
      </c>
      <c r="AP210" s="2" t="str">
        <f t="shared" si="89"/>
        <v>EAST_MDB_7C_1\H_B_5</v>
      </c>
      <c r="AQ210" s="2" t="str">
        <f t="shared" si="89"/>
        <v>EAST_MDB_7C_1\H_B_7</v>
      </c>
      <c r="AR210" s="2" t="str">
        <f t="shared" si="89"/>
        <v>EAST_MDB_7C_1\H_C_1</v>
      </c>
      <c r="AS210" s="2" t="str">
        <f t="shared" si="89"/>
        <v>EAST_MDB_7C_1\H_C_3</v>
      </c>
      <c r="AT210" s="2" t="str">
        <f t="shared" si="89"/>
        <v>EAST_MDB_7C_1\H_C_5</v>
      </c>
      <c r="AU210" s="2" t="str">
        <f t="shared" si="89"/>
        <v>EAST_MDB_7C_1\H_C_7</v>
      </c>
      <c r="AV210" s="2" t="str">
        <f t="shared" ref="AV210:BA217" si="90">$C210&amp;AV$7</f>
        <v>EAST_MDB_7C_1\PV1</v>
      </c>
      <c r="AW210" s="2" t="str">
        <f t="shared" si="90"/>
        <v>EAST_MDB_7C_1\PV2</v>
      </c>
      <c r="AX210" s="2" t="str">
        <f t="shared" si="90"/>
        <v>EAST_MDB_7C_1\PV3</v>
      </c>
      <c r="AY210" s="2" t="str">
        <f t="shared" si="90"/>
        <v>EAST_MDB_7C_1\PI1</v>
      </c>
      <c r="AZ210" s="2" t="str">
        <f t="shared" si="90"/>
        <v>EAST_MDB_7C_1\PI2</v>
      </c>
      <c r="BA210" s="2" t="str">
        <f t="shared" si="90"/>
        <v>EAST_MDB_7C_1\PI3</v>
      </c>
    </row>
    <row r="211" spans="1:53" x14ac:dyDescent="0.25">
      <c r="A211" s="3">
        <v>31</v>
      </c>
      <c r="B211" s="3" t="s">
        <v>337</v>
      </c>
      <c r="C211" s="3" t="s">
        <v>200</v>
      </c>
      <c r="D211" s="3" t="s">
        <v>334</v>
      </c>
      <c r="E211" s="4"/>
      <c r="F211" s="2" t="str">
        <f t="shared" si="88"/>
        <v>EAST_MDB_7C_2\ST</v>
      </c>
      <c r="G211" s="2" t="str">
        <f t="shared" si="88"/>
        <v>EAST_MDB_7C_2\TRIP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4"/>
      <c r="R211" s="2" t="str">
        <f t="shared" si="89"/>
        <v>EAST_MDB_7C_2\V12</v>
      </c>
      <c r="S211" s="2" t="str">
        <f t="shared" si="89"/>
        <v>EAST_MDB_7C_2\V23</v>
      </c>
      <c r="T211" s="2" t="str">
        <f t="shared" si="89"/>
        <v>EAST_MDB_7C_2\V31</v>
      </c>
      <c r="U211" s="2" t="str">
        <f t="shared" si="89"/>
        <v>EAST_MDB_7C_2\V1N</v>
      </c>
      <c r="V211" s="2" t="str">
        <f t="shared" si="89"/>
        <v>EAST_MDB_7C_2\V2N</v>
      </c>
      <c r="W211" s="2" t="str">
        <f t="shared" si="89"/>
        <v>EAST_MDB_7C_2\V3N</v>
      </c>
      <c r="X211" s="2" t="str">
        <f t="shared" si="89"/>
        <v>EAST_MDB_7C_2\VA</v>
      </c>
      <c r="Y211" s="2" t="str">
        <f t="shared" si="89"/>
        <v>EAST_MDB_7C_2\A1</v>
      </c>
      <c r="Z211" s="2" t="str">
        <f t="shared" si="89"/>
        <v>EAST_MDB_7C_2\A2</v>
      </c>
      <c r="AA211" s="2" t="str">
        <f t="shared" si="89"/>
        <v>EAST_MDB_7C_2\A3</v>
      </c>
      <c r="AB211" s="2" t="str">
        <f t="shared" si="89"/>
        <v>EAST_MDB_7C_2\AA</v>
      </c>
      <c r="AC211" s="2" t="str">
        <f t="shared" si="89"/>
        <v>EAST_MDB_7C_2\PF</v>
      </c>
      <c r="AD211" s="2" t="str">
        <f t="shared" si="89"/>
        <v>EAST_MDB_7C_2\HZ</v>
      </c>
      <c r="AE211" s="2" t="str">
        <f t="shared" si="89"/>
        <v>EAST_MDB_7C_2\KW</v>
      </c>
      <c r="AF211" s="2" t="str">
        <f t="shared" si="89"/>
        <v>EAST_MDB_7C_2\KHh</v>
      </c>
      <c r="AG211" s="2" t="str">
        <f t="shared" si="89"/>
        <v>EAST_MDB_7C_2\VA</v>
      </c>
      <c r="AH211" s="2" t="str">
        <f t="shared" si="89"/>
        <v>EAST_MDB_7C_2\VAH</v>
      </c>
      <c r="AI211" s="2" t="str">
        <f t="shared" si="89"/>
        <v>EAST_MDB_7C_2\PEAK</v>
      </c>
      <c r="AJ211" s="2" t="str">
        <f t="shared" si="89"/>
        <v>EAST_MDB_7C_2\H_A_1</v>
      </c>
      <c r="AK211" s="2" t="str">
        <f t="shared" si="89"/>
        <v>EAST_MDB_7C_2\H_A_3</v>
      </c>
      <c r="AL211" s="2" t="str">
        <f t="shared" si="89"/>
        <v>EAST_MDB_7C_2\H_A_5</v>
      </c>
      <c r="AM211" s="2" t="str">
        <f t="shared" si="89"/>
        <v>EAST_MDB_7C_2\H_A_7</v>
      </c>
      <c r="AN211" s="2" t="str">
        <f t="shared" si="89"/>
        <v>EAST_MDB_7C_2\H_B_1</v>
      </c>
      <c r="AO211" s="2" t="str">
        <f t="shared" si="89"/>
        <v>EAST_MDB_7C_2\H_B_3</v>
      </c>
      <c r="AP211" s="2" t="str">
        <f t="shared" si="89"/>
        <v>EAST_MDB_7C_2\H_B_5</v>
      </c>
      <c r="AQ211" s="2" t="str">
        <f t="shared" si="89"/>
        <v>EAST_MDB_7C_2\H_B_7</v>
      </c>
      <c r="AR211" s="2" t="str">
        <f t="shared" si="89"/>
        <v>EAST_MDB_7C_2\H_C_1</v>
      </c>
      <c r="AS211" s="2" t="str">
        <f t="shared" si="89"/>
        <v>EAST_MDB_7C_2\H_C_3</v>
      </c>
      <c r="AT211" s="2" t="str">
        <f t="shared" si="89"/>
        <v>EAST_MDB_7C_2\H_C_5</v>
      </c>
      <c r="AU211" s="2" t="str">
        <f t="shared" si="89"/>
        <v>EAST_MDB_7C_2\H_C_7</v>
      </c>
      <c r="AV211" s="2" t="str">
        <f t="shared" si="90"/>
        <v>EAST_MDB_7C_2\PV1</v>
      </c>
      <c r="AW211" s="2" t="str">
        <f t="shared" si="90"/>
        <v>EAST_MDB_7C_2\PV2</v>
      </c>
      <c r="AX211" s="2" t="str">
        <f t="shared" si="90"/>
        <v>EAST_MDB_7C_2\PV3</v>
      </c>
      <c r="AY211" s="2" t="str">
        <f t="shared" si="90"/>
        <v>EAST_MDB_7C_2\PI1</v>
      </c>
      <c r="AZ211" s="2" t="str">
        <f t="shared" si="90"/>
        <v>EAST_MDB_7C_2\PI2</v>
      </c>
      <c r="BA211" s="2" t="str">
        <f t="shared" si="90"/>
        <v>EAST_MDB_7C_2\PI3</v>
      </c>
    </row>
    <row r="212" spans="1:53" x14ac:dyDescent="0.25">
      <c r="A212" s="3">
        <v>32</v>
      </c>
      <c r="B212" s="3" t="s">
        <v>337</v>
      </c>
      <c r="C212" s="3" t="s">
        <v>201</v>
      </c>
      <c r="D212" s="3" t="s">
        <v>334</v>
      </c>
      <c r="E212" s="4"/>
      <c r="F212" s="2" t="str">
        <f t="shared" si="88"/>
        <v>EAST_MDB_7C_3\ST</v>
      </c>
      <c r="G212" s="2" t="str">
        <f t="shared" si="88"/>
        <v>EAST_MDB_7C_3\TRIP</v>
      </c>
      <c r="H212" s="20"/>
      <c r="I212" s="20"/>
      <c r="J212" s="20"/>
      <c r="K212" s="20"/>
      <c r="L212" s="20"/>
      <c r="M212" s="20"/>
      <c r="N212" s="20"/>
      <c r="O212" s="20"/>
      <c r="P212" s="20"/>
      <c r="Q212" s="24"/>
      <c r="R212" s="2" t="str">
        <f t="shared" si="89"/>
        <v>EAST_MDB_7C_3\V12</v>
      </c>
      <c r="S212" s="2" t="str">
        <f t="shared" si="89"/>
        <v>EAST_MDB_7C_3\V23</v>
      </c>
      <c r="T212" s="2" t="str">
        <f t="shared" si="89"/>
        <v>EAST_MDB_7C_3\V31</v>
      </c>
      <c r="U212" s="2" t="str">
        <f t="shared" si="89"/>
        <v>EAST_MDB_7C_3\V1N</v>
      </c>
      <c r="V212" s="2" t="str">
        <f t="shared" si="89"/>
        <v>EAST_MDB_7C_3\V2N</v>
      </c>
      <c r="W212" s="2" t="str">
        <f t="shared" si="89"/>
        <v>EAST_MDB_7C_3\V3N</v>
      </c>
      <c r="X212" s="2" t="str">
        <f t="shared" si="89"/>
        <v>EAST_MDB_7C_3\VA</v>
      </c>
      <c r="Y212" s="2" t="str">
        <f t="shared" si="89"/>
        <v>EAST_MDB_7C_3\A1</v>
      </c>
      <c r="Z212" s="2" t="str">
        <f t="shared" si="89"/>
        <v>EAST_MDB_7C_3\A2</v>
      </c>
      <c r="AA212" s="2" t="str">
        <f t="shared" si="89"/>
        <v>EAST_MDB_7C_3\A3</v>
      </c>
      <c r="AB212" s="2" t="str">
        <f t="shared" si="89"/>
        <v>EAST_MDB_7C_3\AA</v>
      </c>
      <c r="AC212" s="2" t="str">
        <f t="shared" si="89"/>
        <v>EAST_MDB_7C_3\PF</v>
      </c>
      <c r="AD212" s="2" t="str">
        <f t="shared" si="89"/>
        <v>EAST_MDB_7C_3\HZ</v>
      </c>
      <c r="AE212" s="2" t="str">
        <f t="shared" si="89"/>
        <v>EAST_MDB_7C_3\KW</v>
      </c>
      <c r="AF212" s="2" t="str">
        <f t="shared" si="89"/>
        <v>EAST_MDB_7C_3\KHh</v>
      </c>
      <c r="AG212" s="2" t="str">
        <f t="shared" si="89"/>
        <v>EAST_MDB_7C_3\VA</v>
      </c>
      <c r="AH212" s="2" t="str">
        <f t="shared" si="89"/>
        <v>EAST_MDB_7C_3\VAH</v>
      </c>
      <c r="AI212" s="2" t="str">
        <f t="shared" si="89"/>
        <v>EAST_MDB_7C_3\PEAK</v>
      </c>
      <c r="AJ212" s="2" t="str">
        <f t="shared" si="89"/>
        <v>EAST_MDB_7C_3\H_A_1</v>
      </c>
      <c r="AK212" s="2" t="str">
        <f t="shared" si="89"/>
        <v>EAST_MDB_7C_3\H_A_3</v>
      </c>
      <c r="AL212" s="2" t="str">
        <f t="shared" si="89"/>
        <v>EAST_MDB_7C_3\H_A_5</v>
      </c>
      <c r="AM212" s="2" t="str">
        <f t="shared" si="89"/>
        <v>EAST_MDB_7C_3\H_A_7</v>
      </c>
      <c r="AN212" s="2" t="str">
        <f t="shared" si="89"/>
        <v>EAST_MDB_7C_3\H_B_1</v>
      </c>
      <c r="AO212" s="2" t="str">
        <f t="shared" si="89"/>
        <v>EAST_MDB_7C_3\H_B_3</v>
      </c>
      <c r="AP212" s="2" t="str">
        <f t="shared" si="89"/>
        <v>EAST_MDB_7C_3\H_B_5</v>
      </c>
      <c r="AQ212" s="2" t="str">
        <f t="shared" si="89"/>
        <v>EAST_MDB_7C_3\H_B_7</v>
      </c>
      <c r="AR212" s="2" t="str">
        <f t="shared" si="89"/>
        <v>EAST_MDB_7C_3\H_C_1</v>
      </c>
      <c r="AS212" s="2" t="str">
        <f t="shared" si="89"/>
        <v>EAST_MDB_7C_3\H_C_3</v>
      </c>
      <c r="AT212" s="2" t="str">
        <f t="shared" si="89"/>
        <v>EAST_MDB_7C_3\H_C_5</v>
      </c>
      <c r="AU212" s="2" t="str">
        <f t="shared" si="89"/>
        <v>EAST_MDB_7C_3\H_C_7</v>
      </c>
      <c r="AV212" s="2" t="str">
        <f t="shared" si="90"/>
        <v>EAST_MDB_7C_3\PV1</v>
      </c>
      <c r="AW212" s="2" t="str">
        <f t="shared" si="90"/>
        <v>EAST_MDB_7C_3\PV2</v>
      </c>
      <c r="AX212" s="2" t="str">
        <f t="shared" si="90"/>
        <v>EAST_MDB_7C_3\PV3</v>
      </c>
      <c r="AY212" s="2" t="str">
        <f t="shared" si="90"/>
        <v>EAST_MDB_7C_3\PI1</v>
      </c>
      <c r="AZ212" s="2" t="str">
        <f t="shared" si="90"/>
        <v>EAST_MDB_7C_3\PI2</v>
      </c>
      <c r="BA212" s="2" t="str">
        <f t="shared" si="90"/>
        <v>EAST_MDB_7C_3\PI3</v>
      </c>
    </row>
    <row r="213" spans="1:53" x14ac:dyDescent="0.25">
      <c r="A213" s="3">
        <v>33</v>
      </c>
      <c r="B213" s="3" t="s">
        <v>337</v>
      </c>
      <c r="C213" s="3" t="s">
        <v>202</v>
      </c>
      <c r="D213" s="3" t="s">
        <v>334</v>
      </c>
      <c r="E213" s="4"/>
      <c r="F213" s="2" t="str">
        <f t="shared" si="88"/>
        <v>EAST_MDB_7C_4\ST</v>
      </c>
      <c r="G213" s="2" t="str">
        <f t="shared" si="88"/>
        <v>EAST_MDB_7C_4\TRIP</v>
      </c>
      <c r="H213" s="20"/>
      <c r="I213" s="20"/>
      <c r="J213" s="20"/>
      <c r="K213" s="20"/>
      <c r="L213" s="20"/>
      <c r="M213" s="20"/>
      <c r="N213" s="20"/>
      <c r="O213" s="20"/>
      <c r="P213" s="20"/>
      <c r="Q213" s="24"/>
      <c r="R213" s="2" t="str">
        <f t="shared" si="89"/>
        <v>EAST_MDB_7C_4\V12</v>
      </c>
      <c r="S213" s="2" t="str">
        <f t="shared" si="89"/>
        <v>EAST_MDB_7C_4\V23</v>
      </c>
      <c r="T213" s="2" t="str">
        <f t="shared" si="89"/>
        <v>EAST_MDB_7C_4\V31</v>
      </c>
      <c r="U213" s="2" t="str">
        <f t="shared" si="89"/>
        <v>EAST_MDB_7C_4\V1N</v>
      </c>
      <c r="V213" s="2" t="str">
        <f t="shared" si="89"/>
        <v>EAST_MDB_7C_4\V2N</v>
      </c>
      <c r="W213" s="2" t="str">
        <f t="shared" si="89"/>
        <v>EAST_MDB_7C_4\V3N</v>
      </c>
      <c r="X213" s="2" t="str">
        <f t="shared" si="89"/>
        <v>EAST_MDB_7C_4\VA</v>
      </c>
      <c r="Y213" s="2" t="str">
        <f t="shared" si="89"/>
        <v>EAST_MDB_7C_4\A1</v>
      </c>
      <c r="Z213" s="2" t="str">
        <f t="shared" si="89"/>
        <v>EAST_MDB_7C_4\A2</v>
      </c>
      <c r="AA213" s="2" t="str">
        <f t="shared" si="89"/>
        <v>EAST_MDB_7C_4\A3</v>
      </c>
      <c r="AB213" s="2" t="str">
        <f t="shared" si="89"/>
        <v>EAST_MDB_7C_4\AA</v>
      </c>
      <c r="AC213" s="2" t="str">
        <f t="shared" si="89"/>
        <v>EAST_MDB_7C_4\PF</v>
      </c>
      <c r="AD213" s="2" t="str">
        <f t="shared" si="89"/>
        <v>EAST_MDB_7C_4\HZ</v>
      </c>
      <c r="AE213" s="2" t="str">
        <f t="shared" si="89"/>
        <v>EAST_MDB_7C_4\KW</v>
      </c>
      <c r="AF213" s="2" t="str">
        <f t="shared" si="89"/>
        <v>EAST_MDB_7C_4\KHh</v>
      </c>
      <c r="AG213" s="2" t="str">
        <f t="shared" si="89"/>
        <v>EAST_MDB_7C_4\VA</v>
      </c>
      <c r="AH213" s="2" t="str">
        <f t="shared" si="89"/>
        <v>EAST_MDB_7C_4\VAH</v>
      </c>
      <c r="AI213" s="2" t="str">
        <f t="shared" si="89"/>
        <v>EAST_MDB_7C_4\PEAK</v>
      </c>
      <c r="AJ213" s="2" t="str">
        <f t="shared" si="89"/>
        <v>EAST_MDB_7C_4\H_A_1</v>
      </c>
      <c r="AK213" s="2" t="str">
        <f t="shared" si="89"/>
        <v>EAST_MDB_7C_4\H_A_3</v>
      </c>
      <c r="AL213" s="2" t="str">
        <f t="shared" si="89"/>
        <v>EAST_MDB_7C_4\H_A_5</v>
      </c>
      <c r="AM213" s="2" t="str">
        <f t="shared" si="89"/>
        <v>EAST_MDB_7C_4\H_A_7</v>
      </c>
      <c r="AN213" s="2" t="str">
        <f t="shared" si="89"/>
        <v>EAST_MDB_7C_4\H_B_1</v>
      </c>
      <c r="AO213" s="2" t="str">
        <f t="shared" si="89"/>
        <v>EAST_MDB_7C_4\H_B_3</v>
      </c>
      <c r="AP213" s="2" t="str">
        <f t="shared" si="89"/>
        <v>EAST_MDB_7C_4\H_B_5</v>
      </c>
      <c r="AQ213" s="2" t="str">
        <f t="shared" si="89"/>
        <v>EAST_MDB_7C_4\H_B_7</v>
      </c>
      <c r="AR213" s="2" t="str">
        <f t="shared" si="89"/>
        <v>EAST_MDB_7C_4\H_C_1</v>
      </c>
      <c r="AS213" s="2" t="str">
        <f t="shared" si="89"/>
        <v>EAST_MDB_7C_4\H_C_3</v>
      </c>
      <c r="AT213" s="2" t="str">
        <f t="shared" si="89"/>
        <v>EAST_MDB_7C_4\H_C_5</v>
      </c>
      <c r="AU213" s="2" t="str">
        <f t="shared" si="89"/>
        <v>EAST_MDB_7C_4\H_C_7</v>
      </c>
      <c r="AV213" s="2" t="str">
        <f t="shared" si="90"/>
        <v>EAST_MDB_7C_4\PV1</v>
      </c>
      <c r="AW213" s="2" t="str">
        <f t="shared" si="90"/>
        <v>EAST_MDB_7C_4\PV2</v>
      </c>
      <c r="AX213" s="2" t="str">
        <f t="shared" si="90"/>
        <v>EAST_MDB_7C_4\PV3</v>
      </c>
      <c r="AY213" s="2" t="str">
        <f t="shared" si="90"/>
        <v>EAST_MDB_7C_4\PI1</v>
      </c>
      <c r="AZ213" s="2" t="str">
        <f t="shared" si="90"/>
        <v>EAST_MDB_7C_4\PI2</v>
      </c>
      <c r="BA213" s="2" t="str">
        <f t="shared" si="90"/>
        <v>EAST_MDB_7C_4\PI3</v>
      </c>
    </row>
    <row r="214" spans="1:53" x14ac:dyDescent="0.25">
      <c r="A214" s="3">
        <v>34</v>
      </c>
      <c r="B214" s="3" t="s">
        <v>337</v>
      </c>
      <c r="C214" s="3" t="s">
        <v>203</v>
      </c>
      <c r="D214" s="3" t="s">
        <v>334</v>
      </c>
      <c r="E214" s="4"/>
      <c r="F214" s="2" t="str">
        <f t="shared" si="88"/>
        <v>EAST_MDB_7C_5\ST</v>
      </c>
      <c r="G214" s="2" t="str">
        <f t="shared" si="88"/>
        <v>EAST_MDB_7C_5\TRIP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4"/>
      <c r="R214" s="2" t="str">
        <f t="shared" si="89"/>
        <v>EAST_MDB_7C_5\V12</v>
      </c>
      <c r="S214" s="2" t="str">
        <f t="shared" si="89"/>
        <v>EAST_MDB_7C_5\V23</v>
      </c>
      <c r="T214" s="2" t="str">
        <f t="shared" si="89"/>
        <v>EAST_MDB_7C_5\V31</v>
      </c>
      <c r="U214" s="2" t="str">
        <f t="shared" si="89"/>
        <v>EAST_MDB_7C_5\V1N</v>
      </c>
      <c r="V214" s="2" t="str">
        <f t="shared" si="89"/>
        <v>EAST_MDB_7C_5\V2N</v>
      </c>
      <c r="W214" s="2" t="str">
        <f t="shared" si="89"/>
        <v>EAST_MDB_7C_5\V3N</v>
      </c>
      <c r="X214" s="2" t="str">
        <f t="shared" si="89"/>
        <v>EAST_MDB_7C_5\VA</v>
      </c>
      <c r="Y214" s="2" t="str">
        <f t="shared" si="89"/>
        <v>EAST_MDB_7C_5\A1</v>
      </c>
      <c r="Z214" s="2" t="str">
        <f t="shared" si="89"/>
        <v>EAST_MDB_7C_5\A2</v>
      </c>
      <c r="AA214" s="2" t="str">
        <f t="shared" si="89"/>
        <v>EAST_MDB_7C_5\A3</v>
      </c>
      <c r="AB214" s="2" t="str">
        <f t="shared" si="89"/>
        <v>EAST_MDB_7C_5\AA</v>
      </c>
      <c r="AC214" s="2" t="str">
        <f t="shared" si="89"/>
        <v>EAST_MDB_7C_5\PF</v>
      </c>
      <c r="AD214" s="2" t="str">
        <f t="shared" si="89"/>
        <v>EAST_MDB_7C_5\HZ</v>
      </c>
      <c r="AE214" s="2" t="str">
        <f t="shared" si="89"/>
        <v>EAST_MDB_7C_5\KW</v>
      </c>
      <c r="AF214" s="2" t="str">
        <f t="shared" si="89"/>
        <v>EAST_MDB_7C_5\KHh</v>
      </c>
      <c r="AG214" s="2" t="str">
        <f t="shared" si="89"/>
        <v>EAST_MDB_7C_5\VA</v>
      </c>
      <c r="AH214" s="2" t="str">
        <f t="shared" si="89"/>
        <v>EAST_MDB_7C_5\VAH</v>
      </c>
      <c r="AI214" s="2" t="str">
        <f t="shared" si="89"/>
        <v>EAST_MDB_7C_5\PEAK</v>
      </c>
      <c r="AJ214" s="2" t="str">
        <f t="shared" si="89"/>
        <v>EAST_MDB_7C_5\H_A_1</v>
      </c>
      <c r="AK214" s="2" t="str">
        <f t="shared" si="89"/>
        <v>EAST_MDB_7C_5\H_A_3</v>
      </c>
      <c r="AL214" s="2" t="str">
        <f t="shared" si="89"/>
        <v>EAST_MDB_7C_5\H_A_5</v>
      </c>
      <c r="AM214" s="2" t="str">
        <f t="shared" si="89"/>
        <v>EAST_MDB_7C_5\H_A_7</v>
      </c>
      <c r="AN214" s="2" t="str">
        <f t="shared" si="89"/>
        <v>EAST_MDB_7C_5\H_B_1</v>
      </c>
      <c r="AO214" s="2" t="str">
        <f t="shared" si="89"/>
        <v>EAST_MDB_7C_5\H_B_3</v>
      </c>
      <c r="AP214" s="2" t="str">
        <f t="shared" si="89"/>
        <v>EAST_MDB_7C_5\H_B_5</v>
      </c>
      <c r="AQ214" s="2" t="str">
        <f t="shared" si="89"/>
        <v>EAST_MDB_7C_5\H_B_7</v>
      </c>
      <c r="AR214" s="2" t="str">
        <f t="shared" si="89"/>
        <v>EAST_MDB_7C_5\H_C_1</v>
      </c>
      <c r="AS214" s="2" t="str">
        <f t="shared" si="89"/>
        <v>EAST_MDB_7C_5\H_C_3</v>
      </c>
      <c r="AT214" s="2" t="str">
        <f t="shared" si="89"/>
        <v>EAST_MDB_7C_5\H_C_5</v>
      </c>
      <c r="AU214" s="2" t="str">
        <f t="shared" si="89"/>
        <v>EAST_MDB_7C_5\H_C_7</v>
      </c>
      <c r="AV214" s="2" t="str">
        <f t="shared" si="90"/>
        <v>EAST_MDB_7C_5\PV1</v>
      </c>
      <c r="AW214" s="2" t="str">
        <f t="shared" si="90"/>
        <v>EAST_MDB_7C_5\PV2</v>
      </c>
      <c r="AX214" s="2" t="str">
        <f t="shared" si="90"/>
        <v>EAST_MDB_7C_5\PV3</v>
      </c>
      <c r="AY214" s="2" t="str">
        <f t="shared" si="90"/>
        <v>EAST_MDB_7C_5\PI1</v>
      </c>
      <c r="AZ214" s="2" t="str">
        <f t="shared" si="90"/>
        <v>EAST_MDB_7C_5\PI2</v>
      </c>
      <c r="BA214" s="2" t="str">
        <f t="shared" si="90"/>
        <v>EAST_MDB_7C_5\PI3</v>
      </c>
    </row>
    <row r="215" spans="1:53" x14ac:dyDescent="0.25">
      <c r="A215" s="3">
        <v>35</v>
      </c>
      <c r="B215" s="3" t="s">
        <v>337</v>
      </c>
      <c r="C215" s="3" t="s">
        <v>204</v>
      </c>
      <c r="D215" s="3" t="s">
        <v>334</v>
      </c>
      <c r="E215" s="4"/>
      <c r="F215" s="2" t="str">
        <f t="shared" si="88"/>
        <v>EAST_MDB_7C_6\ST</v>
      </c>
      <c r="G215" s="2" t="str">
        <f t="shared" si="88"/>
        <v>EAST_MDB_7C_6\TRIP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4"/>
      <c r="R215" s="2" t="str">
        <f t="shared" si="89"/>
        <v>EAST_MDB_7C_6\V12</v>
      </c>
      <c r="S215" s="2" t="str">
        <f t="shared" si="89"/>
        <v>EAST_MDB_7C_6\V23</v>
      </c>
      <c r="T215" s="2" t="str">
        <f t="shared" si="89"/>
        <v>EAST_MDB_7C_6\V31</v>
      </c>
      <c r="U215" s="2" t="str">
        <f t="shared" si="89"/>
        <v>EAST_MDB_7C_6\V1N</v>
      </c>
      <c r="V215" s="2" t="str">
        <f t="shared" si="89"/>
        <v>EAST_MDB_7C_6\V2N</v>
      </c>
      <c r="W215" s="2" t="str">
        <f t="shared" si="89"/>
        <v>EAST_MDB_7C_6\V3N</v>
      </c>
      <c r="X215" s="2" t="str">
        <f t="shared" si="89"/>
        <v>EAST_MDB_7C_6\VA</v>
      </c>
      <c r="Y215" s="2" t="str">
        <f t="shared" si="89"/>
        <v>EAST_MDB_7C_6\A1</v>
      </c>
      <c r="Z215" s="2" t="str">
        <f t="shared" si="89"/>
        <v>EAST_MDB_7C_6\A2</v>
      </c>
      <c r="AA215" s="2" t="str">
        <f t="shared" si="89"/>
        <v>EAST_MDB_7C_6\A3</v>
      </c>
      <c r="AB215" s="2" t="str">
        <f t="shared" si="89"/>
        <v>EAST_MDB_7C_6\AA</v>
      </c>
      <c r="AC215" s="2" t="str">
        <f t="shared" si="89"/>
        <v>EAST_MDB_7C_6\PF</v>
      </c>
      <c r="AD215" s="2" t="str">
        <f t="shared" si="89"/>
        <v>EAST_MDB_7C_6\HZ</v>
      </c>
      <c r="AE215" s="2" t="str">
        <f t="shared" si="89"/>
        <v>EAST_MDB_7C_6\KW</v>
      </c>
      <c r="AF215" s="2" t="str">
        <f t="shared" si="89"/>
        <v>EAST_MDB_7C_6\KHh</v>
      </c>
      <c r="AG215" s="2" t="str">
        <f t="shared" si="89"/>
        <v>EAST_MDB_7C_6\VA</v>
      </c>
      <c r="AH215" s="2" t="str">
        <f t="shared" si="89"/>
        <v>EAST_MDB_7C_6\VAH</v>
      </c>
      <c r="AI215" s="2" t="str">
        <f t="shared" si="89"/>
        <v>EAST_MDB_7C_6\PEAK</v>
      </c>
      <c r="AJ215" s="2" t="str">
        <f t="shared" si="89"/>
        <v>EAST_MDB_7C_6\H_A_1</v>
      </c>
      <c r="AK215" s="2" t="str">
        <f t="shared" si="89"/>
        <v>EAST_MDB_7C_6\H_A_3</v>
      </c>
      <c r="AL215" s="2" t="str">
        <f t="shared" si="89"/>
        <v>EAST_MDB_7C_6\H_A_5</v>
      </c>
      <c r="AM215" s="2" t="str">
        <f t="shared" si="89"/>
        <v>EAST_MDB_7C_6\H_A_7</v>
      </c>
      <c r="AN215" s="2" t="str">
        <f t="shared" si="89"/>
        <v>EAST_MDB_7C_6\H_B_1</v>
      </c>
      <c r="AO215" s="2" t="str">
        <f t="shared" si="89"/>
        <v>EAST_MDB_7C_6\H_B_3</v>
      </c>
      <c r="AP215" s="2" t="str">
        <f t="shared" si="89"/>
        <v>EAST_MDB_7C_6\H_B_5</v>
      </c>
      <c r="AQ215" s="2" t="str">
        <f t="shared" si="89"/>
        <v>EAST_MDB_7C_6\H_B_7</v>
      </c>
      <c r="AR215" s="2" t="str">
        <f t="shared" si="89"/>
        <v>EAST_MDB_7C_6\H_C_1</v>
      </c>
      <c r="AS215" s="2" t="str">
        <f t="shared" si="89"/>
        <v>EAST_MDB_7C_6\H_C_3</v>
      </c>
      <c r="AT215" s="2" t="str">
        <f t="shared" si="89"/>
        <v>EAST_MDB_7C_6\H_C_5</v>
      </c>
      <c r="AU215" s="2" t="str">
        <f t="shared" si="89"/>
        <v>EAST_MDB_7C_6\H_C_7</v>
      </c>
      <c r="AV215" s="2" t="str">
        <f t="shared" si="90"/>
        <v>EAST_MDB_7C_6\PV1</v>
      </c>
      <c r="AW215" s="2" t="str">
        <f t="shared" si="90"/>
        <v>EAST_MDB_7C_6\PV2</v>
      </c>
      <c r="AX215" s="2" t="str">
        <f t="shared" si="90"/>
        <v>EAST_MDB_7C_6\PV3</v>
      </c>
      <c r="AY215" s="2" t="str">
        <f t="shared" si="90"/>
        <v>EAST_MDB_7C_6\PI1</v>
      </c>
      <c r="AZ215" s="2" t="str">
        <f t="shared" si="90"/>
        <v>EAST_MDB_7C_6\PI2</v>
      </c>
      <c r="BA215" s="2" t="str">
        <f t="shared" si="90"/>
        <v>EAST_MDB_7C_6\PI3</v>
      </c>
    </row>
    <row r="216" spans="1:53" x14ac:dyDescent="0.25">
      <c r="A216" s="3">
        <v>36</v>
      </c>
      <c r="B216" s="3" t="s">
        <v>337</v>
      </c>
      <c r="C216" s="3" t="s">
        <v>205</v>
      </c>
      <c r="D216" s="3" t="s">
        <v>334</v>
      </c>
      <c r="E216" s="4"/>
      <c r="F216" s="2" t="str">
        <f t="shared" si="88"/>
        <v>EAST_MDB_7C_7\ST</v>
      </c>
      <c r="G216" s="2" t="str">
        <f t="shared" si="88"/>
        <v>EAST_MDB_7C_7\TRIP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4"/>
      <c r="R216" s="2" t="str">
        <f t="shared" si="89"/>
        <v>EAST_MDB_7C_7\V12</v>
      </c>
      <c r="S216" s="2" t="str">
        <f t="shared" si="89"/>
        <v>EAST_MDB_7C_7\V23</v>
      </c>
      <c r="T216" s="2" t="str">
        <f t="shared" si="89"/>
        <v>EAST_MDB_7C_7\V31</v>
      </c>
      <c r="U216" s="2" t="str">
        <f t="shared" si="89"/>
        <v>EAST_MDB_7C_7\V1N</v>
      </c>
      <c r="V216" s="2" t="str">
        <f t="shared" si="89"/>
        <v>EAST_MDB_7C_7\V2N</v>
      </c>
      <c r="W216" s="2" t="str">
        <f t="shared" si="89"/>
        <v>EAST_MDB_7C_7\V3N</v>
      </c>
      <c r="X216" s="2" t="str">
        <f t="shared" si="89"/>
        <v>EAST_MDB_7C_7\VA</v>
      </c>
      <c r="Y216" s="2" t="str">
        <f t="shared" si="89"/>
        <v>EAST_MDB_7C_7\A1</v>
      </c>
      <c r="Z216" s="2" t="str">
        <f t="shared" si="89"/>
        <v>EAST_MDB_7C_7\A2</v>
      </c>
      <c r="AA216" s="2" t="str">
        <f t="shared" si="89"/>
        <v>EAST_MDB_7C_7\A3</v>
      </c>
      <c r="AB216" s="2" t="str">
        <f t="shared" si="89"/>
        <v>EAST_MDB_7C_7\AA</v>
      </c>
      <c r="AC216" s="2" t="str">
        <f t="shared" si="89"/>
        <v>EAST_MDB_7C_7\PF</v>
      </c>
      <c r="AD216" s="2" t="str">
        <f t="shared" si="89"/>
        <v>EAST_MDB_7C_7\HZ</v>
      </c>
      <c r="AE216" s="2" t="str">
        <f t="shared" si="89"/>
        <v>EAST_MDB_7C_7\KW</v>
      </c>
      <c r="AF216" s="2" t="str">
        <f t="shared" si="89"/>
        <v>EAST_MDB_7C_7\KHh</v>
      </c>
      <c r="AG216" s="2" t="str">
        <f t="shared" si="89"/>
        <v>EAST_MDB_7C_7\VA</v>
      </c>
      <c r="AH216" s="2" t="str">
        <f t="shared" si="89"/>
        <v>EAST_MDB_7C_7\VAH</v>
      </c>
      <c r="AI216" s="2" t="str">
        <f t="shared" si="89"/>
        <v>EAST_MDB_7C_7\PEAK</v>
      </c>
      <c r="AJ216" s="2" t="str">
        <f t="shared" si="89"/>
        <v>EAST_MDB_7C_7\H_A_1</v>
      </c>
      <c r="AK216" s="2" t="str">
        <f t="shared" si="89"/>
        <v>EAST_MDB_7C_7\H_A_3</v>
      </c>
      <c r="AL216" s="2" t="str">
        <f t="shared" si="89"/>
        <v>EAST_MDB_7C_7\H_A_5</v>
      </c>
      <c r="AM216" s="2" t="str">
        <f t="shared" si="89"/>
        <v>EAST_MDB_7C_7\H_A_7</v>
      </c>
      <c r="AN216" s="2" t="str">
        <f t="shared" si="89"/>
        <v>EAST_MDB_7C_7\H_B_1</v>
      </c>
      <c r="AO216" s="2" t="str">
        <f t="shared" si="89"/>
        <v>EAST_MDB_7C_7\H_B_3</v>
      </c>
      <c r="AP216" s="2" t="str">
        <f t="shared" si="89"/>
        <v>EAST_MDB_7C_7\H_B_5</v>
      </c>
      <c r="AQ216" s="2" t="str">
        <f t="shared" si="89"/>
        <v>EAST_MDB_7C_7\H_B_7</v>
      </c>
      <c r="AR216" s="2" t="str">
        <f t="shared" si="89"/>
        <v>EAST_MDB_7C_7\H_C_1</v>
      </c>
      <c r="AS216" s="2" t="str">
        <f t="shared" si="89"/>
        <v>EAST_MDB_7C_7\H_C_3</v>
      </c>
      <c r="AT216" s="2" t="str">
        <f t="shared" si="89"/>
        <v>EAST_MDB_7C_7\H_C_5</v>
      </c>
      <c r="AU216" s="2" t="str">
        <f t="shared" si="89"/>
        <v>EAST_MDB_7C_7\H_C_7</v>
      </c>
      <c r="AV216" s="2" t="str">
        <f t="shared" si="90"/>
        <v>EAST_MDB_7C_7\PV1</v>
      </c>
      <c r="AW216" s="2" t="str">
        <f t="shared" si="90"/>
        <v>EAST_MDB_7C_7\PV2</v>
      </c>
      <c r="AX216" s="2" t="str">
        <f t="shared" si="90"/>
        <v>EAST_MDB_7C_7\PV3</v>
      </c>
      <c r="AY216" s="2" t="str">
        <f t="shared" si="90"/>
        <v>EAST_MDB_7C_7\PI1</v>
      </c>
      <c r="AZ216" s="2" t="str">
        <f t="shared" si="90"/>
        <v>EAST_MDB_7C_7\PI2</v>
      </c>
      <c r="BA216" s="2" t="str">
        <f t="shared" si="90"/>
        <v>EAST_MDB_7C_7\PI3</v>
      </c>
    </row>
    <row r="217" spans="1:53" x14ac:dyDescent="0.25">
      <c r="A217" s="3">
        <v>37</v>
      </c>
      <c r="B217" s="3" t="s">
        <v>337</v>
      </c>
      <c r="C217" s="3" t="s">
        <v>206</v>
      </c>
      <c r="D217" s="3" t="s">
        <v>334</v>
      </c>
      <c r="E217" s="4"/>
      <c r="F217" s="2" t="str">
        <f t="shared" si="88"/>
        <v>EAST_MDB_7C_8\ST</v>
      </c>
      <c r="G217" s="2" t="str">
        <f t="shared" si="88"/>
        <v>EAST_MDB_7C_8\TRIP</v>
      </c>
      <c r="H217" s="20"/>
      <c r="I217" s="20"/>
      <c r="J217" s="20"/>
      <c r="K217" s="20"/>
      <c r="L217" s="20"/>
      <c r="M217" s="20"/>
      <c r="N217" s="20"/>
      <c r="O217" s="20"/>
      <c r="P217" s="20"/>
      <c r="Q217" s="24"/>
      <c r="R217" s="2" t="str">
        <f t="shared" si="89"/>
        <v>EAST_MDB_7C_8\V12</v>
      </c>
      <c r="S217" s="2" t="str">
        <f t="shared" si="89"/>
        <v>EAST_MDB_7C_8\V23</v>
      </c>
      <c r="T217" s="2" t="str">
        <f t="shared" si="89"/>
        <v>EAST_MDB_7C_8\V31</v>
      </c>
      <c r="U217" s="2" t="str">
        <f t="shared" si="89"/>
        <v>EAST_MDB_7C_8\V1N</v>
      </c>
      <c r="V217" s="2" t="str">
        <f t="shared" si="89"/>
        <v>EAST_MDB_7C_8\V2N</v>
      </c>
      <c r="W217" s="2" t="str">
        <f t="shared" si="89"/>
        <v>EAST_MDB_7C_8\V3N</v>
      </c>
      <c r="X217" s="2" t="str">
        <f t="shared" si="89"/>
        <v>EAST_MDB_7C_8\VA</v>
      </c>
      <c r="Y217" s="2" t="str">
        <f t="shared" si="89"/>
        <v>EAST_MDB_7C_8\A1</v>
      </c>
      <c r="Z217" s="2" t="str">
        <f t="shared" si="89"/>
        <v>EAST_MDB_7C_8\A2</v>
      </c>
      <c r="AA217" s="2" t="str">
        <f t="shared" si="89"/>
        <v>EAST_MDB_7C_8\A3</v>
      </c>
      <c r="AB217" s="2" t="str">
        <f t="shared" si="89"/>
        <v>EAST_MDB_7C_8\AA</v>
      </c>
      <c r="AC217" s="2" t="str">
        <f t="shared" si="89"/>
        <v>EAST_MDB_7C_8\PF</v>
      </c>
      <c r="AD217" s="2" t="str">
        <f t="shared" si="89"/>
        <v>EAST_MDB_7C_8\HZ</v>
      </c>
      <c r="AE217" s="2" t="str">
        <f t="shared" si="89"/>
        <v>EAST_MDB_7C_8\KW</v>
      </c>
      <c r="AF217" s="2" t="str">
        <f t="shared" si="89"/>
        <v>EAST_MDB_7C_8\KHh</v>
      </c>
      <c r="AG217" s="2" t="str">
        <f t="shared" si="89"/>
        <v>EAST_MDB_7C_8\VA</v>
      </c>
      <c r="AH217" s="2" t="str">
        <f t="shared" si="89"/>
        <v>EAST_MDB_7C_8\VAH</v>
      </c>
      <c r="AI217" s="2" t="str">
        <f t="shared" si="89"/>
        <v>EAST_MDB_7C_8\PEAK</v>
      </c>
      <c r="AJ217" s="2" t="str">
        <f t="shared" si="89"/>
        <v>EAST_MDB_7C_8\H_A_1</v>
      </c>
      <c r="AK217" s="2" t="str">
        <f t="shared" si="89"/>
        <v>EAST_MDB_7C_8\H_A_3</v>
      </c>
      <c r="AL217" s="2" t="str">
        <f t="shared" si="89"/>
        <v>EAST_MDB_7C_8\H_A_5</v>
      </c>
      <c r="AM217" s="2" t="str">
        <f t="shared" si="89"/>
        <v>EAST_MDB_7C_8\H_A_7</v>
      </c>
      <c r="AN217" s="2" t="str">
        <f t="shared" si="89"/>
        <v>EAST_MDB_7C_8\H_B_1</v>
      </c>
      <c r="AO217" s="2" t="str">
        <f t="shared" si="89"/>
        <v>EAST_MDB_7C_8\H_B_3</v>
      </c>
      <c r="AP217" s="2" t="str">
        <f t="shared" si="89"/>
        <v>EAST_MDB_7C_8\H_B_5</v>
      </c>
      <c r="AQ217" s="2" t="str">
        <f t="shared" si="89"/>
        <v>EAST_MDB_7C_8\H_B_7</v>
      </c>
      <c r="AR217" s="2" t="str">
        <f t="shared" si="89"/>
        <v>EAST_MDB_7C_8\H_C_1</v>
      </c>
      <c r="AS217" s="2" t="str">
        <f t="shared" si="89"/>
        <v>EAST_MDB_7C_8\H_C_3</v>
      </c>
      <c r="AT217" s="2" t="str">
        <f t="shared" si="89"/>
        <v>EAST_MDB_7C_8\H_C_5</v>
      </c>
      <c r="AU217" s="2" t="str">
        <f t="shared" ref="AU217" si="91">$C217&amp;AU$7</f>
        <v>EAST_MDB_7C_8\H_C_7</v>
      </c>
      <c r="AV217" s="2" t="str">
        <f t="shared" si="90"/>
        <v>EAST_MDB_7C_8\PV1</v>
      </c>
      <c r="AW217" s="2" t="str">
        <f t="shared" si="90"/>
        <v>EAST_MDB_7C_8\PV2</v>
      </c>
      <c r="AX217" s="2" t="str">
        <f t="shared" si="90"/>
        <v>EAST_MDB_7C_8\PV3</v>
      </c>
      <c r="AY217" s="2" t="str">
        <f t="shared" si="90"/>
        <v>EAST_MDB_7C_8\PI1</v>
      </c>
      <c r="AZ217" s="2" t="str">
        <f t="shared" si="90"/>
        <v>EAST_MDB_7C_8\PI2</v>
      </c>
      <c r="BA217" s="2" t="str">
        <f t="shared" si="90"/>
        <v>EAST_MDB_7C_8\PI3</v>
      </c>
    </row>
    <row r="218" spans="1:53" x14ac:dyDescent="0.25">
      <c r="A218" s="3">
        <v>38</v>
      </c>
      <c r="B218" s="3" t="s">
        <v>337</v>
      </c>
      <c r="C218" s="3" t="s">
        <v>244</v>
      </c>
      <c r="D218" s="3" t="s">
        <v>323</v>
      </c>
      <c r="E218" s="4"/>
      <c r="F218" s="2"/>
      <c r="G218" s="2"/>
      <c r="H218" s="2" t="str">
        <f>$C218&amp;H$7</f>
        <v>EAST_MDB_8B\ELD</v>
      </c>
      <c r="I218" s="20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</row>
    <row r="219" spans="1:53" x14ac:dyDescent="0.25">
      <c r="A219" s="3">
        <v>39</v>
      </c>
      <c r="B219" s="3" t="s">
        <v>337</v>
      </c>
      <c r="C219" s="10" t="s">
        <v>271</v>
      </c>
      <c r="D219" s="10" t="s">
        <v>323</v>
      </c>
      <c r="E219" s="4"/>
      <c r="F219" s="2" t="str">
        <f t="shared" ref="F219:G224" si="92">$C219&amp;F$7</f>
        <v>EAST_TIE_78\ST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</row>
    <row r="220" spans="1:53" x14ac:dyDescent="0.25">
      <c r="A220" s="3">
        <v>40</v>
      </c>
      <c r="B220" s="3" t="s">
        <v>337</v>
      </c>
      <c r="C220" s="3" t="s">
        <v>207</v>
      </c>
      <c r="D220" s="3" t="s">
        <v>323</v>
      </c>
      <c r="E220" s="4"/>
      <c r="F220" s="2" t="str">
        <f t="shared" si="92"/>
        <v>EAST_MDB_8B_1\ST</v>
      </c>
      <c r="G220" s="2" t="str">
        <f t="shared" si="92"/>
        <v>EAST_MDB_8B_1\TRIP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4"/>
      <c r="R220" s="2" t="str">
        <f t="shared" ref="R220:AU224" si="93">$C220&amp;R$7</f>
        <v>EAST_MDB_8B_1\V12</v>
      </c>
      <c r="S220" s="2" t="str">
        <f t="shared" si="93"/>
        <v>EAST_MDB_8B_1\V23</v>
      </c>
      <c r="T220" s="2" t="str">
        <f t="shared" si="93"/>
        <v>EAST_MDB_8B_1\V31</v>
      </c>
      <c r="U220" s="2" t="str">
        <f t="shared" si="93"/>
        <v>EAST_MDB_8B_1\V1N</v>
      </c>
      <c r="V220" s="2" t="str">
        <f t="shared" si="93"/>
        <v>EAST_MDB_8B_1\V2N</v>
      </c>
      <c r="W220" s="2" t="str">
        <f t="shared" si="93"/>
        <v>EAST_MDB_8B_1\V3N</v>
      </c>
      <c r="X220" s="2" t="str">
        <f t="shared" si="93"/>
        <v>EAST_MDB_8B_1\VA</v>
      </c>
      <c r="Y220" s="2" t="str">
        <f t="shared" si="93"/>
        <v>EAST_MDB_8B_1\A1</v>
      </c>
      <c r="Z220" s="2" t="str">
        <f t="shared" si="93"/>
        <v>EAST_MDB_8B_1\A2</v>
      </c>
      <c r="AA220" s="2" t="str">
        <f t="shared" si="93"/>
        <v>EAST_MDB_8B_1\A3</v>
      </c>
      <c r="AB220" s="2" t="str">
        <f t="shared" si="93"/>
        <v>EAST_MDB_8B_1\AA</v>
      </c>
      <c r="AC220" s="2" t="str">
        <f t="shared" si="93"/>
        <v>EAST_MDB_8B_1\PF</v>
      </c>
      <c r="AD220" s="2" t="str">
        <f t="shared" si="93"/>
        <v>EAST_MDB_8B_1\HZ</v>
      </c>
      <c r="AE220" s="2" t="str">
        <f t="shared" si="93"/>
        <v>EAST_MDB_8B_1\KW</v>
      </c>
      <c r="AF220" s="2" t="str">
        <f t="shared" si="93"/>
        <v>EAST_MDB_8B_1\KHh</v>
      </c>
      <c r="AG220" s="2" t="str">
        <f t="shared" si="93"/>
        <v>EAST_MDB_8B_1\VA</v>
      </c>
      <c r="AH220" s="2" t="str">
        <f t="shared" si="93"/>
        <v>EAST_MDB_8B_1\VAH</v>
      </c>
      <c r="AI220" s="2" t="str">
        <f t="shared" si="93"/>
        <v>EAST_MDB_8B_1\PEAK</v>
      </c>
      <c r="AJ220" s="2" t="str">
        <f t="shared" si="93"/>
        <v>EAST_MDB_8B_1\H_A_1</v>
      </c>
      <c r="AK220" s="2" t="str">
        <f t="shared" si="93"/>
        <v>EAST_MDB_8B_1\H_A_3</v>
      </c>
      <c r="AL220" s="2" t="str">
        <f t="shared" si="93"/>
        <v>EAST_MDB_8B_1\H_A_5</v>
      </c>
      <c r="AM220" s="2" t="str">
        <f t="shared" si="93"/>
        <v>EAST_MDB_8B_1\H_A_7</v>
      </c>
      <c r="AN220" s="2" t="str">
        <f t="shared" si="93"/>
        <v>EAST_MDB_8B_1\H_B_1</v>
      </c>
      <c r="AO220" s="2" t="str">
        <f t="shared" si="93"/>
        <v>EAST_MDB_8B_1\H_B_3</v>
      </c>
      <c r="AP220" s="2" t="str">
        <f t="shared" si="93"/>
        <v>EAST_MDB_8B_1\H_B_5</v>
      </c>
      <c r="AQ220" s="2" t="str">
        <f t="shared" si="93"/>
        <v>EAST_MDB_8B_1\H_B_7</v>
      </c>
      <c r="AR220" s="2" t="str">
        <f t="shared" si="93"/>
        <v>EAST_MDB_8B_1\H_C_1</v>
      </c>
      <c r="AS220" s="2" t="str">
        <f t="shared" si="93"/>
        <v>EAST_MDB_8B_1\H_C_3</v>
      </c>
      <c r="AT220" s="2" t="str">
        <f t="shared" si="93"/>
        <v>EAST_MDB_8B_1\H_C_5</v>
      </c>
      <c r="AU220" s="2" t="str">
        <f t="shared" si="93"/>
        <v>EAST_MDB_8B_1\H_C_7</v>
      </c>
      <c r="AV220" s="2" t="str">
        <f t="shared" ref="AV220:BA224" si="94">$C220&amp;AV$7</f>
        <v>EAST_MDB_8B_1\PV1</v>
      </c>
      <c r="AW220" s="2" t="str">
        <f t="shared" si="94"/>
        <v>EAST_MDB_8B_1\PV2</v>
      </c>
      <c r="AX220" s="2" t="str">
        <f t="shared" si="94"/>
        <v>EAST_MDB_8B_1\PV3</v>
      </c>
      <c r="AY220" s="2" t="str">
        <f t="shared" si="94"/>
        <v>EAST_MDB_8B_1\PI1</v>
      </c>
      <c r="AZ220" s="2" t="str">
        <f t="shared" si="94"/>
        <v>EAST_MDB_8B_1\PI2</v>
      </c>
      <c r="BA220" s="2" t="str">
        <f t="shared" si="94"/>
        <v>EAST_MDB_8B_1\PI3</v>
      </c>
    </row>
    <row r="221" spans="1:53" x14ac:dyDescent="0.25">
      <c r="A221" s="3">
        <v>41</v>
      </c>
      <c r="B221" s="3" t="s">
        <v>337</v>
      </c>
      <c r="C221" s="3" t="s">
        <v>208</v>
      </c>
      <c r="D221" s="3" t="s">
        <v>323</v>
      </c>
      <c r="E221" s="4"/>
      <c r="F221" s="2" t="str">
        <f t="shared" si="92"/>
        <v>EAST_MDB_8B_2\ST</v>
      </c>
      <c r="G221" s="2" t="str">
        <f t="shared" si="92"/>
        <v>EAST_MDB_8B_2\TRIP</v>
      </c>
      <c r="H221" s="20"/>
      <c r="I221" s="20"/>
      <c r="J221" s="20"/>
      <c r="K221" s="20"/>
      <c r="L221" s="20"/>
      <c r="M221" s="20"/>
      <c r="N221" s="20"/>
      <c r="O221" s="20"/>
      <c r="P221" s="20"/>
      <c r="Q221" s="24"/>
      <c r="R221" s="2" t="str">
        <f t="shared" si="93"/>
        <v>EAST_MDB_8B_2\V12</v>
      </c>
      <c r="S221" s="2" t="str">
        <f t="shared" si="93"/>
        <v>EAST_MDB_8B_2\V23</v>
      </c>
      <c r="T221" s="2" t="str">
        <f t="shared" si="93"/>
        <v>EAST_MDB_8B_2\V31</v>
      </c>
      <c r="U221" s="2" t="str">
        <f t="shared" si="93"/>
        <v>EAST_MDB_8B_2\V1N</v>
      </c>
      <c r="V221" s="2" t="str">
        <f t="shared" si="93"/>
        <v>EAST_MDB_8B_2\V2N</v>
      </c>
      <c r="W221" s="2" t="str">
        <f t="shared" si="93"/>
        <v>EAST_MDB_8B_2\V3N</v>
      </c>
      <c r="X221" s="2" t="str">
        <f t="shared" si="93"/>
        <v>EAST_MDB_8B_2\VA</v>
      </c>
      <c r="Y221" s="2" t="str">
        <f t="shared" si="93"/>
        <v>EAST_MDB_8B_2\A1</v>
      </c>
      <c r="Z221" s="2" t="str">
        <f t="shared" si="93"/>
        <v>EAST_MDB_8B_2\A2</v>
      </c>
      <c r="AA221" s="2" t="str">
        <f t="shared" si="93"/>
        <v>EAST_MDB_8B_2\A3</v>
      </c>
      <c r="AB221" s="2" t="str">
        <f t="shared" si="93"/>
        <v>EAST_MDB_8B_2\AA</v>
      </c>
      <c r="AC221" s="2" t="str">
        <f t="shared" si="93"/>
        <v>EAST_MDB_8B_2\PF</v>
      </c>
      <c r="AD221" s="2" t="str">
        <f t="shared" si="93"/>
        <v>EAST_MDB_8B_2\HZ</v>
      </c>
      <c r="AE221" s="2" t="str">
        <f t="shared" si="93"/>
        <v>EAST_MDB_8B_2\KW</v>
      </c>
      <c r="AF221" s="2" t="str">
        <f t="shared" si="93"/>
        <v>EAST_MDB_8B_2\KHh</v>
      </c>
      <c r="AG221" s="2" t="str">
        <f t="shared" si="93"/>
        <v>EAST_MDB_8B_2\VA</v>
      </c>
      <c r="AH221" s="2" t="str">
        <f t="shared" si="93"/>
        <v>EAST_MDB_8B_2\VAH</v>
      </c>
      <c r="AI221" s="2" t="str">
        <f t="shared" si="93"/>
        <v>EAST_MDB_8B_2\PEAK</v>
      </c>
      <c r="AJ221" s="2" t="str">
        <f t="shared" si="93"/>
        <v>EAST_MDB_8B_2\H_A_1</v>
      </c>
      <c r="AK221" s="2" t="str">
        <f t="shared" si="93"/>
        <v>EAST_MDB_8B_2\H_A_3</v>
      </c>
      <c r="AL221" s="2" t="str">
        <f t="shared" si="93"/>
        <v>EAST_MDB_8B_2\H_A_5</v>
      </c>
      <c r="AM221" s="2" t="str">
        <f t="shared" si="93"/>
        <v>EAST_MDB_8B_2\H_A_7</v>
      </c>
      <c r="AN221" s="2" t="str">
        <f t="shared" si="93"/>
        <v>EAST_MDB_8B_2\H_B_1</v>
      </c>
      <c r="AO221" s="2" t="str">
        <f t="shared" si="93"/>
        <v>EAST_MDB_8B_2\H_B_3</v>
      </c>
      <c r="AP221" s="2" t="str">
        <f t="shared" si="93"/>
        <v>EAST_MDB_8B_2\H_B_5</v>
      </c>
      <c r="AQ221" s="2" t="str">
        <f t="shared" si="93"/>
        <v>EAST_MDB_8B_2\H_B_7</v>
      </c>
      <c r="AR221" s="2" t="str">
        <f t="shared" si="93"/>
        <v>EAST_MDB_8B_2\H_C_1</v>
      </c>
      <c r="AS221" s="2" t="str">
        <f t="shared" si="93"/>
        <v>EAST_MDB_8B_2\H_C_3</v>
      </c>
      <c r="AT221" s="2" t="str">
        <f t="shared" si="93"/>
        <v>EAST_MDB_8B_2\H_C_5</v>
      </c>
      <c r="AU221" s="2" t="str">
        <f t="shared" si="93"/>
        <v>EAST_MDB_8B_2\H_C_7</v>
      </c>
      <c r="AV221" s="2" t="str">
        <f t="shared" si="94"/>
        <v>EAST_MDB_8B_2\PV1</v>
      </c>
      <c r="AW221" s="2" t="str">
        <f t="shared" si="94"/>
        <v>EAST_MDB_8B_2\PV2</v>
      </c>
      <c r="AX221" s="2" t="str">
        <f t="shared" si="94"/>
        <v>EAST_MDB_8B_2\PV3</v>
      </c>
      <c r="AY221" s="2" t="str">
        <f t="shared" si="94"/>
        <v>EAST_MDB_8B_2\PI1</v>
      </c>
      <c r="AZ221" s="2" t="str">
        <f t="shared" si="94"/>
        <v>EAST_MDB_8B_2\PI2</v>
      </c>
      <c r="BA221" s="2" t="str">
        <f t="shared" si="94"/>
        <v>EAST_MDB_8B_2\PI3</v>
      </c>
    </row>
    <row r="222" spans="1:53" x14ac:dyDescent="0.25">
      <c r="A222" s="3">
        <v>42</v>
      </c>
      <c r="B222" s="3" t="s">
        <v>337</v>
      </c>
      <c r="C222" s="3" t="s">
        <v>209</v>
      </c>
      <c r="D222" s="3" t="s">
        <v>323</v>
      </c>
      <c r="E222" s="4"/>
      <c r="F222" s="2" t="str">
        <f t="shared" si="92"/>
        <v>EAST_MDB_8B_3\ST</v>
      </c>
      <c r="G222" s="2" t="str">
        <f t="shared" si="92"/>
        <v>EAST_MDB_8B_3\TRIP</v>
      </c>
      <c r="H222" s="20"/>
      <c r="I222" s="20"/>
      <c r="J222" s="20"/>
      <c r="K222" s="20"/>
      <c r="L222" s="20"/>
      <c r="M222" s="20"/>
      <c r="N222" s="20"/>
      <c r="O222" s="20"/>
      <c r="P222" s="20"/>
      <c r="Q222" s="24"/>
      <c r="R222" s="2" t="str">
        <f t="shared" si="93"/>
        <v>EAST_MDB_8B_3\V12</v>
      </c>
      <c r="S222" s="2" t="str">
        <f t="shared" si="93"/>
        <v>EAST_MDB_8B_3\V23</v>
      </c>
      <c r="T222" s="2" t="str">
        <f t="shared" si="93"/>
        <v>EAST_MDB_8B_3\V31</v>
      </c>
      <c r="U222" s="2" t="str">
        <f t="shared" si="93"/>
        <v>EAST_MDB_8B_3\V1N</v>
      </c>
      <c r="V222" s="2" t="str">
        <f t="shared" si="93"/>
        <v>EAST_MDB_8B_3\V2N</v>
      </c>
      <c r="W222" s="2" t="str">
        <f t="shared" si="93"/>
        <v>EAST_MDB_8B_3\V3N</v>
      </c>
      <c r="X222" s="2" t="str">
        <f t="shared" si="93"/>
        <v>EAST_MDB_8B_3\VA</v>
      </c>
      <c r="Y222" s="2" t="str">
        <f t="shared" si="93"/>
        <v>EAST_MDB_8B_3\A1</v>
      </c>
      <c r="Z222" s="2" t="str">
        <f t="shared" si="93"/>
        <v>EAST_MDB_8B_3\A2</v>
      </c>
      <c r="AA222" s="2" t="str">
        <f t="shared" si="93"/>
        <v>EAST_MDB_8B_3\A3</v>
      </c>
      <c r="AB222" s="2" t="str">
        <f t="shared" si="93"/>
        <v>EAST_MDB_8B_3\AA</v>
      </c>
      <c r="AC222" s="2" t="str">
        <f t="shared" si="93"/>
        <v>EAST_MDB_8B_3\PF</v>
      </c>
      <c r="AD222" s="2" t="str">
        <f t="shared" si="93"/>
        <v>EAST_MDB_8B_3\HZ</v>
      </c>
      <c r="AE222" s="2" t="str">
        <f t="shared" si="93"/>
        <v>EAST_MDB_8B_3\KW</v>
      </c>
      <c r="AF222" s="2" t="str">
        <f t="shared" si="93"/>
        <v>EAST_MDB_8B_3\KHh</v>
      </c>
      <c r="AG222" s="2" t="str">
        <f t="shared" si="93"/>
        <v>EAST_MDB_8B_3\VA</v>
      </c>
      <c r="AH222" s="2" t="str">
        <f t="shared" si="93"/>
        <v>EAST_MDB_8B_3\VAH</v>
      </c>
      <c r="AI222" s="2" t="str">
        <f t="shared" si="93"/>
        <v>EAST_MDB_8B_3\PEAK</v>
      </c>
      <c r="AJ222" s="2" t="str">
        <f t="shared" si="93"/>
        <v>EAST_MDB_8B_3\H_A_1</v>
      </c>
      <c r="AK222" s="2" t="str">
        <f t="shared" si="93"/>
        <v>EAST_MDB_8B_3\H_A_3</v>
      </c>
      <c r="AL222" s="2" t="str">
        <f t="shared" si="93"/>
        <v>EAST_MDB_8B_3\H_A_5</v>
      </c>
      <c r="AM222" s="2" t="str">
        <f t="shared" si="93"/>
        <v>EAST_MDB_8B_3\H_A_7</v>
      </c>
      <c r="AN222" s="2" t="str">
        <f t="shared" si="93"/>
        <v>EAST_MDB_8B_3\H_B_1</v>
      </c>
      <c r="AO222" s="2" t="str">
        <f t="shared" si="93"/>
        <v>EAST_MDB_8B_3\H_B_3</v>
      </c>
      <c r="AP222" s="2" t="str">
        <f t="shared" si="93"/>
        <v>EAST_MDB_8B_3\H_B_5</v>
      </c>
      <c r="AQ222" s="2" t="str">
        <f t="shared" si="93"/>
        <v>EAST_MDB_8B_3\H_B_7</v>
      </c>
      <c r="AR222" s="2" t="str">
        <f t="shared" si="93"/>
        <v>EAST_MDB_8B_3\H_C_1</v>
      </c>
      <c r="AS222" s="2" t="str">
        <f t="shared" si="93"/>
        <v>EAST_MDB_8B_3\H_C_3</v>
      </c>
      <c r="AT222" s="2" t="str">
        <f t="shared" si="93"/>
        <v>EAST_MDB_8B_3\H_C_5</v>
      </c>
      <c r="AU222" s="2" t="str">
        <f t="shared" si="93"/>
        <v>EAST_MDB_8B_3\H_C_7</v>
      </c>
      <c r="AV222" s="2" t="str">
        <f t="shared" si="94"/>
        <v>EAST_MDB_8B_3\PV1</v>
      </c>
      <c r="AW222" s="2" t="str">
        <f t="shared" si="94"/>
        <v>EAST_MDB_8B_3\PV2</v>
      </c>
      <c r="AX222" s="2" t="str">
        <f t="shared" si="94"/>
        <v>EAST_MDB_8B_3\PV3</v>
      </c>
      <c r="AY222" s="2" t="str">
        <f t="shared" si="94"/>
        <v>EAST_MDB_8B_3\PI1</v>
      </c>
      <c r="AZ222" s="2" t="str">
        <f t="shared" si="94"/>
        <v>EAST_MDB_8B_3\PI2</v>
      </c>
      <c r="BA222" s="2" t="str">
        <f t="shared" si="94"/>
        <v>EAST_MDB_8B_3\PI3</v>
      </c>
    </row>
    <row r="223" spans="1:53" x14ac:dyDescent="0.25">
      <c r="A223" s="3">
        <v>43</v>
      </c>
      <c r="B223" s="3" t="s">
        <v>337</v>
      </c>
      <c r="C223" s="3" t="s">
        <v>210</v>
      </c>
      <c r="D223" s="3" t="s">
        <v>323</v>
      </c>
      <c r="E223" s="4"/>
      <c r="F223" s="2" t="str">
        <f t="shared" si="92"/>
        <v>EAST_MDB_8B_4\ST</v>
      </c>
      <c r="G223" s="2" t="str">
        <f t="shared" si="92"/>
        <v>EAST_MDB_8B_4\TRIP</v>
      </c>
      <c r="H223" s="20"/>
      <c r="I223" s="20"/>
      <c r="J223" s="20"/>
      <c r="K223" s="20"/>
      <c r="L223" s="20"/>
      <c r="M223" s="20"/>
      <c r="N223" s="20"/>
      <c r="O223" s="20"/>
      <c r="P223" s="20"/>
      <c r="Q223" s="24"/>
      <c r="R223" s="2" t="str">
        <f t="shared" si="93"/>
        <v>EAST_MDB_8B_4\V12</v>
      </c>
      <c r="S223" s="2" t="str">
        <f t="shared" si="93"/>
        <v>EAST_MDB_8B_4\V23</v>
      </c>
      <c r="T223" s="2" t="str">
        <f t="shared" si="93"/>
        <v>EAST_MDB_8B_4\V31</v>
      </c>
      <c r="U223" s="2" t="str">
        <f t="shared" si="93"/>
        <v>EAST_MDB_8B_4\V1N</v>
      </c>
      <c r="V223" s="2" t="str">
        <f t="shared" si="93"/>
        <v>EAST_MDB_8B_4\V2N</v>
      </c>
      <c r="W223" s="2" t="str">
        <f t="shared" si="93"/>
        <v>EAST_MDB_8B_4\V3N</v>
      </c>
      <c r="X223" s="2" t="str">
        <f t="shared" si="93"/>
        <v>EAST_MDB_8B_4\VA</v>
      </c>
      <c r="Y223" s="2" t="str">
        <f t="shared" si="93"/>
        <v>EAST_MDB_8B_4\A1</v>
      </c>
      <c r="Z223" s="2" t="str">
        <f t="shared" si="93"/>
        <v>EAST_MDB_8B_4\A2</v>
      </c>
      <c r="AA223" s="2" t="str">
        <f t="shared" si="93"/>
        <v>EAST_MDB_8B_4\A3</v>
      </c>
      <c r="AB223" s="2" t="str">
        <f t="shared" si="93"/>
        <v>EAST_MDB_8B_4\AA</v>
      </c>
      <c r="AC223" s="2" t="str">
        <f t="shared" si="93"/>
        <v>EAST_MDB_8B_4\PF</v>
      </c>
      <c r="AD223" s="2" t="str">
        <f t="shared" si="93"/>
        <v>EAST_MDB_8B_4\HZ</v>
      </c>
      <c r="AE223" s="2" t="str">
        <f t="shared" si="93"/>
        <v>EAST_MDB_8B_4\KW</v>
      </c>
      <c r="AF223" s="2" t="str">
        <f t="shared" si="93"/>
        <v>EAST_MDB_8B_4\KHh</v>
      </c>
      <c r="AG223" s="2" t="str">
        <f t="shared" si="93"/>
        <v>EAST_MDB_8B_4\VA</v>
      </c>
      <c r="AH223" s="2" t="str">
        <f t="shared" si="93"/>
        <v>EAST_MDB_8B_4\VAH</v>
      </c>
      <c r="AI223" s="2" t="str">
        <f t="shared" si="93"/>
        <v>EAST_MDB_8B_4\PEAK</v>
      </c>
      <c r="AJ223" s="2" t="str">
        <f t="shared" si="93"/>
        <v>EAST_MDB_8B_4\H_A_1</v>
      </c>
      <c r="AK223" s="2" t="str">
        <f t="shared" si="93"/>
        <v>EAST_MDB_8B_4\H_A_3</v>
      </c>
      <c r="AL223" s="2" t="str">
        <f t="shared" si="93"/>
        <v>EAST_MDB_8B_4\H_A_5</v>
      </c>
      <c r="AM223" s="2" t="str">
        <f t="shared" si="93"/>
        <v>EAST_MDB_8B_4\H_A_7</v>
      </c>
      <c r="AN223" s="2" t="str">
        <f t="shared" si="93"/>
        <v>EAST_MDB_8B_4\H_B_1</v>
      </c>
      <c r="AO223" s="2" t="str">
        <f t="shared" si="93"/>
        <v>EAST_MDB_8B_4\H_B_3</v>
      </c>
      <c r="AP223" s="2" t="str">
        <f t="shared" si="93"/>
        <v>EAST_MDB_8B_4\H_B_5</v>
      </c>
      <c r="AQ223" s="2" t="str">
        <f t="shared" si="93"/>
        <v>EAST_MDB_8B_4\H_B_7</v>
      </c>
      <c r="AR223" s="2" t="str">
        <f t="shared" si="93"/>
        <v>EAST_MDB_8B_4\H_C_1</v>
      </c>
      <c r="AS223" s="2" t="str">
        <f t="shared" si="93"/>
        <v>EAST_MDB_8B_4\H_C_3</v>
      </c>
      <c r="AT223" s="2" t="str">
        <f t="shared" si="93"/>
        <v>EAST_MDB_8B_4\H_C_5</v>
      </c>
      <c r="AU223" s="2" t="str">
        <f t="shared" si="93"/>
        <v>EAST_MDB_8B_4\H_C_7</v>
      </c>
      <c r="AV223" s="2" t="str">
        <f t="shared" si="94"/>
        <v>EAST_MDB_8B_4\PV1</v>
      </c>
      <c r="AW223" s="2" t="str">
        <f t="shared" si="94"/>
        <v>EAST_MDB_8B_4\PV2</v>
      </c>
      <c r="AX223" s="2" t="str">
        <f t="shared" si="94"/>
        <v>EAST_MDB_8B_4\PV3</v>
      </c>
      <c r="AY223" s="2" t="str">
        <f t="shared" si="94"/>
        <v>EAST_MDB_8B_4\PI1</v>
      </c>
      <c r="AZ223" s="2" t="str">
        <f t="shared" si="94"/>
        <v>EAST_MDB_8B_4\PI2</v>
      </c>
      <c r="BA223" s="2" t="str">
        <f t="shared" si="94"/>
        <v>EAST_MDB_8B_4\PI3</v>
      </c>
    </row>
    <row r="224" spans="1:53" x14ac:dyDescent="0.25">
      <c r="A224" s="3">
        <v>44</v>
      </c>
      <c r="B224" s="3" t="s">
        <v>337</v>
      </c>
      <c r="C224" s="3" t="s">
        <v>211</v>
      </c>
      <c r="D224" s="3" t="s">
        <v>323</v>
      </c>
      <c r="E224" s="4"/>
      <c r="F224" s="2" t="str">
        <f t="shared" si="92"/>
        <v>EAST_MDB_8B_5\ST</v>
      </c>
      <c r="G224" s="2" t="str">
        <f t="shared" si="92"/>
        <v>EAST_MDB_8B_5\TRIP</v>
      </c>
      <c r="H224" s="20"/>
      <c r="I224" s="20"/>
      <c r="J224" s="20"/>
      <c r="K224" s="20"/>
      <c r="L224" s="20"/>
      <c r="M224" s="20"/>
      <c r="N224" s="20"/>
      <c r="O224" s="20"/>
      <c r="P224" s="20"/>
      <c r="Q224" s="24"/>
      <c r="R224" s="2" t="str">
        <f t="shared" si="93"/>
        <v>EAST_MDB_8B_5\V12</v>
      </c>
      <c r="S224" s="2" t="str">
        <f t="shared" si="93"/>
        <v>EAST_MDB_8B_5\V23</v>
      </c>
      <c r="T224" s="2" t="str">
        <f t="shared" si="93"/>
        <v>EAST_MDB_8B_5\V31</v>
      </c>
      <c r="U224" s="2" t="str">
        <f t="shared" si="93"/>
        <v>EAST_MDB_8B_5\V1N</v>
      </c>
      <c r="V224" s="2" t="str">
        <f t="shared" si="93"/>
        <v>EAST_MDB_8B_5\V2N</v>
      </c>
      <c r="W224" s="2" t="str">
        <f t="shared" si="93"/>
        <v>EAST_MDB_8B_5\V3N</v>
      </c>
      <c r="X224" s="2" t="str">
        <f t="shared" si="93"/>
        <v>EAST_MDB_8B_5\VA</v>
      </c>
      <c r="Y224" s="2" t="str">
        <f t="shared" si="93"/>
        <v>EAST_MDB_8B_5\A1</v>
      </c>
      <c r="Z224" s="2" t="str">
        <f t="shared" si="93"/>
        <v>EAST_MDB_8B_5\A2</v>
      </c>
      <c r="AA224" s="2" t="str">
        <f t="shared" si="93"/>
        <v>EAST_MDB_8B_5\A3</v>
      </c>
      <c r="AB224" s="2" t="str">
        <f t="shared" si="93"/>
        <v>EAST_MDB_8B_5\AA</v>
      </c>
      <c r="AC224" s="2" t="str">
        <f t="shared" si="93"/>
        <v>EAST_MDB_8B_5\PF</v>
      </c>
      <c r="AD224" s="2" t="str">
        <f t="shared" si="93"/>
        <v>EAST_MDB_8B_5\HZ</v>
      </c>
      <c r="AE224" s="2" t="str">
        <f t="shared" si="93"/>
        <v>EAST_MDB_8B_5\KW</v>
      </c>
      <c r="AF224" s="2" t="str">
        <f t="shared" si="93"/>
        <v>EAST_MDB_8B_5\KHh</v>
      </c>
      <c r="AG224" s="2" t="str">
        <f t="shared" si="93"/>
        <v>EAST_MDB_8B_5\VA</v>
      </c>
      <c r="AH224" s="2" t="str">
        <f t="shared" si="93"/>
        <v>EAST_MDB_8B_5\VAH</v>
      </c>
      <c r="AI224" s="2" t="str">
        <f t="shared" si="93"/>
        <v>EAST_MDB_8B_5\PEAK</v>
      </c>
      <c r="AJ224" s="2" t="str">
        <f t="shared" si="93"/>
        <v>EAST_MDB_8B_5\H_A_1</v>
      </c>
      <c r="AK224" s="2" t="str">
        <f t="shared" si="93"/>
        <v>EAST_MDB_8B_5\H_A_3</v>
      </c>
      <c r="AL224" s="2" t="str">
        <f t="shared" si="93"/>
        <v>EAST_MDB_8B_5\H_A_5</v>
      </c>
      <c r="AM224" s="2" t="str">
        <f t="shared" si="93"/>
        <v>EAST_MDB_8B_5\H_A_7</v>
      </c>
      <c r="AN224" s="2" t="str">
        <f t="shared" si="93"/>
        <v>EAST_MDB_8B_5\H_B_1</v>
      </c>
      <c r="AO224" s="2" t="str">
        <f t="shared" si="93"/>
        <v>EAST_MDB_8B_5\H_B_3</v>
      </c>
      <c r="AP224" s="2" t="str">
        <f t="shared" si="93"/>
        <v>EAST_MDB_8B_5\H_B_5</v>
      </c>
      <c r="AQ224" s="2" t="str">
        <f t="shared" si="93"/>
        <v>EAST_MDB_8B_5\H_B_7</v>
      </c>
      <c r="AR224" s="2" t="str">
        <f t="shared" si="93"/>
        <v>EAST_MDB_8B_5\H_C_1</v>
      </c>
      <c r="AS224" s="2" t="str">
        <f t="shared" si="93"/>
        <v>EAST_MDB_8B_5\H_C_3</v>
      </c>
      <c r="AT224" s="2" t="str">
        <f t="shared" si="93"/>
        <v>EAST_MDB_8B_5\H_C_5</v>
      </c>
      <c r="AU224" s="2" t="str">
        <f t="shared" si="93"/>
        <v>EAST_MDB_8B_5\H_C_7</v>
      </c>
      <c r="AV224" s="2" t="str">
        <f t="shared" si="94"/>
        <v>EAST_MDB_8B_5\PV1</v>
      </c>
      <c r="AW224" s="2" t="str">
        <f t="shared" si="94"/>
        <v>EAST_MDB_8B_5\PV2</v>
      </c>
      <c r="AX224" s="2" t="str">
        <f t="shared" si="94"/>
        <v>EAST_MDB_8B_5\PV3</v>
      </c>
      <c r="AY224" s="2" t="str">
        <f t="shared" si="94"/>
        <v>EAST_MDB_8B_5\PI1</v>
      </c>
      <c r="AZ224" s="2" t="str">
        <f t="shared" si="94"/>
        <v>EAST_MDB_8B_5\PI2</v>
      </c>
      <c r="BA224" s="2" t="str">
        <f t="shared" si="94"/>
        <v>EAST_MDB_8B_5\PI3</v>
      </c>
    </row>
    <row r="225" spans="1:53" x14ac:dyDescent="0.25">
      <c r="A225" s="3">
        <v>45</v>
      </c>
      <c r="B225" s="3" t="s">
        <v>337</v>
      </c>
      <c r="C225" s="3" t="s">
        <v>342</v>
      </c>
      <c r="D225" s="3" t="s">
        <v>299</v>
      </c>
      <c r="E225" s="4"/>
      <c r="F225" s="20"/>
      <c r="G225" s="20"/>
      <c r="H225" s="2" t="str">
        <f>$C225&amp;H$7</f>
        <v>EAST_AVR2\ELD</v>
      </c>
      <c r="I225" s="20"/>
      <c r="J225" s="20"/>
      <c r="K225" s="20"/>
      <c r="L225" s="20"/>
      <c r="M225" s="20"/>
      <c r="N225" s="20"/>
      <c r="O225" s="20"/>
      <c r="P225" s="20"/>
      <c r="Q225" s="24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</row>
    <row r="226" spans="1:53" x14ac:dyDescent="0.25">
      <c r="A226" s="3">
        <v>46</v>
      </c>
      <c r="B226" s="3" t="s">
        <v>337</v>
      </c>
      <c r="C226" s="3" t="s">
        <v>212</v>
      </c>
      <c r="D226" s="3" t="s">
        <v>299</v>
      </c>
      <c r="E226" s="4"/>
      <c r="F226" s="2" t="str">
        <f t="shared" ref="F226:G232" si="95">$C226&amp;F$7</f>
        <v>EAST_AVR2_1\ST</v>
      </c>
      <c r="G226" s="2" t="str">
        <f t="shared" si="95"/>
        <v>EAST_AVR2_1\TRIP</v>
      </c>
      <c r="H226" s="20"/>
      <c r="I226" s="20"/>
      <c r="J226" s="20"/>
      <c r="K226" s="20"/>
      <c r="L226" s="20"/>
      <c r="M226" s="20"/>
      <c r="N226" s="20"/>
      <c r="O226" s="20"/>
      <c r="P226" s="20"/>
      <c r="Q226" s="24"/>
      <c r="R226" s="2" t="str">
        <f t="shared" ref="R226:AU232" si="96">$C226&amp;R$7</f>
        <v>EAST_AVR2_1\V12</v>
      </c>
      <c r="S226" s="2" t="str">
        <f t="shared" si="96"/>
        <v>EAST_AVR2_1\V23</v>
      </c>
      <c r="T226" s="2" t="str">
        <f t="shared" si="96"/>
        <v>EAST_AVR2_1\V31</v>
      </c>
      <c r="U226" s="2" t="str">
        <f t="shared" si="96"/>
        <v>EAST_AVR2_1\V1N</v>
      </c>
      <c r="V226" s="2" t="str">
        <f t="shared" si="96"/>
        <v>EAST_AVR2_1\V2N</v>
      </c>
      <c r="W226" s="2" t="str">
        <f t="shared" si="96"/>
        <v>EAST_AVR2_1\V3N</v>
      </c>
      <c r="X226" s="2" t="str">
        <f t="shared" si="96"/>
        <v>EAST_AVR2_1\VA</v>
      </c>
      <c r="Y226" s="2" t="str">
        <f t="shared" si="96"/>
        <v>EAST_AVR2_1\A1</v>
      </c>
      <c r="Z226" s="2" t="str">
        <f t="shared" si="96"/>
        <v>EAST_AVR2_1\A2</v>
      </c>
      <c r="AA226" s="2" t="str">
        <f t="shared" si="96"/>
        <v>EAST_AVR2_1\A3</v>
      </c>
      <c r="AB226" s="2" t="str">
        <f t="shared" si="96"/>
        <v>EAST_AVR2_1\AA</v>
      </c>
      <c r="AC226" s="2" t="str">
        <f t="shared" si="96"/>
        <v>EAST_AVR2_1\PF</v>
      </c>
      <c r="AD226" s="2" t="str">
        <f t="shared" si="96"/>
        <v>EAST_AVR2_1\HZ</v>
      </c>
      <c r="AE226" s="2" t="str">
        <f t="shared" si="96"/>
        <v>EAST_AVR2_1\KW</v>
      </c>
      <c r="AF226" s="2" t="str">
        <f t="shared" si="96"/>
        <v>EAST_AVR2_1\KHh</v>
      </c>
      <c r="AG226" s="2" t="str">
        <f t="shared" si="96"/>
        <v>EAST_AVR2_1\VA</v>
      </c>
      <c r="AH226" s="2" t="str">
        <f t="shared" si="96"/>
        <v>EAST_AVR2_1\VAH</v>
      </c>
      <c r="AI226" s="2" t="str">
        <f t="shared" si="96"/>
        <v>EAST_AVR2_1\PEAK</v>
      </c>
      <c r="AJ226" s="2" t="str">
        <f t="shared" si="96"/>
        <v>EAST_AVR2_1\H_A_1</v>
      </c>
      <c r="AK226" s="2" t="str">
        <f t="shared" si="96"/>
        <v>EAST_AVR2_1\H_A_3</v>
      </c>
      <c r="AL226" s="2" t="str">
        <f t="shared" si="96"/>
        <v>EAST_AVR2_1\H_A_5</v>
      </c>
      <c r="AM226" s="2" t="str">
        <f t="shared" si="96"/>
        <v>EAST_AVR2_1\H_A_7</v>
      </c>
      <c r="AN226" s="2" t="str">
        <f t="shared" si="96"/>
        <v>EAST_AVR2_1\H_B_1</v>
      </c>
      <c r="AO226" s="2" t="str">
        <f t="shared" si="96"/>
        <v>EAST_AVR2_1\H_B_3</v>
      </c>
      <c r="AP226" s="2" t="str">
        <f t="shared" si="96"/>
        <v>EAST_AVR2_1\H_B_5</v>
      </c>
      <c r="AQ226" s="2" t="str">
        <f t="shared" si="96"/>
        <v>EAST_AVR2_1\H_B_7</v>
      </c>
      <c r="AR226" s="2" t="str">
        <f t="shared" si="96"/>
        <v>EAST_AVR2_1\H_C_1</v>
      </c>
      <c r="AS226" s="2" t="str">
        <f t="shared" si="96"/>
        <v>EAST_AVR2_1\H_C_3</v>
      </c>
      <c r="AT226" s="2" t="str">
        <f t="shared" si="96"/>
        <v>EAST_AVR2_1\H_C_5</v>
      </c>
      <c r="AU226" s="2" t="str">
        <f t="shared" si="96"/>
        <v>EAST_AVR2_1\H_C_7</v>
      </c>
      <c r="AV226" s="2" t="str">
        <f t="shared" ref="AV226:BA232" si="97">$C226&amp;AV$7</f>
        <v>EAST_AVR2_1\PV1</v>
      </c>
      <c r="AW226" s="2" t="str">
        <f t="shared" si="97"/>
        <v>EAST_AVR2_1\PV2</v>
      </c>
      <c r="AX226" s="2" t="str">
        <f t="shared" si="97"/>
        <v>EAST_AVR2_1\PV3</v>
      </c>
      <c r="AY226" s="2" t="str">
        <f t="shared" si="97"/>
        <v>EAST_AVR2_1\PI1</v>
      </c>
      <c r="AZ226" s="2" t="str">
        <f t="shared" si="97"/>
        <v>EAST_AVR2_1\PI2</v>
      </c>
      <c r="BA226" s="2" t="str">
        <f t="shared" si="97"/>
        <v>EAST_AVR2_1\PI3</v>
      </c>
    </row>
    <row r="227" spans="1:53" x14ac:dyDescent="0.25">
      <c r="A227" s="3">
        <v>47</v>
      </c>
      <c r="B227" s="3" t="s">
        <v>337</v>
      </c>
      <c r="C227" s="3" t="s">
        <v>213</v>
      </c>
      <c r="D227" s="3" t="s">
        <v>299</v>
      </c>
      <c r="E227" s="4"/>
      <c r="F227" s="2" t="str">
        <f t="shared" si="95"/>
        <v>EAST_AVR2_2\ST</v>
      </c>
      <c r="G227" s="2" t="str">
        <f t="shared" si="95"/>
        <v>EAST_AVR2_2\TRIP</v>
      </c>
      <c r="H227" s="20"/>
      <c r="I227" s="20"/>
      <c r="J227" s="20"/>
      <c r="K227" s="20"/>
      <c r="L227" s="20"/>
      <c r="M227" s="20"/>
      <c r="N227" s="20"/>
      <c r="O227" s="20"/>
      <c r="P227" s="20"/>
      <c r="Q227" s="24"/>
      <c r="R227" s="2" t="str">
        <f t="shared" si="96"/>
        <v>EAST_AVR2_2\V12</v>
      </c>
      <c r="S227" s="2" t="str">
        <f t="shared" si="96"/>
        <v>EAST_AVR2_2\V23</v>
      </c>
      <c r="T227" s="2" t="str">
        <f t="shared" si="96"/>
        <v>EAST_AVR2_2\V31</v>
      </c>
      <c r="U227" s="2" t="str">
        <f t="shared" si="96"/>
        <v>EAST_AVR2_2\V1N</v>
      </c>
      <c r="V227" s="2" t="str">
        <f t="shared" si="96"/>
        <v>EAST_AVR2_2\V2N</v>
      </c>
      <c r="W227" s="2" t="str">
        <f t="shared" si="96"/>
        <v>EAST_AVR2_2\V3N</v>
      </c>
      <c r="X227" s="2" t="str">
        <f t="shared" si="96"/>
        <v>EAST_AVR2_2\VA</v>
      </c>
      <c r="Y227" s="2" t="str">
        <f t="shared" si="96"/>
        <v>EAST_AVR2_2\A1</v>
      </c>
      <c r="Z227" s="2" t="str">
        <f t="shared" si="96"/>
        <v>EAST_AVR2_2\A2</v>
      </c>
      <c r="AA227" s="2" t="str">
        <f t="shared" si="96"/>
        <v>EAST_AVR2_2\A3</v>
      </c>
      <c r="AB227" s="2" t="str">
        <f t="shared" si="96"/>
        <v>EAST_AVR2_2\AA</v>
      </c>
      <c r="AC227" s="2" t="str">
        <f t="shared" si="96"/>
        <v>EAST_AVR2_2\PF</v>
      </c>
      <c r="AD227" s="2" t="str">
        <f t="shared" si="96"/>
        <v>EAST_AVR2_2\HZ</v>
      </c>
      <c r="AE227" s="2" t="str">
        <f t="shared" si="96"/>
        <v>EAST_AVR2_2\KW</v>
      </c>
      <c r="AF227" s="2" t="str">
        <f t="shared" si="96"/>
        <v>EAST_AVR2_2\KHh</v>
      </c>
      <c r="AG227" s="2" t="str">
        <f t="shared" si="96"/>
        <v>EAST_AVR2_2\VA</v>
      </c>
      <c r="AH227" s="2" t="str">
        <f t="shared" si="96"/>
        <v>EAST_AVR2_2\VAH</v>
      </c>
      <c r="AI227" s="2" t="str">
        <f t="shared" si="96"/>
        <v>EAST_AVR2_2\PEAK</v>
      </c>
      <c r="AJ227" s="2" t="str">
        <f t="shared" si="96"/>
        <v>EAST_AVR2_2\H_A_1</v>
      </c>
      <c r="AK227" s="2" t="str">
        <f t="shared" si="96"/>
        <v>EAST_AVR2_2\H_A_3</v>
      </c>
      <c r="AL227" s="2" t="str">
        <f t="shared" si="96"/>
        <v>EAST_AVR2_2\H_A_5</v>
      </c>
      <c r="AM227" s="2" t="str">
        <f t="shared" si="96"/>
        <v>EAST_AVR2_2\H_A_7</v>
      </c>
      <c r="AN227" s="2" t="str">
        <f t="shared" si="96"/>
        <v>EAST_AVR2_2\H_B_1</v>
      </c>
      <c r="AO227" s="2" t="str">
        <f t="shared" si="96"/>
        <v>EAST_AVR2_2\H_B_3</v>
      </c>
      <c r="AP227" s="2" t="str">
        <f t="shared" si="96"/>
        <v>EAST_AVR2_2\H_B_5</v>
      </c>
      <c r="AQ227" s="2" t="str">
        <f t="shared" si="96"/>
        <v>EAST_AVR2_2\H_B_7</v>
      </c>
      <c r="AR227" s="2" t="str">
        <f t="shared" si="96"/>
        <v>EAST_AVR2_2\H_C_1</v>
      </c>
      <c r="AS227" s="2" t="str">
        <f t="shared" si="96"/>
        <v>EAST_AVR2_2\H_C_3</v>
      </c>
      <c r="AT227" s="2" t="str">
        <f t="shared" si="96"/>
        <v>EAST_AVR2_2\H_C_5</v>
      </c>
      <c r="AU227" s="2" t="str">
        <f t="shared" si="96"/>
        <v>EAST_AVR2_2\H_C_7</v>
      </c>
      <c r="AV227" s="2" t="str">
        <f t="shared" si="97"/>
        <v>EAST_AVR2_2\PV1</v>
      </c>
      <c r="AW227" s="2" t="str">
        <f t="shared" si="97"/>
        <v>EAST_AVR2_2\PV2</v>
      </c>
      <c r="AX227" s="2" t="str">
        <f t="shared" si="97"/>
        <v>EAST_AVR2_2\PV3</v>
      </c>
      <c r="AY227" s="2" t="str">
        <f t="shared" si="97"/>
        <v>EAST_AVR2_2\PI1</v>
      </c>
      <c r="AZ227" s="2" t="str">
        <f t="shared" si="97"/>
        <v>EAST_AVR2_2\PI2</v>
      </c>
      <c r="BA227" s="2" t="str">
        <f t="shared" si="97"/>
        <v>EAST_AVR2_2\PI3</v>
      </c>
    </row>
    <row r="228" spans="1:53" x14ac:dyDescent="0.25">
      <c r="A228" s="3">
        <v>48</v>
      </c>
      <c r="B228" s="3" t="s">
        <v>337</v>
      </c>
      <c r="C228" s="3" t="s">
        <v>214</v>
      </c>
      <c r="D228" s="3" t="s">
        <v>299</v>
      </c>
      <c r="E228" s="4"/>
      <c r="F228" s="2" t="str">
        <f t="shared" si="95"/>
        <v>EAST_AVR2_3\ST</v>
      </c>
      <c r="G228" s="2" t="str">
        <f t="shared" si="95"/>
        <v>EAST_AVR2_3\TRIP</v>
      </c>
      <c r="H228" s="20"/>
      <c r="I228" s="20"/>
      <c r="J228" s="20"/>
      <c r="K228" s="20"/>
      <c r="L228" s="20"/>
      <c r="M228" s="20"/>
      <c r="N228" s="20"/>
      <c r="O228" s="20"/>
      <c r="P228" s="20"/>
      <c r="Q228" s="24"/>
      <c r="R228" s="2" t="str">
        <f t="shared" si="96"/>
        <v>EAST_AVR2_3\V12</v>
      </c>
      <c r="S228" s="2" t="str">
        <f t="shared" si="96"/>
        <v>EAST_AVR2_3\V23</v>
      </c>
      <c r="T228" s="2" t="str">
        <f t="shared" si="96"/>
        <v>EAST_AVR2_3\V31</v>
      </c>
      <c r="U228" s="2" t="str">
        <f t="shared" si="96"/>
        <v>EAST_AVR2_3\V1N</v>
      </c>
      <c r="V228" s="2" t="str">
        <f t="shared" si="96"/>
        <v>EAST_AVR2_3\V2N</v>
      </c>
      <c r="W228" s="2" t="str">
        <f t="shared" si="96"/>
        <v>EAST_AVR2_3\V3N</v>
      </c>
      <c r="X228" s="2" t="str">
        <f t="shared" si="96"/>
        <v>EAST_AVR2_3\VA</v>
      </c>
      <c r="Y228" s="2" t="str">
        <f t="shared" si="96"/>
        <v>EAST_AVR2_3\A1</v>
      </c>
      <c r="Z228" s="2" t="str">
        <f t="shared" si="96"/>
        <v>EAST_AVR2_3\A2</v>
      </c>
      <c r="AA228" s="2" t="str">
        <f t="shared" si="96"/>
        <v>EAST_AVR2_3\A3</v>
      </c>
      <c r="AB228" s="2" t="str">
        <f t="shared" si="96"/>
        <v>EAST_AVR2_3\AA</v>
      </c>
      <c r="AC228" s="2" t="str">
        <f t="shared" si="96"/>
        <v>EAST_AVR2_3\PF</v>
      </c>
      <c r="AD228" s="2" t="str">
        <f t="shared" si="96"/>
        <v>EAST_AVR2_3\HZ</v>
      </c>
      <c r="AE228" s="2" t="str">
        <f t="shared" si="96"/>
        <v>EAST_AVR2_3\KW</v>
      </c>
      <c r="AF228" s="2" t="str">
        <f t="shared" si="96"/>
        <v>EAST_AVR2_3\KHh</v>
      </c>
      <c r="AG228" s="2" t="str">
        <f t="shared" si="96"/>
        <v>EAST_AVR2_3\VA</v>
      </c>
      <c r="AH228" s="2" t="str">
        <f t="shared" si="96"/>
        <v>EAST_AVR2_3\VAH</v>
      </c>
      <c r="AI228" s="2" t="str">
        <f t="shared" si="96"/>
        <v>EAST_AVR2_3\PEAK</v>
      </c>
      <c r="AJ228" s="2" t="str">
        <f t="shared" si="96"/>
        <v>EAST_AVR2_3\H_A_1</v>
      </c>
      <c r="AK228" s="2" t="str">
        <f t="shared" si="96"/>
        <v>EAST_AVR2_3\H_A_3</v>
      </c>
      <c r="AL228" s="2" t="str">
        <f t="shared" si="96"/>
        <v>EAST_AVR2_3\H_A_5</v>
      </c>
      <c r="AM228" s="2" t="str">
        <f t="shared" si="96"/>
        <v>EAST_AVR2_3\H_A_7</v>
      </c>
      <c r="AN228" s="2" t="str">
        <f t="shared" si="96"/>
        <v>EAST_AVR2_3\H_B_1</v>
      </c>
      <c r="AO228" s="2" t="str">
        <f t="shared" si="96"/>
        <v>EAST_AVR2_3\H_B_3</v>
      </c>
      <c r="AP228" s="2" t="str">
        <f t="shared" si="96"/>
        <v>EAST_AVR2_3\H_B_5</v>
      </c>
      <c r="AQ228" s="2" t="str">
        <f t="shared" si="96"/>
        <v>EAST_AVR2_3\H_B_7</v>
      </c>
      <c r="AR228" s="2" t="str">
        <f t="shared" si="96"/>
        <v>EAST_AVR2_3\H_C_1</v>
      </c>
      <c r="AS228" s="2" t="str">
        <f t="shared" si="96"/>
        <v>EAST_AVR2_3\H_C_3</v>
      </c>
      <c r="AT228" s="2" t="str">
        <f t="shared" si="96"/>
        <v>EAST_AVR2_3\H_C_5</v>
      </c>
      <c r="AU228" s="2" t="str">
        <f t="shared" si="96"/>
        <v>EAST_AVR2_3\H_C_7</v>
      </c>
      <c r="AV228" s="2" t="str">
        <f t="shared" si="97"/>
        <v>EAST_AVR2_3\PV1</v>
      </c>
      <c r="AW228" s="2" t="str">
        <f t="shared" si="97"/>
        <v>EAST_AVR2_3\PV2</v>
      </c>
      <c r="AX228" s="2" t="str">
        <f t="shared" si="97"/>
        <v>EAST_AVR2_3\PV3</v>
      </c>
      <c r="AY228" s="2" t="str">
        <f t="shared" si="97"/>
        <v>EAST_AVR2_3\PI1</v>
      </c>
      <c r="AZ228" s="2" t="str">
        <f t="shared" si="97"/>
        <v>EAST_AVR2_3\PI2</v>
      </c>
      <c r="BA228" s="2" t="str">
        <f t="shared" si="97"/>
        <v>EAST_AVR2_3\PI3</v>
      </c>
    </row>
    <row r="229" spans="1:53" x14ac:dyDescent="0.25">
      <c r="A229" s="3">
        <v>49</v>
      </c>
      <c r="B229" s="3" t="s">
        <v>337</v>
      </c>
      <c r="C229" s="3" t="s">
        <v>215</v>
      </c>
      <c r="D229" s="3" t="s">
        <v>299</v>
      </c>
      <c r="E229" s="4"/>
      <c r="F229" s="2" t="str">
        <f t="shared" si="95"/>
        <v>EAST_AVR2_4\ST</v>
      </c>
      <c r="G229" s="2" t="str">
        <f t="shared" si="95"/>
        <v>EAST_AVR2_4\TRIP</v>
      </c>
      <c r="H229" s="20"/>
      <c r="I229" s="20"/>
      <c r="J229" s="20"/>
      <c r="K229" s="20"/>
      <c r="L229" s="20"/>
      <c r="M229" s="20"/>
      <c r="N229" s="20"/>
      <c r="O229" s="20"/>
      <c r="P229" s="20"/>
      <c r="Q229" s="24"/>
      <c r="R229" s="2" t="str">
        <f t="shared" si="96"/>
        <v>EAST_AVR2_4\V12</v>
      </c>
      <c r="S229" s="2" t="str">
        <f t="shared" si="96"/>
        <v>EAST_AVR2_4\V23</v>
      </c>
      <c r="T229" s="2" t="str">
        <f t="shared" si="96"/>
        <v>EAST_AVR2_4\V31</v>
      </c>
      <c r="U229" s="2" t="str">
        <f t="shared" si="96"/>
        <v>EAST_AVR2_4\V1N</v>
      </c>
      <c r="V229" s="2" t="str">
        <f t="shared" si="96"/>
        <v>EAST_AVR2_4\V2N</v>
      </c>
      <c r="W229" s="2" t="str">
        <f t="shared" si="96"/>
        <v>EAST_AVR2_4\V3N</v>
      </c>
      <c r="X229" s="2" t="str">
        <f t="shared" si="96"/>
        <v>EAST_AVR2_4\VA</v>
      </c>
      <c r="Y229" s="2" t="str">
        <f t="shared" si="96"/>
        <v>EAST_AVR2_4\A1</v>
      </c>
      <c r="Z229" s="2" t="str">
        <f t="shared" si="96"/>
        <v>EAST_AVR2_4\A2</v>
      </c>
      <c r="AA229" s="2" t="str">
        <f t="shared" si="96"/>
        <v>EAST_AVR2_4\A3</v>
      </c>
      <c r="AB229" s="2" t="str">
        <f t="shared" si="96"/>
        <v>EAST_AVR2_4\AA</v>
      </c>
      <c r="AC229" s="2" t="str">
        <f t="shared" si="96"/>
        <v>EAST_AVR2_4\PF</v>
      </c>
      <c r="AD229" s="2" t="str">
        <f t="shared" si="96"/>
        <v>EAST_AVR2_4\HZ</v>
      </c>
      <c r="AE229" s="2" t="str">
        <f t="shared" si="96"/>
        <v>EAST_AVR2_4\KW</v>
      </c>
      <c r="AF229" s="2" t="str">
        <f t="shared" si="96"/>
        <v>EAST_AVR2_4\KHh</v>
      </c>
      <c r="AG229" s="2" t="str">
        <f t="shared" si="96"/>
        <v>EAST_AVR2_4\VA</v>
      </c>
      <c r="AH229" s="2" t="str">
        <f t="shared" si="96"/>
        <v>EAST_AVR2_4\VAH</v>
      </c>
      <c r="AI229" s="2" t="str">
        <f t="shared" si="96"/>
        <v>EAST_AVR2_4\PEAK</v>
      </c>
      <c r="AJ229" s="2" t="str">
        <f t="shared" si="96"/>
        <v>EAST_AVR2_4\H_A_1</v>
      </c>
      <c r="AK229" s="2" t="str">
        <f t="shared" si="96"/>
        <v>EAST_AVR2_4\H_A_3</v>
      </c>
      <c r="AL229" s="2" t="str">
        <f t="shared" si="96"/>
        <v>EAST_AVR2_4\H_A_5</v>
      </c>
      <c r="AM229" s="2" t="str">
        <f t="shared" si="96"/>
        <v>EAST_AVR2_4\H_A_7</v>
      </c>
      <c r="AN229" s="2" t="str">
        <f t="shared" si="96"/>
        <v>EAST_AVR2_4\H_B_1</v>
      </c>
      <c r="AO229" s="2" t="str">
        <f t="shared" si="96"/>
        <v>EAST_AVR2_4\H_B_3</v>
      </c>
      <c r="AP229" s="2" t="str">
        <f t="shared" si="96"/>
        <v>EAST_AVR2_4\H_B_5</v>
      </c>
      <c r="AQ229" s="2" t="str">
        <f t="shared" si="96"/>
        <v>EAST_AVR2_4\H_B_7</v>
      </c>
      <c r="AR229" s="2" t="str">
        <f t="shared" si="96"/>
        <v>EAST_AVR2_4\H_C_1</v>
      </c>
      <c r="AS229" s="2" t="str">
        <f t="shared" si="96"/>
        <v>EAST_AVR2_4\H_C_3</v>
      </c>
      <c r="AT229" s="2" t="str">
        <f t="shared" si="96"/>
        <v>EAST_AVR2_4\H_C_5</v>
      </c>
      <c r="AU229" s="2" t="str">
        <f t="shared" si="96"/>
        <v>EAST_AVR2_4\H_C_7</v>
      </c>
      <c r="AV229" s="2" t="str">
        <f t="shared" si="97"/>
        <v>EAST_AVR2_4\PV1</v>
      </c>
      <c r="AW229" s="2" t="str">
        <f t="shared" si="97"/>
        <v>EAST_AVR2_4\PV2</v>
      </c>
      <c r="AX229" s="2" t="str">
        <f t="shared" si="97"/>
        <v>EAST_AVR2_4\PV3</v>
      </c>
      <c r="AY229" s="2" t="str">
        <f t="shared" si="97"/>
        <v>EAST_AVR2_4\PI1</v>
      </c>
      <c r="AZ229" s="2" t="str">
        <f t="shared" si="97"/>
        <v>EAST_AVR2_4\PI2</v>
      </c>
      <c r="BA229" s="2" t="str">
        <f t="shared" si="97"/>
        <v>EAST_AVR2_4\PI3</v>
      </c>
    </row>
    <row r="230" spans="1:53" x14ac:dyDescent="0.25">
      <c r="A230" s="3">
        <v>50</v>
      </c>
      <c r="B230" s="3" t="s">
        <v>337</v>
      </c>
      <c r="C230" s="3" t="s">
        <v>216</v>
      </c>
      <c r="D230" s="3" t="s">
        <v>299</v>
      </c>
      <c r="E230" s="4"/>
      <c r="F230" s="2" t="str">
        <f t="shared" si="95"/>
        <v>EAST_AVR2_5\ST</v>
      </c>
      <c r="G230" s="2" t="str">
        <f t="shared" si="95"/>
        <v>EAST_AVR2_5\TRIP</v>
      </c>
      <c r="H230" s="20"/>
      <c r="I230" s="20"/>
      <c r="J230" s="20"/>
      <c r="K230" s="20"/>
      <c r="L230" s="20"/>
      <c r="M230" s="20"/>
      <c r="N230" s="20"/>
      <c r="O230" s="20"/>
      <c r="P230" s="20"/>
      <c r="Q230" s="24"/>
      <c r="R230" s="2" t="str">
        <f t="shared" si="96"/>
        <v>EAST_AVR2_5\V12</v>
      </c>
      <c r="S230" s="2" t="str">
        <f t="shared" si="96"/>
        <v>EAST_AVR2_5\V23</v>
      </c>
      <c r="T230" s="2" t="str">
        <f t="shared" si="96"/>
        <v>EAST_AVR2_5\V31</v>
      </c>
      <c r="U230" s="2" t="str">
        <f t="shared" si="96"/>
        <v>EAST_AVR2_5\V1N</v>
      </c>
      <c r="V230" s="2" t="str">
        <f t="shared" si="96"/>
        <v>EAST_AVR2_5\V2N</v>
      </c>
      <c r="W230" s="2" t="str">
        <f t="shared" si="96"/>
        <v>EAST_AVR2_5\V3N</v>
      </c>
      <c r="X230" s="2" t="str">
        <f t="shared" si="96"/>
        <v>EAST_AVR2_5\VA</v>
      </c>
      <c r="Y230" s="2" t="str">
        <f t="shared" si="96"/>
        <v>EAST_AVR2_5\A1</v>
      </c>
      <c r="Z230" s="2" t="str">
        <f t="shared" si="96"/>
        <v>EAST_AVR2_5\A2</v>
      </c>
      <c r="AA230" s="2" t="str">
        <f t="shared" si="96"/>
        <v>EAST_AVR2_5\A3</v>
      </c>
      <c r="AB230" s="2" t="str">
        <f t="shared" si="96"/>
        <v>EAST_AVR2_5\AA</v>
      </c>
      <c r="AC230" s="2" t="str">
        <f t="shared" si="96"/>
        <v>EAST_AVR2_5\PF</v>
      </c>
      <c r="AD230" s="2" t="str">
        <f t="shared" si="96"/>
        <v>EAST_AVR2_5\HZ</v>
      </c>
      <c r="AE230" s="2" t="str">
        <f t="shared" si="96"/>
        <v>EAST_AVR2_5\KW</v>
      </c>
      <c r="AF230" s="2" t="str">
        <f t="shared" si="96"/>
        <v>EAST_AVR2_5\KHh</v>
      </c>
      <c r="AG230" s="2" t="str">
        <f t="shared" si="96"/>
        <v>EAST_AVR2_5\VA</v>
      </c>
      <c r="AH230" s="2" t="str">
        <f t="shared" si="96"/>
        <v>EAST_AVR2_5\VAH</v>
      </c>
      <c r="AI230" s="2" t="str">
        <f t="shared" si="96"/>
        <v>EAST_AVR2_5\PEAK</v>
      </c>
      <c r="AJ230" s="2" t="str">
        <f t="shared" si="96"/>
        <v>EAST_AVR2_5\H_A_1</v>
      </c>
      <c r="AK230" s="2" t="str">
        <f t="shared" si="96"/>
        <v>EAST_AVR2_5\H_A_3</v>
      </c>
      <c r="AL230" s="2" t="str">
        <f t="shared" si="96"/>
        <v>EAST_AVR2_5\H_A_5</v>
      </c>
      <c r="AM230" s="2" t="str">
        <f t="shared" si="96"/>
        <v>EAST_AVR2_5\H_A_7</v>
      </c>
      <c r="AN230" s="2" t="str">
        <f t="shared" si="96"/>
        <v>EAST_AVR2_5\H_B_1</v>
      </c>
      <c r="AO230" s="2" t="str">
        <f t="shared" si="96"/>
        <v>EAST_AVR2_5\H_B_3</v>
      </c>
      <c r="AP230" s="2" t="str">
        <f t="shared" si="96"/>
        <v>EAST_AVR2_5\H_B_5</v>
      </c>
      <c r="AQ230" s="2" t="str">
        <f t="shared" si="96"/>
        <v>EAST_AVR2_5\H_B_7</v>
      </c>
      <c r="AR230" s="2" t="str">
        <f t="shared" si="96"/>
        <v>EAST_AVR2_5\H_C_1</v>
      </c>
      <c r="AS230" s="2" t="str">
        <f t="shared" si="96"/>
        <v>EAST_AVR2_5\H_C_3</v>
      </c>
      <c r="AT230" s="2" t="str">
        <f t="shared" si="96"/>
        <v>EAST_AVR2_5\H_C_5</v>
      </c>
      <c r="AU230" s="2" t="str">
        <f t="shared" si="96"/>
        <v>EAST_AVR2_5\H_C_7</v>
      </c>
      <c r="AV230" s="2" t="str">
        <f t="shared" si="97"/>
        <v>EAST_AVR2_5\PV1</v>
      </c>
      <c r="AW230" s="2" t="str">
        <f t="shared" si="97"/>
        <v>EAST_AVR2_5\PV2</v>
      </c>
      <c r="AX230" s="2" t="str">
        <f t="shared" si="97"/>
        <v>EAST_AVR2_5\PV3</v>
      </c>
      <c r="AY230" s="2" t="str">
        <f t="shared" si="97"/>
        <v>EAST_AVR2_5\PI1</v>
      </c>
      <c r="AZ230" s="2" t="str">
        <f t="shared" si="97"/>
        <v>EAST_AVR2_5\PI2</v>
      </c>
      <c r="BA230" s="2" t="str">
        <f t="shared" si="97"/>
        <v>EAST_AVR2_5\PI3</v>
      </c>
    </row>
    <row r="231" spans="1:53" x14ac:dyDescent="0.25">
      <c r="A231" s="3">
        <v>51</v>
      </c>
      <c r="B231" s="3" t="s">
        <v>337</v>
      </c>
      <c r="C231" s="3" t="s">
        <v>217</v>
      </c>
      <c r="D231" s="3" t="s">
        <v>299</v>
      </c>
      <c r="E231" s="4"/>
      <c r="F231" s="2" t="str">
        <f t="shared" si="95"/>
        <v>EAST_AVR2_6\ST</v>
      </c>
      <c r="G231" s="2" t="str">
        <f t="shared" si="95"/>
        <v>EAST_AVR2_6\TRIP</v>
      </c>
      <c r="H231" s="20"/>
      <c r="I231" s="20"/>
      <c r="J231" s="20"/>
      <c r="K231" s="20"/>
      <c r="L231" s="20"/>
      <c r="M231" s="20"/>
      <c r="N231" s="20"/>
      <c r="O231" s="20"/>
      <c r="P231" s="20"/>
      <c r="Q231" s="24"/>
      <c r="R231" s="2" t="str">
        <f t="shared" si="96"/>
        <v>EAST_AVR2_6\V12</v>
      </c>
      <c r="S231" s="2" t="str">
        <f t="shared" si="96"/>
        <v>EAST_AVR2_6\V23</v>
      </c>
      <c r="T231" s="2" t="str">
        <f t="shared" si="96"/>
        <v>EAST_AVR2_6\V31</v>
      </c>
      <c r="U231" s="2" t="str">
        <f t="shared" si="96"/>
        <v>EAST_AVR2_6\V1N</v>
      </c>
      <c r="V231" s="2" t="str">
        <f t="shared" si="96"/>
        <v>EAST_AVR2_6\V2N</v>
      </c>
      <c r="W231" s="2" t="str">
        <f t="shared" si="96"/>
        <v>EAST_AVR2_6\V3N</v>
      </c>
      <c r="X231" s="2" t="str">
        <f t="shared" si="96"/>
        <v>EAST_AVR2_6\VA</v>
      </c>
      <c r="Y231" s="2" t="str">
        <f t="shared" si="96"/>
        <v>EAST_AVR2_6\A1</v>
      </c>
      <c r="Z231" s="2" t="str">
        <f t="shared" si="96"/>
        <v>EAST_AVR2_6\A2</v>
      </c>
      <c r="AA231" s="2" t="str">
        <f t="shared" si="96"/>
        <v>EAST_AVR2_6\A3</v>
      </c>
      <c r="AB231" s="2" t="str">
        <f t="shared" si="96"/>
        <v>EAST_AVR2_6\AA</v>
      </c>
      <c r="AC231" s="2" t="str">
        <f t="shared" si="96"/>
        <v>EAST_AVR2_6\PF</v>
      </c>
      <c r="AD231" s="2" t="str">
        <f t="shared" si="96"/>
        <v>EAST_AVR2_6\HZ</v>
      </c>
      <c r="AE231" s="2" t="str">
        <f t="shared" si="96"/>
        <v>EAST_AVR2_6\KW</v>
      </c>
      <c r="AF231" s="2" t="str">
        <f t="shared" si="96"/>
        <v>EAST_AVR2_6\KHh</v>
      </c>
      <c r="AG231" s="2" t="str">
        <f t="shared" si="96"/>
        <v>EAST_AVR2_6\VA</v>
      </c>
      <c r="AH231" s="2" t="str">
        <f t="shared" si="96"/>
        <v>EAST_AVR2_6\VAH</v>
      </c>
      <c r="AI231" s="2" t="str">
        <f t="shared" si="96"/>
        <v>EAST_AVR2_6\PEAK</v>
      </c>
      <c r="AJ231" s="2" t="str">
        <f t="shared" si="96"/>
        <v>EAST_AVR2_6\H_A_1</v>
      </c>
      <c r="AK231" s="2" t="str">
        <f t="shared" si="96"/>
        <v>EAST_AVR2_6\H_A_3</v>
      </c>
      <c r="AL231" s="2" t="str">
        <f t="shared" si="96"/>
        <v>EAST_AVR2_6\H_A_5</v>
      </c>
      <c r="AM231" s="2" t="str">
        <f t="shared" si="96"/>
        <v>EAST_AVR2_6\H_A_7</v>
      </c>
      <c r="AN231" s="2" t="str">
        <f t="shared" si="96"/>
        <v>EAST_AVR2_6\H_B_1</v>
      </c>
      <c r="AO231" s="2" t="str">
        <f t="shared" si="96"/>
        <v>EAST_AVR2_6\H_B_3</v>
      </c>
      <c r="AP231" s="2" t="str">
        <f t="shared" si="96"/>
        <v>EAST_AVR2_6\H_B_5</v>
      </c>
      <c r="AQ231" s="2" t="str">
        <f t="shared" si="96"/>
        <v>EAST_AVR2_6\H_B_7</v>
      </c>
      <c r="AR231" s="2" t="str">
        <f t="shared" si="96"/>
        <v>EAST_AVR2_6\H_C_1</v>
      </c>
      <c r="AS231" s="2" t="str">
        <f t="shared" si="96"/>
        <v>EAST_AVR2_6\H_C_3</v>
      </c>
      <c r="AT231" s="2" t="str">
        <f t="shared" si="96"/>
        <v>EAST_AVR2_6\H_C_5</v>
      </c>
      <c r="AU231" s="2" t="str">
        <f t="shared" si="96"/>
        <v>EAST_AVR2_6\H_C_7</v>
      </c>
      <c r="AV231" s="2" t="str">
        <f t="shared" si="97"/>
        <v>EAST_AVR2_6\PV1</v>
      </c>
      <c r="AW231" s="2" t="str">
        <f t="shared" si="97"/>
        <v>EAST_AVR2_6\PV2</v>
      </c>
      <c r="AX231" s="2" t="str">
        <f t="shared" si="97"/>
        <v>EAST_AVR2_6\PV3</v>
      </c>
      <c r="AY231" s="2" t="str">
        <f t="shared" si="97"/>
        <v>EAST_AVR2_6\PI1</v>
      </c>
      <c r="AZ231" s="2" t="str">
        <f t="shared" si="97"/>
        <v>EAST_AVR2_6\PI2</v>
      </c>
      <c r="BA231" s="2" t="str">
        <f t="shared" si="97"/>
        <v>EAST_AVR2_6\PI3</v>
      </c>
    </row>
    <row r="232" spans="1:53" x14ac:dyDescent="0.25">
      <c r="A232" s="3">
        <v>52</v>
      </c>
      <c r="B232" s="3" t="s">
        <v>337</v>
      </c>
      <c r="C232" s="3" t="s">
        <v>218</v>
      </c>
      <c r="D232" s="3" t="s">
        <v>299</v>
      </c>
      <c r="E232" s="4"/>
      <c r="F232" s="2" t="str">
        <f t="shared" si="95"/>
        <v>EAST_AVR2_7\ST</v>
      </c>
      <c r="G232" s="2" t="str">
        <f t="shared" si="95"/>
        <v>EAST_AVR2_7\TRIP</v>
      </c>
      <c r="H232" s="20"/>
      <c r="I232" s="20"/>
      <c r="J232" s="20"/>
      <c r="K232" s="20"/>
      <c r="L232" s="20"/>
      <c r="M232" s="20"/>
      <c r="N232" s="20"/>
      <c r="O232" s="20"/>
      <c r="P232" s="20"/>
      <c r="Q232" s="24"/>
      <c r="R232" s="2" t="str">
        <f t="shared" si="96"/>
        <v>EAST_AVR2_7\V12</v>
      </c>
      <c r="S232" s="2" t="str">
        <f t="shared" si="96"/>
        <v>EAST_AVR2_7\V23</v>
      </c>
      <c r="T232" s="2" t="str">
        <f t="shared" si="96"/>
        <v>EAST_AVR2_7\V31</v>
      </c>
      <c r="U232" s="2" t="str">
        <f t="shared" si="96"/>
        <v>EAST_AVR2_7\V1N</v>
      </c>
      <c r="V232" s="2" t="str">
        <f t="shared" si="96"/>
        <v>EAST_AVR2_7\V2N</v>
      </c>
      <c r="W232" s="2" t="str">
        <f t="shared" si="96"/>
        <v>EAST_AVR2_7\V3N</v>
      </c>
      <c r="X232" s="2" t="str">
        <f t="shared" si="96"/>
        <v>EAST_AVR2_7\VA</v>
      </c>
      <c r="Y232" s="2" t="str">
        <f t="shared" si="96"/>
        <v>EAST_AVR2_7\A1</v>
      </c>
      <c r="Z232" s="2" t="str">
        <f t="shared" si="96"/>
        <v>EAST_AVR2_7\A2</v>
      </c>
      <c r="AA232" s="2" t="str">
        <f t="shared" si="96"/>
        <v>EAST_AVR2_7\A3</v>
      </c>
      <c r="AB232" s="2" t="str">
        <f t="shared" si="96"/>
        <v>EAST_AVR2_7\AA</v>
      </c>
      <c r="AC232" s="2" t="str">
        <f t="shared" si="96"/>
        <v>EAST_AVR2_7\PF</v>
      </c>
      <c r="AD232" s="2" t="str">
        <f t="shared" si="96"/>
        <v>EAST_AVR2_7\HZ</v>
      </c>
      <c r="AE232" s="2" t="str">
        <f t="shared" si="96"/>
        <v>EAST_AVR2_7\KW</v>
      </c>
      <c r="AF232" s="2" t="str">
        <f t="shared" si="96"/>
        <v>EAST_AVR2_7\KHh</v>
      </c>
      <c r="AG232" s="2" t="str">
        <f t="shared" si="96"/>
        <v>EAST_AVR2_7\VA</v>
      </c>
      <c r="AH232" s="2" t="str">
        <f t="shared" si="96"/>
        <v>EAST_AVR2_7\VAH</v>
      </c>
      <c r="AI232" s="2" t="str">
        <f t="shared" si="96"/>
        <v>EAST_AVR2_7\PEAK</v>
      </c>
      <c r="AJ232" s="2" t="str">
        <f t="shared" si="96"/>
        <v>EAST_AVR2_7\H_A_1</v>
      </c>
      <c r="AK232" s="2" t="str">
        <f t="shared" si="96"/>
        <v>EAST_AVR2_7\H_A_3</v>
      </c>
      <c r="AL232" s="2" t="str">
        <f t="shared" si="96"/>
        <v>EAST_AVR2_7\H_A_5</v>
      </c>
      <c r="AM232" s="2" t="str">
        <f t="shared" si="96"/>
        <v>EAST_AVR2_7\H_A_7</v>
      </c>
      <c r="AN232" s="2" t="str">
        <f t="shared" si="96"/>
        <v>EAST_AVR2_7\H_B_1</v>
      </c>
      <c r="AO232" s="2" t="str">
        <f t="shared" si="96"/>
        <v>EAST_AVR2_7\H_B_3</v>
      </c>
      <c r="AP232" s="2" t="str">
        <f t="shared" si="96"/>
        <v>EAST_AVR2_7\H_B_5</v>
      </c>
      <c r="AQ232" s="2" t="str">
        <f t="shared" si="96"/>
        <v>EAST_AVR2_7\H_B_7</v>
      </c>
      <c r="AR232" s="2" t="str">
        <f t="shared" si="96"/>
        <v>EAST_AVR2_7\H_C_1</v>
      </c>
      <c r="AS232" s="2" t="str">
        <f t="shared" si="96"/>
        <v>EAST_AVR2_7\H_C_3</v>
      </c>
      <c r="AT232" s="2" t="str">
        <f t="shared" si="96"/>
        <v>EAST_AVR2_7\H_C_5</v>
      </c>
      <c r="AU232" s="2" t="str">
        <f t="shared" si="96"/>
        <v>EAST_AVR2_7\H_C_7</v>
      </c>
      <c r="AV232" s="2" t="str">
        <f t="shared" si="97"/>
        <v>EAST_AVR2_7\PV1</v>
      </c>
      <c r="AW232" s="2" t="str">
        <f t="shared" si="97"/>
        <v>EAST_AVR2_7\PV2</v>
      </c>
      <c r="AX232" s="2" t="str">
        <f t="shared" si="97"/>
        <v>EAST_AVR2_7\PV3</v>
      </c>
      <c r="AY232" s="2" t="str">
        <f t="shared" si="97"/>
        <v>EAST_AVR2_7\PI1</v>
      </c>
      <c r="AZ232" s="2" t="str">
        <f t="shared" si="97"/>
        <v>EAST_AVR2_7\PI2</v>
      </c>
      <c r="BA232" s="2" t="str">
        <f t="shared" si="97"/>
        <v>EAST_AVR2_7\PI3</v>
      </c>
    </row>
  </sheetData>
  <autoFilter ref="A7:BA232" xr:uid="{5F757495-DBE8-4716-A180-77350591F858}"/>
  <mergeCells count="32">
    <mergeCell ref="P5:P6"/>
    <mergeCell ref="AY4:BA4"/>
    <mergeCell ref="AV4:AX4"/>
    <mergeCell ref="AJ4:AM4"/>
    <mergeCell ref="AN4:AQ4"/>
    <mergeCell ref="AR4:AU4"/>
    <mergeCell ref="F5:F6"/>
    <mergeCell ref="G5:G6"/>
    <mergeCell ref="H5:H6"/>
    <mergeCell ref="I5:I6"/>
    <mergeCell ref="J5:J6"/>
    <mergeCell ref="K5:K6"/>
    <mergeCell ref="AF4:AF5"/>
    <mergeCell ref="AG4:AG5"/>
    <mergeCell ref="AH4:AH5"/>
    <mergeCell ref="AI4:AI5"/>
    <mergeCell ref="Q4:Q7"/>
    <mergeCell ref="R4:X4"/>
    <mergeCell ref="Y4:AB4"/>
    <mergeCell ref="AC4:AC5"/>
    <mergeCell ref="AD4:AD5"/>
    <mergeCell ref="AE4:AE5"/>
    <mergeCell ref="F4:P4"/>
    <mergeCell ref="L5:L6"/>
    <mergeCell ref="M5:M6"/>
    <mergeCell ref="N5:N6"/>
    <mergeCell ref="O5:O6"/>
    <mergeCell ref="A4:A7"/>
    <mergeCell ref="B4:B7"/>
    <mergeCell ref="C4:C7"/>
    <mergeCell ref="D4:D7"/>
    <mergeCell ref="E4:E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6270-F3DF-4109-8D73-4EF175F83EDB}">
  <dimension ref="B2:G55"/>
  <sheetViews>
    <sheetView zoomScale="120" zoomScaleNormal="120" workbookViewId="0">
      <selection activeCell="F14" sqref="F14:F37"/>
    </sheetView>
  </sheetViews>
  <sheetFormatPr defaultRowHeight="13.5" x14ac:dyDescent="0.25"/>
  <cols>
    <col min="2" max="2" width="11.28515625" bestFit="1" customWidth="1"/>
    <col min="5" max="5" width="19.7109375" bestFit="1" customWidth="1"/>
    <col min="6" max="6" width="23.7109375" bestFit="1" customWidth="1"/>
    <col min="7" max="7" width="63.85546875" customWidth="1"/>
  </cols>
  <sheetData>
    <row r="2" spans="2:7" x14ac:dyDescent="0.25">
      <c r="B2" s="48" t="s">
        <v>0</v>
      </c>
      <c r="C2" s="48"/>
      <c r="D2" s="48"/>
      <c r="E2" s="3" t="s">
        <v>421</v>
      </c>
      <c r="F2" s="3" t="s">
        <v>440</v>
      </c>
      <c r="G2" s="3" t="s">
        <v>422</v>
      </c>
    </row>
    <row r="3" spans="2:7" x14ac:dyDescent="0.25">
      <c r="B3" s="40" t="s">
        <v>220</v>
      </c>
      <c r="C3" s="40" t="s">
        <v>15</v>
      </c>
      <c r="D3" s="40"/>
      <c r="E3" s="4" t="s">
        <v>23</v>
      </c>
      <c r="F3" s="40" t="s">
        <v>465</v>
      </c>
      <c r="G3" s="54" t="s">
        <v>466</v>
      </c>
    </row>
    <row r="4" spans="2:7" x14ac:dyDescent="0.25">
      <c r="B4" s="40"/>
      <c r="C4" s="40" t="s">
        <v>221</v>
      </c>
      <c r="D4" s="40"/>
      <c r="E4" s="4" t="s">
        <v>222</v>
      </c>
      <c r="F4" s="40"/>
      <c r="G4" s="55"/>
    </row>
    <row r="5" spans="2:7" x14ac:dyDescent="0.25">
      <c r="B5" s="40"/>
      <c r="C5" s="40" t="s">
        <v>223</v>
      </c>
      <c r="D5" s="40"/>
      <c r="E5" s="4" t="s">
        <v>224</v>
      </c>
      <c r="F5" s="40"/>
      <c r="G5" s="55"/>
    </row>
    <row r="6" spans="2:7" x14ac:dyDescent="0.25">
      <c r="B6" s="40"/>
      <c r="C6" s="40" t="s">
        <v>338</v>
      </c>
      <c r="D6" s="40"/>
      <c r="E6" s="4" t="s">
        <v>339</v>
      </c>
      <c r="F6" s="40"/>
      <c r="G6" s="55"/>
    </row>
    <row r="7" spans="2:7" x14ac:dyDescent="0.25">
      <c r="B7" s="40"/>
      <c r="C7" s="40" t="s">
        <v>17</v>
      </c>
      <c r="D7" s="40"/>
      <c r="E7" s="4" t="s">
        <v>24</v>
      </c>
      <c r="F7" s="40"/>
      <c r="G7" s="55"/>
    </row>
    <row r="8" spans="2:7" x14ac:dyDescent="0.25">
      <c r="B8" s="40"/>
      <c r="C8" s="40" t="s">
        <v>16</v>
      </c>
      <c r="D8" s="40"/>
      <c r="E8" s="4" t="s">
        <v>26</v>
      </c>
      <c r="F8" s="40"/>
      <c r="G8" s="55"/>
    </row>
    <row r="9" spans="2:7" x14ac:dyDescent="0.25">
      <c r="B9" s="40"/>
      <c r="C9" s="40" t="s">
        <v>18</v>
      </c>
      <c r="D9" s="40"/>
      <c r="E9" s="4" t="s">
        <v>25</v>
      </c>
      <c r="F9" s="40"/>
      <c r="G9" s="55"/>
    </row>
    <row r="10" spans="2:7" x14ac:dyDescent="0.25">
      <c r="B10" s="40"/>
      <c r="C10" s="40" t="s">
        <v>19</v>
      </c>
      <c r="D10" s="40"/>
      <c r="E10" s="4" t="s">
        <v>27</v>
      </c>
      <c r="F10" s="40"/>
      <c r="G10" s="55"/>
    </row>
    <row r="11" spans="2:7" x14ac:dyDescent="0.25">
      <c r="B11" s="40"/>
      <c r="C11" s="40" t="s">
        <v>20</v>
      </c>
      <c r="D11" s="40"/>
      <c r="E11" s="4" t="s">
        <v>28</v>
      </c>
      <c r="F11" s="40"/>
      <c r="G11" s="55"/>
    </row>
    <row r="12" spans="2:7" x14ac:dyDescent="0.25">
      <c r="B12" s="40"/>
      <c r="C12" s="40" t="s">
        <v>245</v>
      </c>
      <c r="D12" s="40"/>
      <c r="E12" s="4" t="s">
        <v>273</v>
      </c>
      <c r="F12" s="40"/>
      <c r="G12" s="55"/>
    </row>
    <row r="13" spans="2:7" x14ac:dyDescent="0.25">
      <c r="B13" s="40"/>
      <c r="C13" s="41" t="s">
        <v>272</v>
      </c>
      <c r="D13" s="40"/>
      <c r="E13" s="4" t="s">
        <v>246</v>
      </c>
      <c r="F13" s="40"/>
      <c r="G13" s="55"/>
    </row>
    <row r="14" spans="2:7" ht="16.5" x14ac:dyDescent="0.25">
      <c r="B14" s="51" t="s">
        <v>391</v>
      </c>
      <c r="C14" s="5" t="s">
        <v>2</v>
      </c>
      <c r="D14" s="5">
        <v>2</v>
      </c>
      <c r="E14" s="5" t="s">
        <v>29</v>
      </c>
      <c r="F14" s="51" t="s">
        <v>464</v>
      </c>
      <c r="G14" s="28" t="s">
        <v>423</v>
      </c>
    </row>
    <row r="15" spans="2:7" ht="16.5" x14ac:dyDescent="0.25">
      <c r="B15" s="51"/>
      <c r="C15" s="4" t="s">
        <v>3</v>
      </c>
      <c r="D15" s="4">
        <v>2</v>
      </c>
      <c r="E15" s="5" t="s">
        <v>30</v>
      </c>
      <c r="F15" s="51"/>
      <c r="G15" s="28" t="s">
        <v>424</v>
      </c>
    </row>
    <row r="16" spans="2:7" ht="16.5" x14ac:dyDescent="0.25">
      <c r="B16" s="51"/>
      <c r="C16" s="4" t="s">
        <v>4</v>
      </c>
      <c r="D16" s="4">
        <v>2</v>
      </c>
      <c r="E16" s="5" t="s">
        <v>31</v>
      </c>
      <c r="F16" s="51"/>
      <c r="G16" s="28" t="s">
        <v>425</v>
      </c>
    </row>
    <row r="17" spans="2:7" ht="16.5" x14ac:dyDescent="0.25">
      <c r="B17" s="51"/>
      <c r="C17" s="4" t="s">
        <v>379</v>
      </c>
      <c r="D17" s="4">
        <v>2</v>
      </c>
      <c r="E17" s="5" t="s">
        <v>385</v>
      </c>
      <c r="F17" s="51"/>
      <c r="G17" s="28" t="s">
        <v>426</v>
      </c>
    </row>
    <row r="18" spans="2:7" ht="16.5" x14ac:dyDescent="0.25">
      <c r="B18" s="51"/>
      <c r="C18" s="4" t="s">
        <v>381</v>
      </c>
      <c r="D18" s="4">
        <v>2</v>
      </c>
      <c r="E18" s="5" t="s">
        <v>387</v>
      </c>
      <c r="F18" s="51"/>
      <c r="G18" s="28" t="s">
        <v>427</v>
      </c>
    </row>
    <row r="19" spans="2:7" ht="16.5" x14ac:dyDescent="0.25">
      <c r="B19" s="51"/>
      <c r="C19" s="4" t="s">
        <v>383</v>
      </c>
      <c r="D19" s="4">
        <v>2</v>
      </c>
      <c r="E19" s="5" t="s">
        <v>389</v>
      </c>
      <c r="F19" s="51"/>
      <c r="G19" s="28" t="s">
        <v>428</v>
      </c>
    </row>
    <row r="20" spans="2:7" ht="16.5" x14ac:dyDescent="0.25">
      <c r="B20" s="51"/>
      <c r="C20" s="4" t="s">
        <v>377</v>
      </c>
      <c r="D20" s="4">
        <v>2</v>
      </c>
      <c r="E20" s="5" t="s">
        <v>378</v>
      </c>
      <c r="F20" s="51"/>
      <c r="G20" s="28" t="s">
        <v>429</v>
      </c>
    </row>
    <row r="21" spans="2:7" x14ac:dyDescent="0.25">
      <c r="B21" s="40" t="s">
        <v>393</v>
      </c>
      <c r="C21" s="4" t="s">
        <v>5</v>
      </c>
      <c r="D21" s="4">
        <v>2</v>
      </c>
      <c r="E21" s="4" t="s">
        <v>32</v>
      </c>
      <c r="F21" s="51"/>
      <c r="G21" s="28" t="s">
        <v>430</v>
      </c>
    </row>
    <row r="22" spans="2:7" x14ac:dyDescent="0.25">
      <c r="B22" s="40"/>
      <c r="C22" s="4" t="s">
        <v>6</v>
      </c>
      <c r="D22" s="4">
        <v>2</v>
      </c>
      <c r="E22" s="4" t="s">
        <v>33</v>
      </c>
      <c r="F22" s="51"/>
      <c r="G22" s="28" t="s">
        <v>431</v>
      </c>
    </row>
    <row r="23" spans="2:7" x14ac:dyDescent="0.25">
      <c r="B23" s="40"/>
      <c r="C23" s="4" t="s">
        <v>7</v>
      </c>
      <c r="D23" s="4">
        <v>2</v>
      </c>
      <c r="E23" s="4" t="s">
        <v>34</v>
      </c>
      <c r="F23" s="51"/>
      <c r="G23" s="28" t="s">
        <v>432</v>
      </c>
    </row>
    <row r="24" spans="2:7" x14ac:dyDescent="0.25">
      <c r="B24" s="40"/>
      <c r="C24" s="4" t="s">
        <v>343</v>
      </c>
      <c r="D24" s="4">
        <v>2</v>
      </c>
      <c r="E24" s="4" t="s">
        <v>35</v>
      </c>
      <c r="F24" s="51"/>
      <c r="G24" s="28" t="s">
        <v>433</v>
      </c>
    </row>
    <row r="25" spans="2:7" x14ac:dyDescent="0.25">
      <c r="B25" s="40" t="s">
        <v>8</v>
      </c>
      <c r="C25" s="40"/>
      <c r="D25" s="4">
        <v>2</v>
      </c>
      <c r="E25" s="4" t="s">
        <v>36</v>
      </c>
      <c r="F25" s="51"/>
      <c r="G25" s="28" t="s">
        <v>434</v>
      </c>
    </row>
    <row r="26" spans="2:7" x14ac:dyDescent="0.25">
      <c r="B26" s="40" t="s">
        <v>9</v>
      </c>
      <c r="C26" s="40"/>
      <c r="D26" s="4">
        <v>2</v>
      </c>
      <c r="E26" s="4" t="s">
        <v>37</v>
      </c>
      <c r="F26" s="51"/>
      <c r="G26" s="28" t="s">
        <v>435</v>
      </c>
    </row>
    <row r="27" spans="2:7" x14ac:dyDescent="0.25">
      <c r="B27" s="40" t="s">
        <v>10</v>
      </c>
      <c r="C27" s="40"/>
      <c r="D27" s="4">
        <v>2</v>
      </c>
      <c r="E27" s="4" t="s">
        <v>38</v>
      </c>
      <c r="F27" s="51"/>
      <c r="G27" s="28" t="s">
        <v>436</v>
      </c>
    </row>
    <row r="28" spans="2:7" x14ac:dyDescent="0.25">
      <c r="B28" s="40" t="s">
        <v>11</v>
      </c>
      <c r="C28" s="40"/>
      <c r="D28" s="4">
        <v>4</v>
      </c>
      <c r="E28" s="4" t="s">
        <v>39</v>
      </c>
      <c r="F28" s="51"/>
      <c r="G28" s="28" t="s">
        <v>437</v>
      </c>
    </row>
    <row r="29" spans="2:7" x14ac:dyDescent="0.25">
      <c r="B29" s="40" t="s">
        <v>12</v>
      </c>
      <c r="C29" s="40"/>
      <c r="D29" s="4">
        <v>2</v>
      </c>
      <c r="E29" s="4" t="s">
        <v>40</v>
      </c>
      <c r="F29" s="51"/>
      <c r="G29" s="28" t="s">
        <v>439</v>
      </c>
    </row>
    <row r="30" spans="2:7" x14ac:dyDescent="0.25">
      <c r="B30" s="40" t="s">
        <v>13</v>
      </c>
      <c r="C30" s="40"/>
      <c r="D30" s="4">
        <v>4</v>
      </c>
      <c r="E30" s="4" t="s">
        <v>41</v>
      </c>
      <c r="F30" s="51"/>
      <c r="G30" s="28" t="s">
        <v>438</v>
      </c>
    </row>
    <row r="31" spans="2:7" x14ac:dyDescent="0.25">
      <c r="B31" s="40" t="s">
        <v>14</v>
      </c>
      <c r="C31" s="40"/>
      <c r="D31" s="4">
        <v>2</v>
      </c>
      <c r="E31" s="4" t="s">
        <v>42</v>
      </c>
      <c r="F31" s="51"/>
      <c r="G31" s="28" t="s">
        <v>441</v>
      </c>
    </row>
    <row r="32" spans="2:7" x14ac:dyDescent="0.25">
      <c r="B32" s="40" t="s">
        <v>375</v>
      </c>
      <c r="C32" s="4" t="s">
        <v>351</v>
      </c>
      <c r="D32" s="4">
        <v>2</v>
      </c>
      <c r="E32" s="4" t="s">
        <v>369</v>
      </c>
      <c r="F32" s="51"/>
      <c r="G32" s="28" t="s">
        <v>454</v>
      </c>
    </row>
    <row r="33" spans="2:7" x14ac:dyDescent="0.25">
      <c r="B33" s="40"/>
      <c r="C33" s="4" t="s">
        <v>355</v>
      </c>
      <c r="D33" s="4">
        <v>2</v>
      </c>
      <c r="E33" s="4" t="s">
        <v>371</v>
      </c>
      <c r="F33" s="51"/>
      <c r="G33" s="28" t="s">
        <v>455</v>
      </c>
    </row>
    <row r="34" spans="2:7" x14ac:dyDescent="0.25">
      <c r="B34" s="40"/>
      <c r="C34" s="4" t="s">
        <v>353</v>
      </c>
      <c r="D34" s="4">
        <v>2</v>
      </c>
      <c r="E34" s="4" t="s">
        <v>373</v>
      </c>
      <c r="F34" s="51"/>
      <c r="G34" s="28" t="s">
        <v>456</v>
      </c>
    </row>
    <row r="35" spans="2:7" x14ac:dyDescent="0.25">
      <c r="B35" s="40" t="s">
        <v>350</v>
      </c>
      <c r="C35" s="4" t="s">
        <v>357</v>
      </c>
      <c r="D35" s="4">
        <v>2</v>
      </c>
      <c r="E35" s="4" t="s">
        <v>367</v>
      </c>
      <c r="F35" s="51"/>
      <c r="G35" s="28" t="s">
        <v>457</v>
      </c>
    </row>
    <row r="36" spans="2:7" x14ac:dyDescent="0.25">
      <c r="B36" s="40"/>
      <c r="C36" s="4" t="s">
        <v>359</v>
      </c>
      <c r="D36" s="4">
        <v>2</v>
      </c>
      <c r="E36" s="4" t="s">
        <v>365</v>
      </c>
      <c r="F36" s="51"/>
      <c r="G36" s="28" t="s">
        <v>458</v>
      </c>
    </row>
    <row r="37" spans="2:7" x14ac:dyDescent="0.25">
      <c r="B37" s="40"/>
      <c r="C37" s="4" t="s">
        <v>361</v>
      </c>
      <c r="D37" s="4">
        <v>2</v>
      </c>
      <c r="E37" s="4" t="s">
        <v>363</v>
      </c>
      <c r="F37" s="51"/>
      <c r="G37" s="28" t="s">
        <v>459</v>
      </c>
    </row>
    <row r="38" spans="2:7" x14ac:dyDescent="0.25">
      <c r="B38" s="40" t="s">
        <v>394</v>
      </c>
      <c r="C38" s="4" t="s">
        <v>395</v>
      </c>
      <c r="D38" s="4">
        <v>1</v>
      </c>
      <c r="E38" s="4" t="s">
        <v>409</v>
      </c>
      <c r="F38" s="40" t="s">
        <v>460</v>
      </c>
      <c r="G38" s="27" t="s">
        <v>442</v>
      </c>
    </row>
    <row r="39" spans="2:7" x14ac:dyDescent="0.25">
      <c r="B39" s="40"/>
      <c r="C39" s="4" t="s">
        <v>396</v>
      </c>
      <c r="D39" s="4">
        <v>1</v>
      </c>
      <c r="E39" s="4" t="s">
        <v>410</v>
      </c>
      <c r="F39" s="40"/>
      <c r="G39" s="28" t="s">
        <v>445</v>
      </c>
    </row>
    <row r="40" spans="2:7" x14ac:dyDescent="0.25">
      <c r="B40" s="40"/>
      <c r="C40" s="4" t="s">
        <v>397</v>
      </c>
      <c r="D40" s="4">
        <v>1</v>
      </c>
      <c r="E40" s="4" t="s">
        <v>411</v>
      </c>
      <c r="F40" s="40"/>
      <c r="G40" s="28" t="s">
        <v>448</v>
      </c>
    </row>
    <row r="41" spans="2:7" x14ac:dyDescent="0.25">
      <c r="B41" s="40"/>
      <c r="C41" s="4" t="s">
        <v>398</v>
      </c>
      <c r="D41" s="4">
        <v>1</v>
      </c>
      <c r="E41" s="4" t="s">
        <v>412</v>
      </c>
      <c r="F41" s="40"/>
      <c r="G41" s="28" t="s">
        <v>451</v>
      </c>
    </row>
    <row r="42" spans="2:7" x14ac:dyDescent="0.25">
      <c r="B42" s="40"/>
      <c r="C42" s="4" t="s">
        <v>513</v>
      </c>
      <c r="D42" s="4">
        <v>1</v>
      </c>
      <c r="E42" s="4" t="s">
        <v>506</v>
      </c>
      <c r="F42" s="40"/>
      <c r="G42" s="28" t="s">
        <v>515</v>
      </c>
    </row>
    <row r="43" spans="2:7" x14ac:dyDescent="0.25">
      <c r="B43" s="40"/>
      <c r="C43" s="4" t="s">
        <v>514</v>
      </c>
      <c r="D43" s="4">
        <v>1</v>
      </c>
      <c r="E43" s="4" t="s">
        <v>507</v>
      </c>
      <c r="F43" s="40"/>
      <c r="G43" s="28" t="s">
        <v>516</v>
      </c>
    </row>
    <row r="44" spans="2:7" x14ac:dyDescent="0.25">
      <c r="B44" s="40" t="s">
        <v>399</v>
      </c>
      <c r="C44" s="4" t="s">
        <v>401</v>
      </c>
      <c r="D44" s="4">
        <v>1</v>
      </c>
      <c r="E44" s="4" t="s">
        <v>413</v>
      </c>
      <c r="F44" s="40"/>
      <c r="G44" s="27" t="s">
        <v>443</v>
      </c>
    </row>
    <row r="45" spans="2:7" x14ac:dyDescent="0.25">
      <c r="B45" s="40"/>
      <c r="C45" s="4" t="s">
        <v>402</v>
      </c>
      <c r="D45" s="4">
        <v>1</v>
      </c>
      <c r="E45" s="4" t="s">
        <v>414</v>
      </c>
      <c r="F45" s="40"/>
      <c r="G45" s="28" t="s">
        <v>446</v>
      </c>
    </row>
    <row r="46" spans="2:7" x14ac:dyDescent="0.25">
      <c r="B46" s="40"/>
      <c r="C46" s="4" t="s">
        <v>403</v>
      </c>
      <c r="D46" s="4">
        <v>1</v>
      </c>
      <c r="E46" s="4" t="s">
        <v>415</v>
      </c>
      <c r="F46" s="40"/>
      <c r="G46" s="28" t="s">
        <v>449</v>
      </c>
    </row>
    <row r="47" spans="2:7" x14ac:dyDescent="0.25">
      <c r="B47" s="40"/>
      <c r="C47" s="4" t="s">
        <v>404</v>
      </c>
      <c r="D47" s="4">
        <v>1</v>
      </c>
      <c r="E47" s="4" t="s">
        <v>416</v>
      </c>
      <c r="F47" s="40"/>
      <c r="G47" s="28" t="s">
        <v>452</v>
      </c>
    </row>
    <row r="48" spans="2:7" x14ac:dyDescent="0.25">
      <c r="B48" s="40"/>
      <c r="C48" s="4" t="s">
        <v>517</v>
      </c>
      <c r="D48" s="4">
        <v>1</v>
      </c>
      <c r="E48" s="4" t="s">
        <v>523</v>
      </c>
      <c r="F48" s="40"/>
      <c r="G48" s="28" t="s">
        <v>524</v>
      </c>
    </row>
    <row r="49" spans="2:7" x14ac:dyDescent="0.25">
      <c r="B49" s="40"/>
      <c r="C49" s="4" t="s">
        <v>518</v>
      </c>
      <c r="D49" s="4">
        <v>1</v>
      </c>
      <c r="E49" s="4" t="s">
        <v>508</v>
      </c>
      <c r="F49" s="40"/>
      <c r="G49" s="28" t="s">
        <v>525</v>
      </c>
    </row>
    <row r="50" spans="2:7" x14ac:dyDescent="0.25">
      <c r="B50" s="40" t="s">
        <v>400</v>
      </c>
      <c r="C50" s="4" t="s">
        <v>405</v>
      </c>
      <c r="D50" s="4">
        <v>1</v>
      </c>
      <c r="E50" s="4" t="s">
        <v>417</v>
      </c>
      <c r="F50" s="40"/>
      <c r="G50" s="27" t="s">
        <v>444</v>
      </c>
    </row>
    <row r="51" spans="2:7" x14ac:dyDescent="0.25">
      <c r="B51" s="40"/>
      <c r="C51" s="4" t="s">
        <v>406</v>
      </c>
      <c r="D51" s="4">
        <v>1</v>
      </c>
      <c r="E51" s="4" t="s">
        <v>418</v>
      </c>
      <c r="F51" s="40"/>
      <c r="G51" s="28" t="s">
        <v>447</v>
      </c>
    </row>
    <row r="52" spans="2:7" x14ac:dyDescent="0.25">
      <c r="B52" s="40"/>
      <c r="C52" s="4" t="s">
        <v>407</v>
      </c>
      <c r="D52" s="4">
        <v>1</v>
      </c>
      <c r="E52" s="4" t="s">
        <v>419</v>
      </c>
      <c r="F52" s="40"/>
      <c r="G52" s="28" t="s">
        <v>450</v>
      </c>
    </row>
    <row r="53" spans="2:7" x14ac:dyDescent="0.25">
      <c r="B53" s="40"/>
      <c r="C53" s="4" t="s">
        <v>408</v>
      </c>
      <c r="D53" s="4">
        <v>1</v>
      </c>
      <c r="E53" s="4" t="s">
        <v>420</v>
      </c>
      <c r="F53" s="40"/>
      <c r="G53" s="28" t="s">
        <v>453</v>
      </c>
    </row>
    <row r="54" spans="2:7" x14ac:dyDescent="0.25">
      <c r="B54" s="40"/>
      <c r="C54" s="4" t="s">
        <v>519</v>
      </c>
      <c r="D54" s="4">
        <v>1</v>
      </c>
      <c r="E54" s="4" t="s">
        <v>522</v>
      </c>
      <c r="F54" s="40"/>
      <c r="G54" s="28" t="s">
        <v>526</v>
      </c>
    </row>
    <row r="55" spans="2:7" x14ac:dyDescent="0.25">
      <c r="B55" s="40"/>
      <c r="C55" s="4" t="s">
        <v>520</v>
      </c>
      <c r="D55" s="4">
        <v>1</v>
      </c>
      <c r="E55" s="4" t="s">
        <v>521</v>
      </c>
      <c r="F55" s="40"/>
      <c r="G55" s="28" t="s">
        <v>527</v>
      </c>
    </row>
  </sheetData>
  <mergeCells count="31">
    <mergeCell ref="B2:D2"/>
    <mergeCell ref="B32:B34"/>
    <mergeCell ref="B35:B37"/>
    <mergeCell ref="B31:C31"/>
    <mergeCell ref="B38:B43"/>
    <mergeCell ref="B25:C25"/>
    <mergeCell ref="B26:C26"/>
    <mergeCell ref="B27:C27"/>
    <mergeCell ref="B28:C28"/>
    <mergeCell ref="B29:C29"/>
    <mergeCell ref="C9:D9"/>
    <mergeCell ref="C10:D10"/>
    <mergeCell ref="C6:D6"/>
    <mergeCell ref="C7:D7"/>
    <mergeCell ref="C8:D8"/>
    <mergeCell ref="F14:F37"/>
    <mergeCell ref="F3:F13"/>
    <mergeCell ref="G3:G13"/>
    <mergeCell ref="B44:B49"/>
    <mergeCell ref="B50:B55"/>
    <mergeCell ref="F38:F55"/>
    <mergeCell ref="B30:C30"/>
    <mergeCell ref="C11:D11"/>
    <mergeCell ref="C12:D12"/>
    <mergeCell ref="C13:D13"/>
    <mergeCell ref="B14:B20"/>
    <mergeCell ref="B21:B24"/>
    <mergeCell ref="B3:B13"/>
    <mergeCell ref="C3:D3"/>
    <mergeCell ref="C4:D4"/>
    <mergeCell ref="C5:D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2</vt:i4>
      </vt:variant>
    </vt:vector>
  </HeadingPairs>
  <TitlesOfParts>
    <vt:vector size="7" baseType="lpstr">
      <vt:lpstr>PLC_IO_Address_DI</vt:lpstr>
      <vt:lpstr>PLC_IO_Address_AI</vt:lpstr>
      <vt:lpstr>Register_Number</vt:lpstr>
      <vt:lpstr>Tag_List</vt:lpstr>
      <vt:lpstr>DB_컬럼</vt:lpstr>
      <vt:lpstr>PLC_IO_Address_AI!Print_Titles</vt:lpstr>
      <vt:lpstr>PLC_IO_Address_DI!Print_Titles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SNUT CNT8</dc:creator>
  <cp:lastModifiedBy>SNUT CNT3</cp:lastModifiedBy>
  <cp:lastPrinted>2026-02-27T06:53:09Z</cp:lastPrinted>
  <dcterms:created xsi:type="dcterms:W3CDTF">2025-11-26T06:49:52Z</dcterms:created>
  <dcterms:modified xsi:type="dcterms:W3CDTF">2026-02-27T08:30:07Z</dcterms:modified>
</cp:coreProperties>
</file>